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OC\ДЗ10. Лестница цен\"/>
    </mc:Choice>
  </mc:AlternateContent>
  <xr:revisionPtr revIDLastSave="0" documentId="13_ncr:1_{162E60A6-922A-4F04-AA07-858627C25E7D}" xr6:coauthVersionLast="47" xr6:coauthVersionMax="47" xr10:uidLastSave="{00000000-0000-0000-0000-000000000000}"/>
  <bookViews>
    <workbookView xWindow="-108" yWindow="-108" windowWidth="23256" windowHeight="13896" xr2:uid="{2EEEAE68-D7A8-674B-8B4E-2804E8DEF847}"/>
  </bookViews>
  <sheets>
    <sheet name="Лестница цен" sheetId="1" r:id="rId1"/>
    <sheet name="Monadic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2" i="2" l="1"/>
  <c r="K14" i="2"/>
  <c r="L14" i="2"/>
  <c r="K7" i="2"/>
  <c r="L7" i="2"/>
  <c r="J7" i="2"/>
  <c r="K6" i="2"/>
  <c r="J6" i="2"/>
  <c r="J13" i="2" s="1"/>
  <c r="J20" i="2" s="1"/>
  <c r="L6" i="2"/>
  <c r="L13" i="2" s="1"/>
  <c r="L20" i="2" s="1"/>
  <c r="K5" i="2"/>
  <c r="K13" i="2" s="1"/>
  <c r="K20" i="2" s="1"/>
  <c r="L5" i="2"/>
  <c r="J5" i="2"/>
  <c r="J12" i="2" s="1"/>
  <c r="K4" i="2"/>
  <c r="K11" i="2" s="1"/>
  <c r="L4" i="2"/>
  <c r="L11" i="2" s="1"/>
  <c r="L16" i="2" s="1"/>
  <c r="J4" i="2"/>
  <c r="J11" i="2" s="1"/>
  <c r="J16" i="2" l="1"/>
  <c r="J14" i="2"/>
  <c r="K12" i="2"/>
  <c r="K16" i="2" s="1"/>
  <c r="C5" i="1"/>
  <c r="C6" i="1"/>
  <c r="E6" i="1" s="1"/>
  <c r="C7" i="1"/>
  <c r="E7" i="1" s="1"/>
  <c r="C8" i="1"/>
  <c r="E8" i="1" s="1"/>
  <c r="C9" i="1"/>
  <c r="E9" i="1" s="1"/>
  <c r="C10" i="1"/>
  <c r="E10" i="1" s="1"/>
  <c r="C11" i="1"/>
  <c r="D11" i="1" s="1"/>
  <c r="C12" i="1"/>
  <c r="E12" i="1" s="1"/>
  <c r="C4" i="1"/>
  <c r="C3" i="1"/>
  <c r="E5" i="1" l="1"/>
  <c r="D5" i="1"/>
  <c r="E11" i="1"/>
  <c r="E3" i="1"/>
  <c r="D3" i="1"/>
  <c r="E4" i="1"/>
  <c r="D4" i="1"/>
  <c r="D7" i="1"/>
  <c r="D10" i="1"/>
  <c r="D6" i="1"/>
  <c r="D9" i="1"/>
  <c r="D8" i="1"/>
</calcChain>
</file>

<file path=xl/sharedStrings.xml><?xml version="1.0" encoding="utf-8"?>
<sst xmlns="http://schemas.openxmlformats.org/spreadsheetml/2006/main" count="43" uniqueCount="25">
  <si>
    <t>% по столбцу</t>
  </si>
  <si>
    <t>Цена</t>
  </si>
  <si>
    <t>Эластичность</t>
  </si>
  <si>
    <t>Кумулятивный %</t>
  </si>
  <si>
    <t>Выручка на 1000</t>
  </si>
  <si>
    <t>Если бы на полке магазина или на маркетплейсе вы могли выбирать только из этих вариантов, какой бы чай вы купили?</t>
  </si>
  <si>
    <t>Чай зеленый Ahmad Tea Китайский (100 пакетиков) за 239 рублей</t>
  </si>
  <si>
    <t>Чай зеленый Akbar Классический (100 пакетиков) за 399 рублей</t>
  </si>
  <si>
    <t>Чай зеленый Greenfield Green Melissa (100 пакетиков) за /ВСТАВИТЬ ЦЕНУ ИЗ PRICE_GROUP_2/ рублей</t>
  </si>
  <si>
    <t>Ничего из перечисленного</t>
  </si>
  <si>
    <t>Учитывая ваш бюджет и ваши знания о рынке чая, насколько вероятно вы купите /ВСТАВИТЬ НАЗВАНИЕ ЧАЯ ИЗ M2_choice/ по цене /ВСТАВИТЬ ЦЕНУ ИЗ M2_choice/?</t>
  </si>
  <si>
    <t>Точно не куплю</t>
  </si>
  <si>
    <t>Скорее не куплю</t>
  </si>
  <si>
    <t>Возможно куплю, возможно нет</t>
  </si>
  <si>
    <t>Скорее куплю</t>
  </si>
  <si>
    <t>Точно куплю</t>
  </si>
  <si>
    <t>Конкуренты</t>
  </si>
  <si>
    <t>Вырчука</t>
  </si>
  <si>
    <t>Чай зеленый BRAND (100 пакетиков) за 239 рублей</t>
  </si>
  <si>
    <t>Чай зеленый BRAND за 399 рублей</t>
  </si>
  <si>
    <t>Цена на BRAND</t>
  </si>
  <si>
    <t>Чай зеленый BRAND (100 пакетиков) за /ВСТАВИТЬ ЦЕНУ ИЗ PRICE_GROUP_2/ рублей</t>
  </si>
  <si>
    <t>Чай зеленый BRAND (100 пакетиков) за 399 рублей</t>
  </si>
  <si>
    <t>Чай зеленый BRAND за /ВСТАВИТЬ ЦЕНУ ИЗ PRICE_GROUP_2/ рублей</t>
  </si>
  <si>
    <t>Максимальная одобряемая цена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</si>
</sst>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charset val="204"/>
      <scheme val="minor"/>
    </font>
    <font>
      <sz val="12"/>
      <color rgb="FF010205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  <xf numFmtId="2" fontId="0" fillId="0" borderId="0" xfId="0" applyNumberFormat="1"/>
    <xf numFmtId="164" fontId="0" fillId="0" borderId="0" xfId="0" applyNumberFormat="1"/>
    <xf numFmtId="1" fontId="3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B0BEE-D4A9-8F4C-9897-3303132929A6}">
  <dimension ref="A1:L14"/>
  <sheetViews>
    <sheetView tabSelected="1" workbookViewId="0"/>
  </sheetViews>
  <sheetFormatPr defaultColWidth="11.19921875" defaultRowHeight="15.6" x14ac:dyDescent="0.3"/>
  <cols>
    <col min="2" max="2" width="12.296875" bestFit="1" customWidth="1"/>
    <col min="3" max="3" width="16" bestFit="1" customWidth="1"/>
    <col min="4" max="4" width="12.796875" bestFit="1" customWidth="1"/>
    <col min="5" max="5" width="15.69921875" bestFit="1" customWidth="1"/>
  </cols>
  <sheetData>
    <row r="1" spans="1:12" x14ac:dyDescent="0.3">
      <c r="A1" s="3" t="s">
        <v>24</v>
      </c>
    </row>
    <row r="2" spans="1:12" x14ac:dyDescent="0.3">
      <c r="A2" s="3" t="s">
        <v>1</v>
      </c>
      <c r="B2" s="3" t="s">
        <v>0</v>
      </c>
      <c r="C2" s="3" t="s">
        <v>3</v>
      </c>
      <c r="D2" s="3" t="s">
        <v>2</v>
      </c>
      <c r="E2" s="3" t="s">
        <v>4</v>
      </c>
    </row>
    <row r="3" spans="1:12" x14ac:dyDescent="0.3">
      <c r="A3">
        <v>599</v>
      </c>
      <c r="B3" s="2">
        <v>5.1155119999999998</v>
      </c>
      <c r="C3" s="2">
        <f>B3</f>
        <v>5.1155119999999998</v>
      </c>
      <c r="D3" s="5">
        <f t="shared" ref="D3:D11" si="0">((C3-C4))/(A3-A4)*(((A4+A3)/2)/((C4+C3)/2))</f>
        <v>-2.3292760637055236</v>
      </c>
      <c r="E3" s="2">
        <f t="shared" ref="E3:E12" si="1">A3*(C3/100)*1000</f>
        <v>30641.916880000001</v>
      </c>
      <c r="G3" s="2"/>
    </row>
    <row r="4" spans="1:12" x14ac:dyDescent="0.3">
      <c r="A4">
        <v>549</v>
      </c>
      <c r="B4" s="2">
        <v>1.155116</v>
      </c>
      <c r="C4" s="2">
        <f>SUM(B$3:B4)</f>
        <v>6.2706280000000003</v>
      </c>
      <c r="D4" s="5">
        <f t="shared" si="0"/>
        <v>-2.4372089588491526</v>
      </c>
      <c r="E4" s="2">
        <f t="shared" si="1"/>
        <v>34425.747720000007</v>
      </c>
      <c r="F4" s="2"/>
    </row>
    <row r="5" spans="1:12" x14ac:dyDescent="0.3">
      <c r="A5">
        <v>499</v>
      </c>
      <c r="B5" s="2">
        <v>1.6501650000000001</v>
      </c>
      <c r="C5" s="2">
        <f>SUM(B$3:B5)</f>
        <v>7.9207930000000006</v>
      </c>
      <c r="D5" s="5">
        <f t="shared" si="0"/>
        <v>-0.75839990808192981</v>
      </c>
      <c r="E5" s="2">
        <f t="shared" si="1"/>
        <v>39524.757070000007</v>
      </c>
      <c r="F5" s="2"/>
    </row>
    <row r="6" spans="1:12" x14ac:dyDescent="0.3">
      <c r="A6">
        <v>449</v>
      </c>
      <c r="B6" s="2">
        <v>0.66006600000000004</v>
      </c>
      <c r="C6" s="2">
        <f>SUM(B$3:B6)</f>
        <v>8.5808590000000002</v>
      </c>
      <c r="D6" s="5">
        <f t="shared" si="0"/>
        <v>-4.3611424795925195</v>
      </c>
      <c r="E6" s="2">
        <f t="shared" si="1"/>
        <v>38528.056910000007</v>
      </c>
      <c r="F6" s="2"/>
    </row>
    <row r="7" spans="1:12" x14ac:dyDescent="0.3">
      <c r="A7">
        <v>399</v>
      </c>
      <c r="B7" s="2">
        <v>5.9405939999999999</v>
      </c>
      <c r="C7" s="2">
        <f>SUM(B$3:B7)</f>
        <v>14.521453000000001</v>
      </c>
      <c r="D7" s="5">
        <f t="shared" si="0"/>
        <v>-2.5986854739845779</v>
      </c>
      <c r="E7" s="2">
        <f t="shared" si="1"/>
        <v>57940.597470000001</v>
      </c>
      <c r="F7" s="2"/>
    </row>
    <row r="8" spans="1:12" x14ac:dyDescent="0.3">
      <c r="A8">
        <v>349</v>
      </c>
      <c r="B8" s="2">
        <v>6.1056109999999997</v>
      </c>
      <c r="C8" s="2">
        <f>SUM(B$3:B8)</f>
        <v>20.627064000000001</v>
      </c>
      <c r="D8" s="5">
        <f t="shared" si="0"/>
        <v>-3.4305880518585545</v>
      </c>
      <c r="E8" s="2">
        <f t="shared" si="1"/>
        <v>71988.453360000014</v>
      </c>
      <c r="F8" s="2"/>
    </row>
    <row r="9" spans="1:12" x14ac:dyDescent="0.3">
      <c r="A9">
        <v>299</v>
      </c>
      <c r="B9" s="2">
        <v>14.851485</v>
      </c>
      <c r="C9" s="2">
        <f>SUM(B$3:B9)</f>
        <v>35.478549000000001</v>
      </c>
      <c r="D9" s="5">
        <f t="shared" si="0"/>
        <v>-1.3223721986938357</v>
      </c>
      <c r="E9" s="2">
        <f t="shared" si="1"/>
        <v>106080.86151</v>
      </c>
      <c r="F9" s="2"/>
    </row>
    <row r="10" spans="1:12" x14ac:dyDescent="0.3">
      <c r="A10">
        <v>249</v>
      </c>
      <c r="B10" s="2">
        <v>9.7359740000000006</v>
      </c>
      <c r="C10" s="2">
        <f>SUM(B$3:B10)</f>
        <v>45.214523</v>
      </c>
      <c r="D10" s="5">
        <f t="shared" si="0"/>
        <v>-1.5541477899957605</v>
      </c>
      <c r="E10" s="2">
        <f t="shared" si="1"/>
        <v>112584.16227</v>
      </c>
      <c r="F10" s="2"/>
      <c r="J10" s="1"/>
      <c r="K10" s="1"/>
      <c r="L10" s="1"/>
    </row>
    <row r="11" spans="1:12" x14ac:dyDescent="0.3">
      <c r="A11">
        <v>199</v>
      </c>
      <c r="B11" s="2">
        <v>18.976897999999998</v>
      </c>
      <c r="C11" s="2">
        <f>SUM(B$3:B11)</f>
        <v>64.191420999999991</v>
      </c>
      <c r="D11" s="5">
        <f t="shared" si="0"/>
        <v>-0.58955292016064254</v>
      </c>
      <c r="E11" s="6">
        <f t="shared" si="1"/>
        <v>127740.92778999999</v>
      </c>
      <c r="F11" s="2"/>
      <c r="J11" s="1"/>
      <c r="K11" s="1"/>
      <c r="L11" s="1"/>
    </row>
    <row r="12" spans="1:12" x14ac:dyDescent="0.3">
      <c r="A12">
        <v>149</v>
      </c>
      <c r="B12" s="2">
        <v>11.881188</v>
      </c>
      <c r="C12" s="2">
        <f>SUM(B$3:B12)</f>
        <v>76.072608999999986</v>
      </c>
      <c r="E12" s="2">
        <f t="shared" si="1"/>
        <v>113348.18740999998</v>
      </c>
      <c r="F12" s="2"/>
      <c r="J12" s="1"/>
      <c r="K12" s="1"/>
      <c r="L12" s="1"/>
    </row>
    <row r="13" spans="1:12" x14ac:dyDescent="0.3">
      <c r="J13" s="1"/>
      <c r="K13" s="1"/>
      <c r="L13" s="1"/>
    </row>
    <row r="14" spans="1:12" x14ac:dyDescent="0.3">
      <c r="J14" s="1"/>
      <c r="K14" s="1"/>
      <c r="L14" s="1"/>
    </row>
  </sheetData>
  <conditionalFormatting sqref="D3:D11">
    <cfRule type="cellIs" dxfId="1" priority="2" operator="lessThan">
      <formula>-1</formula>
    </cfRule>
  </conditionalFormatting>
  <conditionalFormatting sqref="D5:D11">
    <cfRule type="cellIs" dxfId="0" priority="1" operator="greaterThan">
      <formula>-1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A2CDE-1CC5-5642-B6F7-10E3BB710A74}">
  <dimension ref="A1:L20"/>
  <sheetViews>
    <sheetView workbookViewId="0">
      <selection activeCell="A9" sqref="A9"/>
    </sheetView>
  </sheetViews>
  <sheetFormatPr defaultColWidth="11.19921875" defaultRowHeight="15.6" x14ac:dyDescent="0.3"/>
  <cols>
    <col min="1" max="1" width="9.69921875" customWidth="1"/>
    <col min="4" max="4" width="9.19921875" customWidth="1"/>
    <col min="9" max="9" width="12.296875" customWidth="1"/>
    <col min="10" max="10" width="12.69921875" bestFit="1" customWidth="1"/>
    <col min="11" max="12" width="11.69921875" bestFit="1" customWidth="1"/>
  </cols>
  <sheetData>
    <row r="1" spans="1:12" x14ac:dyDescent="0.3">
      <c r="A1" s="3" t="s">
        <v>5</v>
      </c>
    </row>
    <row r="2" spans="1:12" x14ac:dyDescent="0.3">
      <c r="D2" s="7" t="s">
        <v>20</v>
      </c>
      <c r="E2" s="7"/>
      <c r="F2" s="7"/>
      <c r="J2" s="7" t="s">
        <v>20</v>
      </c>
      <c r="K2" s="7"/>
      <c r="L2" s="7"/>
    </row>
    <row r="3" spans="1:12" x14ac:dyDescent="0.3">
      <c r="D3">
        <v>199</v>
      </c>
      <c r="E3">
        <v>399</v>
      </c>
      <c r="F3">
        <v>599</v>
      </c>
      <c r="J3">
        <v>199</v>
      </c>
      <c r="K3">
        <v>399</v>
      </c>
      <c r="L3">
        <v>599</v>
      </c>
    </row>
    <row r="4" spans="1:12" x14ac:dyDescent="0.3">
      <c r="A4" s="3" t="s">
        <v>18</v>
      </c>
      <c r="B4" t="s">
        <v>10</v>
      </c>
      <c r="C4" s="3" t="s">
        <v>11</v>
      </c>
      <c r="D4">
        <v>1</v>
      </c>
      <c r="E4">
        <v>0</v>
      </c>
      <c r="F4">
        <v>2</v>
      </c>
      <c r="I4" s="3" t="s">
        <v>18</v>
      </c>
      <c r="J4">
        <f>SUM(D7:D8)</f>
        <v>25</v>
      </c>
      <c r="K4">
        <f t="shared" ref="K4:L4" si="0">SUM(E7:E8)</f>
        <v>61</v>
      </c>
      <c r="L4">
        <f t="shared" si="0"/>
        <v>88</v>
      </c>
    </row>
    <row r="5" spans="1:12" x14ac:dyDescent="0.3">
      <c r="C5" s="3" t="s">
        <v>12</v>
      </c>
      <c r="D5">
        <v>3</v>
      </c>
      <c r="E5">
        <v>3</v>
      </c>
      <c r="F5">
        <v>3</v>
      </c>
      <c r="I5" s="3" t="s">
        <v>22</v>
      </c>
      <c r="J5">
        <f>SUM(D12:D13)</f>
        <v>4</v>
      </c>
      <c r="K5">
        <f t="shared" ref="K5:L5" si="1">SUM(E12:E13)</f>
        <v>5</v>
      </c>
      <c r="L5">
        <f t="shared" si="1"/>
        <v>9</v>
      </c>
    </row>
    <row r="6" spans="1:12" x14ac:dyDescent="0.3">
      <c r="C6" s="3" t="s">
        <v>13</v>
      </c>
      <c r="D6">
        <v>6</v>
      </c>
      <c r="E6">
        <v>26</v>
      </c>
      <c r="F6">
        <v>16</v>
      </c>
      <c r="I6" s="3" t="s">
        <v>23</v>
      </c>
      <c r="J6">
        <f>SUM(D17:D18)</f>
        <v>113</v>
      </c>
      <c r="K6">
        <f>SUM(E17:E18)</f>
        <v>26</v>
      </c>
      <c r="L6">
        <f t="shared" ref="L6" si="2">SUM(F17:F18)</f>
        <v>4</v>
      </c>
    </row>
    <row r="7" spans="1:12" x14ac:dyDescent="0.3">
      <c r="C7" s="3" t="s">
        <v>14</v>
      </c>
      <c r="D7">
        <v>12</v>
      </c>
      <c r="E7">
        <v>34</v>
      </c>
      <c r="F7">
        <v>43</v>
      </c>
      <c r="I7" s="3" t="s">
        <v>9</v>
      </c>
      <c r="J7">
        <f>SUM(D4:D6,D9:D11,D14:D16,D19)</f>
        <v>59</v>
      </c>
      <c r="K7">
        <f t="shared" ref="K7:L7" si="3">SUM(E4:E6,E9:E11,E14:E16,E19)</f>
        <v>111</v>
      </c>
      <c r="L7">
        <f t="shared" si="3"/>
        <v>101</v>
      </c>
    </row>
    <row r="8" spans="1:12" x14ac:dyDescent="0.3">
      <c r="C8" s="3" t="s">
        <v>15</v>
      </c>
      <c r="D8">
        <v>13</v>
      </c>
      <c r="E8">
        <v>27</v>
      </c>
      <c r="F8">
        <v>45</v>
      </c>
    </row>
    <row r="9" spans="1:12" x14ac:dyDescent="0.3">
      <c r="A9" s="3" t="s">
        <v>19</v>
      </c>
      <c r="B9" t="s">
        <v>10</v>
      </c>
      <c r="C9" s="3" t="s">
        <v>11</v>
      </c>
      <c r="D9">
        <v>0</v>
      </c>
      <c r="E9">
        <v>0</v>
      </c>
      <c r="F9">
        <v>0</v>
      </c>
      <c r="J9" s="7" t="s">
        <v>20</v>
      </c>
      <c r="K9" s="7"/>
      <c r="L9" s="7"/>
    </row>
    <row r="10" spans="1:12" x14ac:dyDescent="0.3">
      <c r="C10" s="3" t="s">
        <v>12</v>
      </c>
      <c r="D10">
        <v>1</v>
      </c>
      <c r="E10">
        <v>0</v>
      </c>
      <c r="F10">
        <v>0</v>
      </c>
      <c r="J10">
        <v>199</v>
      </c>
      <c r="K10">
        <v>399</v>
      </c>
      <c r="L10">
        <v>599</v>
      </c>
    </row>
    <row r="11" spans="1:12" x14ac:dyDescent="0.3">
      <c r="C11" s="3" t="s">
        <v>13</v>
      </c>
      <c r="D11">
        <v>2</v>
      </c>
      <c r="E11">
        <v>1</v>
      </c>
      <c r="F11">
        <v>4</v>
      </c>
      <c r="I11" s="3" t="s">
        <v>6</v>
      </c>
      <c r="J11" s="4">
        <f>J4/SUM(J$4:J$7)</f>
        <v>0.12437810945273632</v>
      </c>
      <c r="K11" s="4">
        <f t="shared" ref="K11:L11" si="4">K4/SUM(K$4:K$7)</f>
        <v>0.30049261083743845</v>
      </c>
      <c r="L11" s="4">
        <f t="shared" si="4"/>
        <v>0.43564356435643564</v>
      </c>
    </row>
    <row r="12" spans="1:12" x14ac:dyDescent="0.3">
      <c r="C12" s="3" t="s">
        <v>14</v>
      </c>
      <c r="D12">
        <v>2</v>
      </c>
      <c r="E12">
        <v>3</v>
      </c>
      <c r="F12">
        <v>7</v>
      </c>
      <c r="I12" s="3" t="s">
        <v>7</v>
      </c>
      <c r="J12" s="4">
        <f t="shared" ref="J12:L12" si="5">J5/SUM(J$4:J$7)</f>
        <v>1.9900497512437811E-2</v>
      </c>
      <c r="K12" s="4">
        <f>K5/SUM(K$4:K$7)</f>
        <v>2.4630541871921183E-2</v>
      </c>
      <c r="L12" s="4">
        <f t="shared" si="5"/>
        <v>4.4554455445544552E-2</v>
      </c>
    </row>
    <row r="13" spans="1:12" x14ac:dyDescent="0.3">
      <c r="C13" s="3" t="s">
        <v>15</v>
      </c>
      <c r="D13">
        <v>2</v>
      </c>
      <c r="E13">
        <v>2</v>
      </c>
      <c r="F13">
        <v>2</v>
      </c>
      <c r="I13" s="3" t="s">
        <v>8</v>
      </c>
      <c r="J13" s="4">
        <f t="shared" ref="J13:L13" si="6">J6/SUM(J$4:J$7)</f>
        <v>0.56218905472636815</v>
      </c>
      <c r="K13" s="4">
        <f t="shared" si="6"/>
        <v>0.12807881773399016</v>
      </c>
      <c r="L13" s="4">
        <f t="shared" si="6"/>
        <v>1.9801980198019802E-2</v>
      </c>
    </row>
    <row r="14" spans="1:12" x14ac:dyDescent="0.3">
      <c r="A14" s="3" t="s">
        <v>21</v>
      </c>
      <c r="B14" t="s">
        <v>10</v>
      </c>
      <c r="C14" s="3" t="s">
        <v>11</v>
      </c>
      <c r="D14">
        <v>2</v>
      </c>
      <c r="E14">
        <v>0</v>
      </c>
      <c r="F14">
        <v>3</v>
      </c>
      <c r="I14" s="3" t="s">
        <v>9</v>
      </c>
      <c r="J14" s="4">
        <f t="shared" ref="J14:L14" si="7">J7/SUM(J$4:J$7)</f>
        <v>0.29353233830845771</v>
      </c>
      <c r="K14" s="4">
        <f t="shared" si="7"/>
        <v>0.54679802955665024</v>
      </c>
      <c r="L14" s="4">
        <f t="shared" si="7"/>
        <v>0.5</v>
      </c>
    </row>
    <row r="15" spans="1:12" x14ac:dyDescent="0.3">
      <c r="C15" s="3" t="s">
        <v>12</v>
      </c>
      <c r="D15">
        <v>5</v>
      </c>
      <c r="E15">
        <v>2</v>
      </c>
      <c r="F15">
        <v>4</v>
      </c>
    </row>
    <row r="16" spans="1:12" x14ac:dyDescent="0.3">
      <c r="C16" s="3" t="s">
        <v>13</v>
      </c>
      <c r="D16">
        <v>21</v>
      </c>
      <c r="E16">
        <v>15</v>
      </c>
      <c r="F16">
        <v>7</v>
      </c>
      <c r="I16" s="3" t="s">
        <v>16</v>
      </c>
      <c r="J16" s="4">
        <f>SUM(J11:J12)</f>
        <v>0.14427860696517414</v>
      </c>
      <c r="K16" s="4">
        <f t="shared" ref="K16:L16" si="8">SUM(K11:K12)</f>
        <v>0.32512315270935965</v>
      </c>
      <c r="L16" s="4">
        <f t="shared" si="8"/>
        <v>0.48019801980198018</v>
      </c>
    </row>
    <row r="17" spans="3:12" x14ac:dyDescent="0.3">
      <c r="C17" s="3" t="s">
        <v>14</v>
      </c>
      <c r="D17">
        <v>50</v>
      </c>
      <c r="E17">
        <v>12</v>
      </c>
      <c r="F17">
        <v>4</v>
      </c>
    </row>
    <row r="18" spans="3:12" x14ac:dyDescent="0.3">
      <c r="C18" s="3" t="s">
        <v>15</v>
      </c>
      <c r="D18">
        <v>63</v>
      </c>
      <c r="E18">
        <v>14</v>
      </c>
      <c r="F18">
        <v>0</v>
      </c>
      <c r="J18" s="7" t="s">
        <v>20</v>
      </c>
      <c r="K18" s="7"/>
      <c r="L18" s="7"/>
    </row>
    <row r="19" spans="3:12" x14ac:dyDescent="0.3">
      <c r="C19" s="3" t="s">
        <v>9</v>
      </c>
      <c r="D19">
        <v>18</v>
      </c>
      <c r="E19">
        <v>64</v>
      </c>
      <c r="F19">
        <v>62</v>
      </c>
      <c r="J19">
        <v>199</v>
      </c>
      <c r="K19">
        <v>399</v>
      </c>
      <c r="L19">
        <v>599</v>
      </c>
    </row>
    <row r="20" spans="3:12" x14ac:dyDescent="0.3">
      <c r="I20" s="3" t="s">
        <v>17</v>
      </c>
      <c r="J20" s="2">
        <f>J13*J10*1000</f>
        <v>111875.62189054726</v>
      </c>
      <c r="K20" s="2">
        <f>K13*K10*1000</f>
        <v>51103.448275862072</v>
      </c>
      <c r="L20" s="2">
        <f t="shared" ref="L20" si="9">L13*L10*1000</f>
        <v>11861.386138613861</v>
      </c>
    </row>
  </sheetData>
  <mergeCells count="4">
    <mergeCell ref="D2:F2"/>
    <mergeCell ref="J2:L2"/>
    <mergeCell ref="J9:L9"/>
    <mergeCell ref="J18:L18"/>
  </mergeCells>
  <conditionalFormatting sqref="J11:L14">
    <cfRule type="dataBar" priority="1">
      <dataBar>
        <cfvo type="min"/>
        <cfvo type="num" val="1"/>
        <color rgb="FF00B050"/>
      </dataBar>
      <extLst>
        <ext xmlns:x14="http://schemas.microsoft.com/office/spreadsheetml/2009/9/main" uri="{B025F937-C7B1-47D3-B67F-A62EFF666E3E}">
          <x14:id>{43501B89-08E8-F94D-BC08-880D73C25095}</x14:id>
        </ext>
      </extLst>
    </cfRule>
    <cfRule type="dataBar" priority="2">
      <dataBar>
        <cfvo type="min"/>
        <cfvo type="percent" val="100"/>
        <color rgb="FF00B050"/>
      </dataBar>
      <extLst>
        <ext xmlns:x14="http://schemas.microsoft.com/office/spreadsheetml/2009/9/main" uri="{B025F937-C7B1-47D3-B67F-A62EFF666E3E}">
          <x14:id>{0F07D3D3-4DCF-5F42-BDBC-5A6DA15AFE11}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{B474031C-BF67-5540-8403-6C142EACF4BC}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501B89-08E8-F94D-BC08-880D73C25095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F07D3D3-4DCF-5F42-BDBC-5A6DA15AFE11}">
            <x14:dataBar minLength="0" maxLength="100" gradient="0">
              <x14:cfvo type="autoMin"/>
              <x14:cfvo type="percent">
                <xm:f>100</xm:f>
              </x14:cfvo>
              <x14:negativeFillColor rgb="FFFF0000"/>
              <x14:axisColor rgb="FF000000"/>
            </x14:dataBar>
          </x14:cfRule>
          <x14:cfRule type="dataBar" id="{B474031C-BF67-5540-8403-6C142EACF4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J11:L14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Лестница цен</vt:lpstr>
      <vt:lpstr>Monadic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Vadim Saprykin</cp:lastModifiedBy>
  <dcterms:created xsi:type="dcterms:W3CDTF">2024-11-19T08:09:23Z</dcterms:created>
  <dcterms:modified xsi:type="dcterms:W3CDTF">2025-11-05T18:29:56Z</dcterms:modified>
</cp:coreProperties>
</file>