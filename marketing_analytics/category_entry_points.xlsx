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дебренд\"/>
    </mc:Choice>
  </mc:AlternateContent>
  <xr:revisionPtr revIDLastSave="0" documentId="13_ncr:1_{7F9A14B8-47F2-4B04-9B40-05FC73906C4D}" xr6:coauthVersionLast="47" xr6:coauthVersionMax="47" xr10:uidLastSave="{00000000-0000-0000-0000-000000000000}"/>
  <bookViews>
    <workbookView xWindow="-108" yWindow="-108" windowWidth="23256" windowHeight="13896" xr2:uid="{53BB5D27-C0BD-FC4B-B7AA-2AA16DD1F685}"/>
  </bookViews>
  <sheets>
    <sheet name="CEP-PEN" sheetId="1" r:id="rId1"/>
    <sheet name="CEP-COUNTS" sheetId="2" r:id="rId2"/>
    <sheet name="CEP-%" sheetId="3" r:id="rId3"/>
    <sheet name="CEP - Expected %" sheetId="4" r:id="rId4"/>
    <sheet name="CEP - Resid %" sheetId="5" r:id="rId5"/>
    <sheet name="CEP - Analysis" sheetId="6" r:id="rId6"/>
    <sheet name="CEP - Vanish Recs" sheetId="7" r:id="rId7"/>
    <sheet name="Mental Market Share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8" l="1"/>
  <c r="D31" i="8"/>
  <c r="E31" i="8"/>
  <c r="F31" i="8"/>
  <c r="G31" i="8"/>
  <c r="H31" i="8"/>
  <c r="I31" i="8"/>
  <c r="J31" i="8"/>
  <c r="K31" i="8"/>
  <c r="L31" i="8"/>
  <c r="M31" i="8"/>
  <c r="B31" i="8"/>
  <c r="N30" i="8"/>
  <c r="C30" i="8"/>
  <c r="D30" i="8"/>
  <c r="E30" i="8"/>
  <c r="F30" i="8"/>
  <c r="G30" i="8"/>
  <c r="H30" i="8"/>
  <c r="I30" i="8"/>
  <c r="J30" i="8"/>
  <c r="K30" i="8"/>
  <c r="L30" i="8"/>
  <c r="M30" i="8"/>
  <c r="B30" i="8"/>
  <c r="C2" i="5" l="1"/>
  <c r="D2" i="5"/>
  <c r="E2" i="5"/>
  <c r="F2" i="5"/>
  <c r="G2" i="5"/>
  <c r="H2" i="5"/>
  <c r="I2" i="5"/>
  <c r="J2" i="5"/>
  <c r="K2" i="5"/>
  <c r="L2" i="5"/>
  <c r="M2" i="5"/>
  <c r="C3" i="5"/>
  <c r="D3" i="5"/>
  <c r="E3" i="5"/>
  <c r="F3" i="5"/>
  <c r="G3" i="5"/>
  <c r="H3" i="5"/>
  <c r="I3" i="5"/>
  <c r="J3" i="5"/>
  <c r="K3" i="5"/>
  <c r="L3" i="5"/>
  <c r="M3" i="5"/>
  <c r="C4" i="5"/>
  <c r="D4" i="5"/>
  <c r="E4" i="5"/>
  <c r="F4" i="5"/>
  <c r="G4" i="5"/>
  <c r="H4" i="5"/>
  <c r="I4" i="5"/>
  <c r="J4" i="5"/>
  <c r="K4" i="5"/>
  <c r="L4" i="5"/>
  <c r="M4" i="5"/>
  <c r="C5" i="5"/>
  <c r="D5" i="5"/>
  <c r="E5" i="5"/>
  <c r="F5" i="5"/>
  <c r="G5" i="5"/>
  <c r="H5" i="5"/>
  <c r="I5" i="5"/>
  <c r="J5" i="5"/>
  <c r="K5" i="5"/>
  <c r="L5" i="5"/>
  <c r="M5" i="5"/>
  <c r="C6" i="5"/>
  <c r="D6" i="5"/>
  <c r="E6" i="5"/>
  <c r="F6" i="5"/>
  <c r="G6" i="5"/>
  <c r="H6" i="5"/>
  <c r="I6" i="5"/>
  <c r="J6" i="5"/>
  <c r="K6" i="5"/>
  <c r="L6" i="5"/>
  <c r="M6" i="5"/>
  <c r="C7" i="5"/>
  <c r="D7" i="5"/>
  <c r="E7" i="5"/>
  <c r="F7" i="5"/>
  <c r="G7" i="5"/>
  <c r="H7" i="5"/>
  <c r="I7" i="5"/>
  <c r="J7" i="5"/>
  <c r="K7" i="5"/>
  <c r="L7" i="5"/>
  <c r="M7" i="5"/>
  <c r="C8" i="5"/>
  <c r="D8" i="5"/>
  <c r="E8" i="5"/>
  <c r="F8" i="5"/>
  <c r="G8" i="5"/>
  <c r="H8" i="5"/>
  <c r="I8" i="5"/>
  <c r="J8" i="5"/>
  <c r="K8" i="5"/>
  <c r="L8" i="5"/>
  <c r="M8" i="5"/>
  <c r="C9" i="5"/>
  <c r="D9" i="5"/>
  <c r="E9" i="5"/>
  <c r="F9" i="5"/>
  <c r="G9" i="5"/>
  <c r="H9" i="5"/>
  <c r="I9" i="5"/>
  <c r="J9" i="5"/>
  <c r="K9" i="5"/>
  <c r="L9" i="5"/>
  <c r="M9" i="5"/>
  <c r="C10" i="5"/>
  <c r="D10" i="5"/>
  <c r="E10" i="5"/>
  <c r="F10" i="5"/>
  <c r="G10" i="5"/>
  <c r="H10" i="5"/>
  <c r="I10" i="5"/>
  <c r="J10" i="5"/>
  <c r="K10" i="5"/>
  <c r="L10" i="5"/>
  <c r="M10" i="5"/>
  <c r="C11" i="5"/>
  <c r="D11" i="5"/>
  <c r="E11" i="5"/>
  <c r="F11" i="5"/>
  <c r="G11" i="5"/>
  <c r="H11" i="5"/>
  <c r="I11" i="5"/>
  <c r="J11" i="5"/>
  <c r="K11" i="5"/>
  <c r="L11" i="5"/>
  <c r="M11" i="5"/>
  <c r="C12" i="5"/>
  <c r="D12" i="5"/>
  <c r="E12" i="5"/>
  <c r="F12" i="5"/>
  <c r="G12" i="5"/>
  <c r="H12" i="5"/>
  <c r="I12" i="5"/>
  <c r="J12" i="5"/>
  <c r="K12" i="5"/>
  <c r="L12" i="5"/>
  <c r="M12" i="5"/>
  <c r="C13" i="5"/>
  <c r="D13" i="5"/>
  <c r="E13" i="5"/>
  <c r="F13" i="5"/>
  <c r="G13" i="5"/>
  <c r="H13" i="5"/>
  <c r="I13" i="5"/>
  <c r="J13" i="5"/>
  <c r="K13" i="5"/>
  <c r="L13" i="5"/>
  <c r="M13" i="5"/>
  <c r="C14" i="5"/>
  <c r="D14" i="5"/>
  <c r="E14" i="5"/>
  <c r="F14" i="5"/>
  <c r="G14" i="5"/>
  <c r="H14" i="5"/>
  <c r="I14" i="5"/>
  <c r="J14" i="5"/>
  <c r="K14" i="5"/>
  <c r="L14" i="5"/>
  <c r="M14" i="5"/>
  <c r="C15" i="5"/>
  <c r="D15" i="5"/>
  <c r="E15" i="5"/>
  <c r="F15" i="5"/>
  <c r="G15" i="5"/>
  <c r="H15" i="5"/>
  <c r="I15" i="5"/>
  <c r="J15" i="5"/>
  <c r="K15" i="5"/>
  <c r="L15" i="5"/>
  <c r="M15" i="5"/>
  <c r="C16" i="5"/>
  <c r="D16" i="5"/>
  <c r="E16" i="5"/>
  <c r="F16" i="5"/>
  <c r="G16" i="5"/>
  <c r="H16" i="5"/>
  <c r="I16" i="5"/>
  <c r="J16" i="5"/>
  <c r="K16" i="5"/>
  <c r="L16" i="5"/>
  <c r="M16" i="5"/>
  <c r="C17" i="5"/>
  <c r="D17" i="5"/>
  <c r="E17" i="5"/>
  <c r="F17" i="5"/>
  <c r="G17" i="5"/>
  <c r="H17" i="5"/>
  <c r="I17" i="5"/>
  <c r="J17" i="5"/>
  <c r="K17" i="5"/>
  <c r="L17" i="5"/>
  <c r="M17" i="5"/>
  <c r="C18" i="5"/>
  <c r="D18" i="5"/>
  <c r="E18" i="5"/>
  <c r="F18" i="5"/>
  <c r="G18" i="5"/>
  <c r="H18" i="5"/>
  <c r="I18" i="5"/>
  <c r="J18" i="5"/>
  <c r="K18" i="5"/>
  <c r="L18" i="5"/>
  <c r="M18" i="5"/>
  <c r="C19" i="5"/>
  <c r="D19" i="5"/>
  <c r="E19" i="5"/>
  <c r="F19" i="5"/>
  <c r="G19" i="5"/>
  <c r="H19" i="5"/>
  <c r="I19" i="5"/>
  <c r="J19" i="5"/>
  <c r="K19" i="5"/>
  <c r="L19" i="5"/>
  <c r="M19" i="5"/>
  <c r="C20" i="5"/>
  <c r="D20" i="5"/>
  <c r="E20" i="5"/>
  <c r="F20" i="5"/>
  <c r="G20" i="5"/>
  <c r="H20" i="5"/>
  <c r="I20" i="5"/>
  <c r="J20" i="5"/>
  <c r="K20" i="5"/>
  <c r="L20" i="5"/>
  <c r="M20" i="5"/>
  <c r="C21" i="5"/>
  <c r="D21" i="5"/>
  <c r="E21" i="5"/>
  <c r="F21" i="5"/>
  <c r="G21" i="5"/>
  <c r="H21" i="5"/>
  <c r="I21" i="5"/>
  <c r="J21" i="5"/>
  <c r="K21" i="5"/>
  <c r="L21" i="5"/>
  <c r="M21" i="5"/>
  <c r="C22" i="5"/>
  <c r="D22" i="5"/>
  <c r="E22" i="5"/>
  <c r="F22" i="5"/>
  <c r="G22" i="5"/>
  <c r="H22" i="5"/>
  <c r="I22" i="5"/>
  <c r="J22" i="5"/>
  <c r="K22" i="5"/>
  <c r="L22" i="5"/>
  <c r="M22" i="5"/>
  <c r="C23" i="5"/>
  <c r="D23" i="5"/>
  <c r="E23" i="5"/>
  <c r="F23" i="5"/>
  <c r="G23" i="5"/>
  <c r="H23" i="5"/>
  <c r="I23" i="5"/>
  <c r="J23" i="5"/>
  <c r="K23" i="5"/>
  <c r="L23" i="5"/>
  <c r="M23" i="5"/>
  <c r="C24" i="5"/>
  <c r="D24" i="5"/>
  <c r="E24" i="5"/>
  <c r="F24" i="5"/>
  <c r="G24" i="5"/>
  <c r="H24" i="5"/>
  <c r="I24" i="5"/>
  <c r="J24" i="5"/>
  <c r="K24" i="5"/>
  <c r="L24" i="5"/>
  <c r="M24" i="5"/>
  <c r="C25" i="5"/>
  <c r="D25" i="5"/>
  <c r="E25" i="5"/>
  <c r="F25" i="5"/>
  <c r="G25" i="5"/>
  <c r="H25" i="5"/>
  <c r="I25" i="5"/>
  <c r="J25" i="5"/>
  <c r="K25" i="5"/>
  <c r="L25" i="5"/>
  <c r="M25" i="5"/>
  <c r="C26" i="5"/>
  <c r="D26" i="5"/>
  <c r="E26" i="5"/>
  <c r="F26" i="5"/>
  <c r="G26" i="5"/>
  <c r="H26" i="5"/>
  <c r="I26" i="5"/>
  <c r="J26" i="5"/>
  <c r="K26" i="5"/>
  <c r="L26" i="5"/>
  <c r="M26" i="5"/>
  <c r="C27" i="5"/>
  <c r="D27" i="5"/>
  <c r="E27" i="5"/>
  <c r="F27" i="5"/>
  <c r="G27" i="5"/>
  <c r="H27" i="5"/>
  <c r="I27" i="5"/>
  <c r="J27" i="5"/>
  <c r="K27" i="5"/>
  <c r="L27" i="5"/>
  <c r="M27" i="5"/>
  <c r="C28" i="5"/>
  <c r="D28" i="5"/>
  <c r="E28" i="5"/>
  <c r="F28" i="5"/>
  <c r="G28" i="5"/>
  <c r="H28" i="5"/>
  <c r="I28" i="5"/>
  <c r="J28" i="5"/>
  <c r="K28" i="5"/>
  <c r="L28" i="5"/>
  <c r="M28" i="5"/>
  <c r="C29" i="5"/>
  <c r="D29" i="5"/>
  <c r="E29" i="5"/>
  <c r="F29" i="5"/>
  <c r="G29" i="5"/>
  <c r="H29" i="5"/>
  <c r="I29" i="5"/>
  <c r="J29" i="5"/>
  <c r="K29" i="5"/>
  <c r="L29" i="5"/>
  <c r="M29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2" i="5"/>
  <c r="C2" i="4"/>
  <c r="D2" i="4"/>
  <c r="E2" i="4"/>
  <c r="F2" i="4"/>
  <c r="G2" i="4"/>
  <c r="H2" i="4"/>
  <c r="I2" i="4"/>
  <c r="J2" i="4"/>
  <c r="K2" i="4"/>
  <c r="L2" i="4"/>
  <c r="M2" i="4"/>
  <c r="C3" i="4"/>
  <c r="D3" i="4"/>
  <c r="E3" i="4"/>
  <c r="F3" i="4"/>
  <c r="G3" i="4"/>
  <c r="H3" i="4"/>
  <c r="I3" i="4"/>
  <c r="J3" i="4"/>
  <c r="K3" i="4"/>
  <c r="L3" i="4"/>
  <c r="M3" i="4"/>
  <c r="C4" i="4"/>
  <c r="D4" i="4"/>
  <c r="E4" i="4"/>
  <c r="F4" i="4"/>
  <c r="G4" i="4"/>
  <c r="H4" i="4"/>
  <c r="I4" i="4"/>
  <c r="J4" i="4"/>
  <c r="K4" i="4"/>
  <c r="L4" i="4"/>
  <c r="M4" i="4"/>
  <c r="C5" i="4"/>
  <c r="D5" i="4"/>
  <c r="E5" i="4"/>
  <c r="F5" i="4"/>
  <c r="G5" i="4"/>
  <c r="H5" i="4"/>
  <c r="I5" i="4"/>
  <c r="J5" i="4"/>
  <c r="K5" i="4"/>
  <c r="L5" i="4"/>
  <c r="M5" i="4"/>
  <c r="C6" i="4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D12" i="4"/>
  <c r="E12" i="4"/>
  <c r="F12" i="4"/>
  <c r="G12" i="4"/>
  <c r="H12" i="4"/>
  <c r="I12" i="4"/>
  <c r="J12" i="4"/>
  <c r="K12" i="4"/>
  <c r="L12" i="4"/>
  <c r="M12" i="4"/>
  <c r="C13" i="4"/>
  <c r="D13" i="4"/>
  <c r="E13" i="4"/>
  <c r="F13" i="4"/>
  <c r="G13" i="4"/>
  <c r="H13" i="4"/>
  <c r="I13" i="4"/>
  <c r="J13" i="4"/>
  <c r="K13" i="4"/>
  <c r="L13" i="4"/>
  <c r="M13" i="4"/>
  <c r="C14" i="4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D16" i="4"/>
  <c r="E16" i="4"/>
  <c r="F16" i="4"/>
  <c r="G16" i="4"/>
  <c r="H16" i="4"/>
  <c r="I16" i="4"/>
  <c r="J16" i="4"/>
  <c r="K16" i="4"/>
  <c r="L16" i="4"/>
  <c r="M16" i="4"/>
  <c r="C17" i="4"/>
  <c r="D17" i="4"/>
  <c r="E17" i="4"/>
  <c r="F17" i="4"/>
  <c r="G17" i="4"/>
  <c r="H17" i="4"/>
  <c r="I17" i="4"/>
  <c r="J17" i="4"/>
  <c r="K17" i="4"/>
  <c r="L17" i="4"/>
  <c r="M17" i="4"/>
  <c r="C18" i="4"/>
  <c r="D18" i="4"/>
  <c r="E18" i="4"/>
  <c r="F18" i="4"/>
  <c r="G18" i="4"/>
  <c r="H18" i="4"/>
  <c r="I18" i="4"/>
  <c r="J18" i="4"/>
  <c r="K18" i="4"/>
  <c r="L18" i="4"/>
  <c r="M18" i="4"/>
  <c r="C19" i="4"/>
  <c r="D19" i="4"/>
  <c r="E19" i="4"/>
  <c r="F19" i="4"/>
  <c r="G19" i="4"/>
  <c r="H19" i="4"/>
  <c r="I19" i="4"/>
  <c r="J19" i="4"/>
  <c r="K19" i="4"/>
  <c r="L19" i="4"/>
  <c r="M19" i="4"/>
  <c r="C20" i="4"/>
  <c r="D20" i="4"/>
  <c r="E20" i="4"/>
  <c r="F20" i="4"/>
  <c r="G20" i="4"/>
  <c r="H20" i="4"/>
  <c r="I20" i="4"/>
  <c r="J20" i="4"/>
  <c r="K20" i="4"/>
  <c r="L20" i="4"/>
  <c r="M20" i="4"/>
  <c r="C21" i="4"/>
  <c r="D21" i="4"/>
  <c r="E21" i="4"/>
  <c r="F21" i="4"/>
  <c r="G21" i="4"/>
  <c r="H21" i="4"/>
  <c r="I21" i="4"/>
  <c r="J21" i="4"/>
  <c r="K21" i="4"/>
  <c r="L21" i="4"/>
  <c r="M21" i="4"/>
  <c r="C22" i="4"/>
  <c r="D22" i="4"/>
  <c r="E22" i="4"/>
  <c r="F22" i="4"/>
  <c r="G22" i="4"/>
  <c r="H22" i="4"/>
  <c r="I22" i="4"/>
  <c r="J22" i="4"/>
  <c r="K22" i="4"/>
  <c r="L22" i="4"/>
  <c r="M22" i="4"/>
  <c r="C23" i="4"/>
  <c r="D23" i="4"/>
  <c r="E23" i="4"/>
  <c r="F23" i="4"/>
  <c r="G23" i="4"/>
  <c r="H23" i="4"/>
  <c r="I23" i="4"/>
  <c r="J23" i="4"/>
  <c r="K23" i="4"/>
  <c r="L23" i="4"/>
  <c r="M23" i="4"/>
  <c r="C24" i="4"/>
  <c r="D24" i="4"/>
  <c r="E24" i="4"/>
  <c r="F24" i="4"/>
  <c r="G24" i="4"/>
  <c r="H24" i="4"/>
  <c r="I24" i="4"/>
  <c r="J24" i="4"/>
  <c r="K24" i="4"/>
  <c r="L24" i="4"/>
  <c r="M24" i="4"/>
  <c r="C25" i="4"/>
  <c r="D25" i="4"/>
  <c r="E25" i="4"/>
  <c r="F25" i="4"/>
  <c r="G25" i="4"/>
  <c r="H25" i="4"/>
  <c r="I25" i="4"/>
  <c r="J25" i="4"/>
  <c r="K25" i="4"/>
  <c r="L25" i="4"/>
  <c r="M25" i="4"/>
  <c r="C26" i="4"/>
  <c r="D26" i="4"/>
  <c r="E26" i="4"/>
  <c r="F26" i="4"/>
  <c r="G26" i="4"/>
  <c r="H26" i="4"/>
  <c r="I26" i="4"/>
  <c r="J26" i="4"/>
  <c r="K26" i="4"/>
  <c r="L26" i="4"/>
  <c r="M26" i="4"/>
  <c r="C27" i="4"/>
  <c r="D27" i="4"/>
  <c r="E27" i="4"/>
  <c r="F27" i="4"/>
  <c r="G27" i="4"/>
  <c r="H27" i="4"/>
  <c r="I27" i="4"/>
  <c r="J27" i="4"/>
  <c r="K27" i="4"/>
  <c r="L27" i="4"/>
  <c r="M27" i="4"/>
  <c r="C28" i="4"/>
  <c r="D28" i="4"/>
  <c r="E28" i="4"/>
  <c r="F28" i="4"/>
  <c r="G28" i="4"/>
  <c r="H28" i="4"/>
  <c r="I28" i="4"/>
  <c r="J28" i="4"/>
  <c r="K28" i="4"/>
  <c r="L28" i="4"/>
  <c r="M28" i="4"/>
  <c r="C29" i="4"/>
  <c r="D29" i="4"/>
  <c r="E29" i="4"/>
  <c r="F29" i="4"/>
  <c r="G29" i="4"/>
  <c r="H29" i="4"/>
  <c r="I29" i="4"/>
  <c r="J29" i="4"/>
  <c r="K29" i="4"/>
  <c r="L29" i="4"/>
  <c r="M29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2" i="4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2" i="3"/>
  <c r="C30" i="3"/>
  <c r="D30" i="3"/>
  <c r="E30" i="3"/>
  <c r="F30" i="3"/>
  <c r="G30" i="3"/>
  <c r="H30" i="3"/>
  <c r="I30" i="3"/>
  <c r="J30" i="3"/>
  <c r="K30" i="3"/>
  <c r="L30" i="3"/>
  <c r="M30" i="3"/>
  <c r="B30" i="3"/>
  <c r="B3" i="3"/>
  <c r="C3" i="3"/>
  <c r="D3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B10" i="3"/>
  <c r="C10" i="3"/>
  <c r="D10" i="3"/>
  <c r="E10" i="3"/>
  <c r="F10" i="3"/>
  <c r="G10" i="3"/>
  <c r="H10" i="3"/>
  <c r="I10" i="3"/>
  <c r="J10" i="3"/>
  <c r="K10" i="3"/>
  <c r="L10" i="3"/>
  <c r="M10" i="3"/>
  <c r="B11" i="3"/>
  <c r="C11" i="3"/>
  <c r="D11" i="3"/>
  <c r="E11" i="3"/>
  <c r="F11" i="3"/>
  <c r="G11" i="3"/>
  <c r="H11" i="3"/>
  <c r="I11" i="3"/>
  <c r="J11" i="3"/>
  <c r="K11" i="3"/>
  <c r="L11" i="3"/>
  <c r="M11" i="3"/>
  <c r="B12" i="3"/>
  <c r="C12" i="3"/>
  <c r="D12" i="3"/>
  <c r="E12" i="3"/>
  <c r="F12" i="3"/>
  <c r="G12" i="3"/>
  <c r="H12" i="3"/>
  <c r="I12" i="3"/>
  <c r="J12" i="3"/>
  <c r="K12" i="3"/>
  <c r="L12" i="3"/>
  <c r="M12" i="3"/>
  <c r="B13" i="3"/>
  <c r="C13" i="3"/>
  <c r="D13" i="3"/>
  <c r="E13" i="3"/>
  <c r="F13" i="3"/>
  <c r="G13" i="3"/>
  <c r="H13" i="3"/>
  <c r="I13" i="3"/>
  <c r="J13" i="3"/>
  <c r="K13" i="3"/>
  <c r="L13" i="3"/>
  <c r="M13" i="3"/>
  <c r="B14" i="3"/>
  <c r="C14" i="3"/>
  <c r="D14" i="3"/>
  <c r="E14" i="3"/>
  <c r="F14" i="3"/>
  <c r="G14" i="3"/>
  <c r="H14" i="3"/>
  <c r="I14" i="3"/>
  <c r="J14" i="3"/>
  <c r="K14" i="3"/>
  <c r="L14" i="3"/>
  <c r="M14" i="3"/>
  <c r="B15" i="3"/>
  <c r="C15" i="3"/>
  <c r="D15" i="3"/>
  <c r="E15" i="3"/>
  <c r="F15" i="3"/>
  <c r="G15" i="3"/>
  <c r="H15" i="3"/>
  <c r="I15" i="3"/>
  <c r="J15" i="3"/>
  <c r="K15" i="3"/>
  <c r="L15" i="3"/>
  <c r="M15" i="3"/>
  <c r="B16" i="3"/>
  <c r="C16" i="3"/>
  <c r="D16" i="3"/>
  <c r="E16" i="3"/>
  <c r="F16" i="3"/>
  <c r="G16" i="3"/>
  <c r="H16" i="3"/>
  <c r="I16" i="3"/>
  <c r="J16" i="3"/>
  <c r="K16" i="3"/>
  <c r="L16" i="3"/>
  <c r="M16" i="3"/>
  <c r="B17" i="3"/>
  <c r="C17" i="3"/>
  <c r="D17" i="3"/>
  <c r="E17" i="3"/>
  <c r="F17" i="3"/>
  <c r="G17" i="3"/>
  <c r="H17" i="3"/>
  <c r="I17" i="3"/>
  <c r="J17" i="3"/>
  <c r="K17" i="3"/>
  <c r="L17" i="3"/>
  <c r="M17" i="3"/>
  <c r="B18" i="3"/>
  <c r="C18" i="3"/>
  <c r="D18" i="3"/>
  <c r="E18" i="3"/>
  <c r="F18" i="3"/>
  <c r="G18" i="3"/>
  <c r="H18" i="3"/>
  <c r="I18" i="3"/>
  <c r="J18" i="3"/>
  <c r="K18" i="3"/>
  <c r="L18" i="3"/>
  <c r="M18" i="3"/>
  <c r="B19" i="3"/>
  <c r="C19" i="3"/>
  <c r="D19" i="3"/>
  <c r="E19" i="3"/>
  <c r="F19" i="3"/>
  <c r="G19" i="3"/>
  <c r="H19" i="3"/>
  <c r="I19" i="3"/>
  <c r="J19" i="3"/>
  <c r="K19" i="3"/>
  <c r="L19" i="3"/>
  <c r="M19" i="3"/>
  <c r="B20" i="3"/>
  <c r="C20" i="3"/>
  <c r="D20" i="3"/>
  <c r="E20" i="3"/>
  <c r="F20" i="3"/>
  <c r="G20" i="3"/>
  <c r="H20" i="3"/>
  <c r="I20" i="3"/>
  <c r="J20" i="3"/>
  <c r="K20" i="3"/>
  <c r="L20" i="3"/>
  <c r="M20" i="3"/>
  <c r="B21" i="3"/>
  <c r="C21" i="3"/>
  <c r="D21" i="3"/>
  <c r="E21" i="3"/>
  <c r="F21" i="3"/>
  <c r="G21" i="3"/>
  <c r="H21" i="3"/>
  <c r="I21" i="3"/>
  <c r="J21" i="3"/>
  <c r="K21" i="3"/>
  <c r="L21" i="3"/>
  <c r="M21" i="3"/>
  <c r="B22" i="3"/>
  <c r="C22" i="3"/>
  <c r="D22" i="3"/>
  <c r="E22" i="3"/>
  <c r="F22" i="3"/>
  <c r="G22" i="3"/>
  <c r="H22" i="3"/>
  <c r="I22" i="3"/>
  <c r="J22" i="3"/>
  <c r="K22" i="3"/>
  <c r="L22" i="3"/>
  <c r="M22" i="3"/>
  <c r="B23" i="3"/>
  <c r="C23" i="3"/>
  <c r="D23" i="3"/>
  <c r="E23" i="3"/>
  <c r="F23" i="3"/>
  <c r="G23" i="3"/>
  <c r="H23" i="3"/>
  <c r="I23" i="3"/>
  <c r="J23" i="3"/>
  <c r="K23" i="3"/>
  <c r="L23" i="3"/>
  <c r="M23" i="3"/>
  <c r="B24" i="3"/>
  <c r="C24" i="3"/>
  <c r="D24" i="3"/>
  <c r="E24" i="3"/>
  <c r="F24" i="3"/>
  <c r="G24" i="3"/>
  <c r="H24" i="3"/>
  <c r="I24" i="3"/>
  <c r="J24" i="3"/>
  <c r="K24" i="3"/>
  <c r="L24" i="3"/>
  <c r="M24" i="3"/>
  <c r="B25" i="3"/>
  <c r="C25" i="3"/>
  <c r="D25" i="3"/>
  <c r="E25" i="3"/>
  <c r="F25" i="3"/>
  <c r="G25" i="3"/>
  <c r="H25" i="3"/>
  <c r="I25" i="3"/>
  <c r="J25" i="3"/>
  <c r="K25" i="3"/>
  <c r="L25" i="3"/>
  <c r="M25" i="3"/>
  <c r="B26" i="3"/>
  <c r="C26" i="3"/>
  <c r="D26" i="3"/>
  <c r="E26" i="3"/>
  <c r="F26" i="3"/>
  <c r="G26" i="3"/>
  <c r="H26" i="3"/>
  <c r="I26" i="3"/>
  <c r="J26" i="3"/>
  <c r="K26" i="3"/>
  <c r="L26" i="3"/>
  <c r="M26" i="3"/>
  <c r="B27" i="3"/>
  <c r="C27" i="3"/>
  <c r="D27" i="3"/>
  <c r="E27" i="3"/>
  <c r="F27" i="3"/>
  <c r="G27" i="3"/>
  <c r="H27" i="3"/>
  <c r="I27" i="3"/>
  <c r="J27" i="3"/>
  <c r="K27" i="3"/>
  <c r="L27" i="3"/>
  <c r="M27" i="3"/>
  <c r="B28" i="3"/>
  <c r="C28" i="3"/>
  <c r="D28" i="3"/>
  <c r="E28" i="3"/>
  <c r="F28" i="3"/>
  <c r="G28" i="3"/>
  <c r="H28" i="3"/>
  <c r="I28" i="3"/>
  <c r="J28" i="3"/>
  <c r="K28" i="3"/>
  <c r="L28" i="3"/>
  <c r="M28" i="3"/>
  <c r="B29" i="3"/>
  <c r="C29" i="3"/>
  <c r="D29" i="3"/>
  <c r="E29" i="3"/>
  <c r="F29" i="3"/>
  <c r="G29" i="3"/>
  <c r="H29" i="3"/>
  <c r="I29" i="3"/>
  <c r="J29" i="3"/>
  <c r="K29" i="3"/>
  <c r="L29" i="3"/>
  <c r="M29" i="3"/>
  <c r="C2" i="3"/>
  <c r="D2" i="3"/>
  <c r="E2" i="3"/>
  <c r="F2" i="3"/>
  <c r="G2" i="3"/>
  <c r="H2" i="3"/>
  <c r="I2" i="3"/>
  <c r="J2" i="3"/>
  <c r="K2" i="3"/>
  <c r="L2" i="3"/>
  <c r="M2" i="3"/>
  <c r="B2" i="3"/>
</calcChain>
</file>

<file path=xl/sharedStrings.xml><?xml version="1.0" encoding="utf-8"?>
<sst xmlns="http://schemas.openxmlformats.org/spreadsheetml/2006/main" count="468" uniqueCount="103">
  <si>
    <t>U2: Ниже Вы увидите ситуации при чистке ковров. Отметьте, пожалуйста, те ситуации, с которыми Вы сталкивались при чистке ковров, за последние 3 месяца.</t>
  </si>
  <si>
    <t>% по столбцу</t>
  </si>
  <si>
    <t>Убирал(а) въевшиеся пятна на ковре/ковровых покрытиях/мягкой мебели</t>
  </si>
  <si>
    <t>Убирал(а) легкие пятна на ковре/ковровых покрытиях/мягкой мебели</t>
  </si>
  <si>
    <t>Нужно было избавиться от бактерий / вирусов / микробов на ковре/ковровых покрытиях и мягкой мебели</t>
  </si>
  <si>
    <t>Столкнулся(ась) с проблемой неприятных запахов с ковров и ковровых покрытий, мягкой мебели</t>
  </si>
  <si>
    <t>Чистил(а) ковры, ковровые покрытия, мягкую мебель из деликатных материалов</t>
  </si>
  <si>
    <t>Сталкивался(ась) с проблемой плохого внешнего вида ковра/ковровых покрытий (несвежий / затоптанный)</t>
  </si>
  <si>
    <t>Чистил(а) следы от лап домашних животных на ковре/ковровых покрытиях/мягкой мебели</t>
  </si>
  <si>
    <t>Чистил(а) шерсть от домашних животных на ковре/ковровых покрытиях/мягкой мебели</t>
  </si>
  <si>
    <t>Хотел(а) защитить себя и близких от болезней, вызванных вирусами, микробами и бактериями</t>
  </si>
  <si>
    <t>Убирал(а) остатки пластилина, слаймов, краски на ковре/ковровых покрытиях/мягкой мебели</t>
  </si>
  <si>
    <t>Проводил(а) легкую гигиеническую чистку ковра/ковровых покрытий/мягкой мебели</t>
  </si>
  <si>
    <t>Дома были грудничковые дети</t>
  </si>
  <si>
    <t>Дома были дети старшего возраста</t>
  </si>
  <si>
    <t>Дома были животные</t>
  </si>
  <si>
    <t>Дома были дети люди с астмой и/или аллергией</t>
  </si>
  <si>
    <t>Чистил(а) восточные ковры</t>
  </si>
  <si>
    <t>Чистил(а) ковровые поверхности с длинным ворсом</t>
  </si>
  <si>
    <t>Чистил(а) ковровые поверхности с коротким ворсом</t>
  </si>
  <si>
    <t>Чистил(а) ковер и ковровые покрытия, мягкую мебель после интенсивного игрового дня</t>
  </si>
  <si>
    <t>Проводил(а) повседневную уборку</t>
  </si>
  <si>
    <t>Проводил(а) генеральную уборку</t>
  </si>
  <si>
    <t>Срочно нужно вывести пятна с ковра/коврого покрытия/мягкой мебели</t>
  </si>
  <si>
    <t>Испытывал(а) стресс и негативные эмоции от наличия сильных пятен на ковре/ковровом покрытии/мягкой мебели</t>
  </si>
  <si>
    <t>Хотел(а) почувствовать себя более комфортно дома</t>
  </si>
  <si>
    <t>Убирался(ась) перед приходом гостей</t>
  </si>
  <si>
    <t>Убирался(ась) после гостей</t>
  </si>
  <si>
    <t>Убирался(ась) перед приходом родителей (включая родителей супруга/супруги)</t>
  </si>
  <si>
    <t>Чистил(а) автомобильные кресла</t>
  </si>
  <si>
    <t>Ничего из перечисленного</t>
  </si>
  <si>
    <t>U1_1: Убирает въевшиеся пятна на ковре/ковровых покрытиях/мягкой мебели</t>
  </si>
  <si>
    <t>U1_2: Убирает легкие пятна на ковре/ковровых покрытиях/мягкой мебели</t>
  </si>
  <si>
    <t>U1_3: Избавляет от бактерий / вирусов / микробов на ковре/ковролине и мягкой мебели</t>
  </si>
  <si>
    <t>U1_26: Подходит для уборки после прихода гостей</t>
  </si>
  <si>
    <t>U1_27: Подходит для уборки перед приходом родителей (включая родителей супруга/супруги)</t>
  </si>
  <si>
    <t>U1_28: Подходит для чистки автомобильных кресел</t>
  </si>
  <si>
    <t>U1_25: Подходит для уборки перед приходом гостей</t>
  </si>
  <si>
    <t>U1_24: Помогает чувствовать себя более комфортно дома</t>
  </si>
  <si>
    <t>U1_23: Снижает стресс и негативные эмоции от наличия сильных пятен на ковре/ковровом покрытии/мягкой мебели</t>
  </si>
  <si>
    <t>U1_19: Подходит для уборки ковра и коврового покрытия, мягкой мебели после интенсивного игрового дня</t>
  </si>
  <si>
    <t>U1_22: Подходит для использования, когда срочно нужно вывести пятна с ковра/коврого покрытия/мягкой мебели</t>
  </si>
  <si>
    <t>U1_21: Подходит для генеральной уборки</t>
  </si>
  <si>
    <t>U1_20: Подходит для повседневной уборки</t>
  </si>
  <si>
    <t>U1_18: Подходит для ковровых поверхностей с коротким ворсом</t>
  </si>
  <si>
    <t>U1_17: Подходит для ковровых поверхностей с длинным ворсом</t>
  </si>
  <si>
    <t>U1_9: Чтобы защитить себя и близких от болезней, вызванных вирусами, микробами и бактериями</t>
  </si>
  <si>
    <t>U1_14: Подходит для уборки, когда дома есть животные</t>
  </si>
  <si>
    <t>U1_16: Подходит для восточных ковров</t>
  </si>
  <si>
    <t>U1_15: Подходит для уборки, когда дома есть люди с астмой и/или аллергией</t>
  </si>
  <si>
    <t>U1_13: Подходит для уборки, когда дома есть дети старшего возраста</t>
  </si>
  <si>
    <t>U1_8: Устраняет шерсть от домашних животных на ковре/ковровых покрытиях/мягкой мебели</t>
  </si>
  <si>
    <t>U1_7: Устраняет следы от лап домашних животных на ковре/ковровых покрытиях/мягкой мебели</t>
  </si>
  <si>
    <t>U1_12: Подходит для уборки, когда дома есть грудничковые дети</t>
  </si>
  <si>
    <t>U1_4: Убирает неприятные запахи с ковров и ковровых покрытий, мягкой мебели</t>
  </si>
  <si>
    <t>U1_6: Придает ковру/ковровому покрытию хороший внешний вид (свежий, незатоптанный)</t>
  </si>
  <si>
    <t>U1_5: Подходит для ковров и ковровых покрытий, мягкой мебели из деликатных материалов</t>
  </si>
  <si>
    <t>U1_10: Помогает избавиться от пластилина, слаймов, краски на ковре/ковровых покрытиях/мягкой мебели</t>
  </si>
  <si>
    <t>U1_11: Подходит для легкой гигиенической чистки ковра/коврового покрытия/мягкой мебели</t>
  </si>
  <si>
    <t>База</t>
  </si>
  <si>
    <t>SUM</t>
  </si>
  <si>
    <t>Penetration</t>
  </si>
  <si>
    <t>CEP Type</t>
  </si>
  <si>
    <t>TOP 10</t>
  </si>
  <si>
    <t>Mid-range</t>
  </si>
  <si>
    <t>Low</t>
  </si>
  <si>
    <t>Try to fix</t>
  </si>
  <si>
    <t>Protect</t>
  </si>
  <si>
    <t>Build</t>
  </si>
  <si>
    <t>Ignore</t>
  </si>
  <si>
    <t>ORDER BY Penetration</t>
  </si>
  <si>
    <t>ORDER BY Recommendation, Penetration</t>
  </si>
  <si>
    <t>Recommendation</t>
  </si>
  <si>
    <t>Подходит для генеральной уборки</t>
  </si>
  <si>
    <t>Устраняет шерсть от домашних животных на ковре/ковровых покрытиях/мягкой мебели</t>
  </si>
  <si>
    <t>Подходит для уборки, когда дома есть животные</t>
  </si>
  <si>
    <t>Подходит для легкой гигиенической чистки ковра/коврового покрытия/мягкой мебели</t>
  </si>
  <si>
    <t>Помогает чувствовать себя более комфортно дома</t>
  </si>
  <si>
    <t>Подходит для чистки автомобильных кресел</t>
  </si>
  <si>
    <t>Подходит для уборки перед приходом родителей (включая родителей супруга/супруги)</t>
  </si>
  <si>
    <t>Помогает избавиться от пластилина, слаймов, краски на ковре/ковровых покрытиях/мягкой мебели</t>
  </si>
  <si>
    <t>Подходит для уборки, когда дома есть дети старшего возраста</t>
  </si>
  <si>
    <t>Подходит для уборки ковра и коврового покрытия, мягкой мебели после интенсивного игрового дня</t>
  </si>
  <si>
    <t>Подходит для повседневной уборки</t>
  </si>
  <si>
    <t>Подходит для ковровых поверхностей с коротким ворсом</t>
  </si>
  <si>
    <t>Подходит для уборки перед приходом гостей</t>
  </si>
  <si>
    <t>Подходит для уборки после прихода гостей</t>
  </si>
  <si>
    <t>Убирает легкие пятна на ковре/ковровых покрытиях/мягкой мебели</t>
  </si>
  <si>
    <t>Придает ковру/ковровому покрытию хороший внешний вид (свежий, незатоптанный)</t>
  </si>
  <si>
    <t>Чтобы защитить себя и близких от болезней, вызванных вирусами, микробами и бактериями</t>
  </si>
  <si>
    <t>Убирает въевшиеся пятна на ковре/ковровых покрытиях/мягкой мебели</t>
  </si>
  <si>
    <t>Подходит для использования, когда срочно нужно вывести пятна с ковра/коврого покрытия/мягкой мебели</t>
  </si>
  <si>
    <t>Устраняет следы от лап домашних животных на ковре/ковровых покрытиях/мягкой мебели</t>
  </si>
  <si>
    <t>Избавляет от бактерий / вирусов / микробов на ковре/ковролине и мягкой мебели</t>
  </si>
  <si>
    <t>Убирает неприятные запахи с ковров и ковровых покрытий, мягкой мебели</t>
  </si>
  <si>
    <t>Подходит для ковровых поверхностей с длинным ворсом</t>
  </si>
  <si>
    <t>Подходит для ковров и ковровых покрытий, мягкой мебели из деликатных материалов</t>
  </si>
  <si>
    <t>Снижает стресс и негативные эмоции от наличия сильных пятен на ковре/ковровом покрытии/мягкой мебели</t>
  </si>
  <si>
    <t>Подходит для уборки, когда дома есть люди с астмой и/или аллергией</t>
  </si>
  <si>
    <t>Подходит для уборки, когда дома есть грудничковые дети</t>
  </si>
  <si>
    <t>Подходит для восточных ковров</t>
  </si>
  <si>
    <t>MMS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</si>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</sst>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\ _₽_-;\-* #,##0\ _₽_-;_-* &quot;-&quot;??\ _₽_-;_-@_-"/>
  </numFmts>
  <fonts count="7">
    <font>
      <sz val="12"/>
      <color theme="1"/>
      <name val="Calibri"/>
      <family val="2"/>
      <charset val="204"/>
      <scheme val="minor"/>
    </font>
    <font>
      <sz val="12"/>
      <color theme="1"/>
      <name val="Gill Sans"/>
      <family val="2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color theme="1"/>
      <name val="Gill Sans"/>
      <family val="2"/>
    </font>
    <font>
      <sz val="8"/>
      <name val="Calibri"/>
      <family val="2"/>
      <charset val="204"/>
      <scheme val="minor"/>
    </font>
    <font>
      <sz val="12"/>
      <color theme="1"/>
      <name val="Gill Sans Жирный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1" fillId="0" borderId="0" xfId="0" applyNumberFormat="1" applyFont="1" applyAlignment="1">
      <alignment horizontal="right"/>
    </xf>
    <xf numFmtId="0" fontId="4" fillId="0" borderId="0" xfId="0" applyFont="1"/>
    <xf numFmtId="165" fontId="0" fillId="0" borderId="0" xfId="0" applyNumberFormat="1"/>
    <xf numFmtId="165" fontId="1" fillId="0" borderId="0" xfId="1" applyNumberFormat="1" applyFont="1"/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166" fontId="1" fillId="0" borderId="0" xfId="0" applyNumberFormat="1" applyFont="1" applyAlignment="1">
      <alignment horizontal="right"/>
    </xf>
    <xf numFmtId="1" fontId="1" fillId="0" borderId="0" xfId="0" applyNumberFormat="1" applyFont="1"/>
    <xf numFmtId="9" fontId="1" fillId="0" borderId="0" xfId="0" applyNumberFormat="1" applyFont="1" applyAlignment="1">
      <alignment horizontal="right"/>
    </xf>
    <xf numFmtId="0" fontId="4" fillId="2" borderId="0" xfId="0" applyFont="1" applyFill="1"/>
    <xf numFmtId="0" fontId="4" fillId="3" borderId="0" xfId="0" applyFont="1" applyFill="1"/>
    <xf numFmtId="0" fontId="6" fillId="0" borderId="0" xfId="0" applyFont="1"/>
    <xf numFmtId="0" fontId="4" fillId="0" borderId="0" xfId="0" applyFont="1" applyAlignment="1">
      <alignment horizontal="right"/>
    </xf>
    <xf numFmtId="9" fontId="0" fillId="0" borderId="0" xfId="3" applyFont="1"/>
  </cellXfs>
  <cellStyles count="4">
    <cellStyle name="Обычный" xfId="0" builtinId="0"/>
    <cellStyle name="Обычный 10 2 2 2 3 2" xfId="2" xr:uid="{EFBD262A-1620-9644-B7E2-65B7FFDF1F12}"/>
    <cellStyle name="Процентный" xfId="3" builtinId="5"/>
    <cellStyle name="Финансовый" xfId="1" builtinId="3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0DB-8C57-2641-8A39-494C4DB00094}">
  <dimension ref="A1:B31"/>
  <sheetViews>
    <sheetView tabSelected="1" workbookViewId="0"/>
  </sheetViews>
  <sheetFormatPr defaultColWidth="11.19921875" defaultRowHeight="15.6"/>
  <cols>
    <col min="1" max="1" width="98.5" customWidth="1"/>
    <col min="2" max="2" width="12.5" style="3" customWidth="1"/>
  </cols>
  <sheetData>
    <row r="1" spans="1:2">
      <c r="A1" s="1" t="s">
        <v>0</v>
      </c>
      <c r="B1" s="2"/>
    </row>
    <row r="2" spans="1:2">
      <c r="A2" s="1"/>
      <c r="B2" s="2" t="s">
        <v>1</v>
      </c>
    </row>
    <row r="3" spans="1:2">
      <c r="A3" s="1" t="s">
        <v>21</v>
      </c>
      <c r="B3" s="4">
        <v>0.41099999999999998</v>
      </c>
    </row>
    <row r="4" spans="1:2">
      <c r="A4" s="1" t="s">
        <v>22</v>
      </c>
      <c r="B4" s="4">
        <v>0.40600000000000003</v>
      </c>
    </row>
    <row r="5" spans="1:2">
      <c r="A5" s="1" t="s">
        <v>19</v>
      </c>
      <c r="B5" s="4">
        <v>0.33300000000000002</v>
      </c>
    </row>
    <row r="6" spans="1:2">
      <c r="A6" s="1" t="s">
        <v>9</v>
      </c>
      <c r="B6" s="4">
        <v>0.29199999999999998</v>
      </c>
    </row>
    <row r="7" spans="1:2">
      <c r="A7" s="1" t="s">
        <v>26</v>
      </c>
      <c r="B7" s="4">
        <v>0.28899999999999998</v>
      </c>
    </row>
    <row r="8" spans="1:2">
      <c r="A8" s="1" t="s">
        <v>27</v>
      </c>
      <c r="B8" s="4">
        <v>0.28599999999999998</v>
      </c>
    </row>
    <row r="9" spans="1:2">
      <c r="A9" s="1" t="s">
        <v>3</v>
      </c>
      <c r="B9" s="4">
        <v>0.28399999999999997</v>
      </c>
    </row>
    <row r="10" spans="1:2">
      <c r="A10" s="1" t="s">
        <v>15</v>
      </c>
      <c r="B10" s="4">
        <v>0.27800000000000002</v>
      </c>
    </row>
    <row r="11" spans="1:2">
      <c r="A11" s="1" t="s">
        <v>12</v>
      </c>
      <c r="B11" s="4">
        <v>0.26900000000000002</v>
      </c>
    </row>
    <row r="12" spans="1:2">
      <c r="A12" s="1" t="s">
        <v>25</v>
      </c>
      <c r="B12" s="4">
        <v>0.25900000000000001</v>
      </c>
    </row>
    <row r="13" spans="1:2">
      <c r="A13" s="1" t="s">
        <v>7</v>
      </c>
      <c r="B13" s="4">
        <v>0.19700000000000001</v>
      </c>
    </row>
    <row r="14" spans="1:2">
      <c r="A14" s="1" t="s">
        <v>29</v>
      </c>
      <c r="B14" s="4">
        <v>0.187</v>
      </c>
    </row>
    <row r="15" spans="1:2">
      <c r="A15" s="1" t="s">
        <v>10</v>
      </c>
      <c r="B15" s="4">
        <v>0.18</v>
      </c>
    </row>
    <row r="16" spans="1:2">
      <c r="A16" s="1" t="s">
        <v>2</v>
      </c>
      <c r="B16" s="4">
        <v>0.17799999999999999</v>
      </c>
    </row>
    <row r="17" spans="1:2">
      <c r="A17" s="1" t="s">
        <v>23</v>
      </c>
      <c r="B17" s="4">
        <v>0.17699999999999999</v>
      </c>
    </row>
    <row r="18" spans="1:2">
      <c r="A18" s="1" t="s">
        <v>8</v>
      </c>
      <c r="B18" s="4">
        <v>0.16200000000000001</v>
      </c>
    </row>
    <row r="19" spans="1:2">
      <c r="A19" s="1" t="s">
        <v>4</v>
      </c>
      <c r="B19" s="4">
        <v>0.14399999999999999</v>
      </c>
    </row>
    <row r="20" spans="1:2">
      <c r="A20" s="1" t="s">
        <v>5</v>
      </c>
      <c r="B20" s="4">
        <v>0.126</v>
      </c>
    </row>
    <row r="21" spans="1:2">
      <c r="A21" s="1" t="s">
        <v>28</v>
      </c>
      <c r="B21" s="4">
        <v>0.126</v>
      </c>
    </row>
    <row r="22" spans="1:2">
      <c r="A22" s="1" t="s">
        <v>18</v>
      </c>
      <c r="B22" s="4">
        <v>0.122</v>
      </c>
    </row>
    <row r="23" spans="1:2">
      <c r="A23" s="1" t="s">
        <v>6</v>
      </c>
      <c r="B23" s="4">
        <v>9.5000000000000001E-2</v>
      </c>
    </row>
    <row r="24" spans="1:2">
      <c r="A24" s="1" t="s">
        <v>11</v>
      </c>
      <c r="B24" s="4">
        <v>8.5000000000000006E-2</v>
      </c>
    </row>
    <row r="25" spans="1:2">
      <c r="A25" s="1" t="s">
        <v>24</v>
      </c>
      <c r="B25" s="4">
        <v>8.1000000000000003E-2</v>
      </c>
    </row>
    <row r="26" spans="1:2">
      <c r="A26" s="1" t="s">
        <v>16</v>
      </c>
      <c r="B26" s="4">
        <v>7.8E-2</v>
      </c>
    </row>
    <row r="27" spans="1:2">
      <c r="A27" s="1" t="s">
        <v>14</v>
      </c>
      <c r="B27" s="4">
        <v>6.9000000000000006E-2</v>
      </c>
    </row>
    <row r="28" spans="1:2">
      <c r="A28" s="1" t="s">
        <v>20</v>
      </c>
      <c r="B28" s="4">
        <v>6.3E-2</v>
      </c>
    </row>
    <row r="29" spans="1:2">
      <c r="A29" s="1" t="s">
        <v>13</v>
      </c>
      <c r="B29" s="4">
        <v>4.5999999999999999E-2</v>
      </c>
    </row>
    <row r="30" spans="1:2">
      <c r="A30" s="1" t="s">
        <v>17</v>
      </c>
      <c r="B30" s="4">
        <v>3.5999999999999997E-2</v>
      </c>
    </row>
    <row r="31" spans="1:2">
      <c r="A31" s="1" t="s">
        <v>30</v>
      </c>
      <c r="B31" s="4">
        <v>0.13</v>
      </c>
    </row>
  </sheetData>
  <sortState xmlns:xlrd2="http://schemas.microsoft.com/office/spreadsheetml/2017/richdata2" ref="A3:B30">
    <sortCondition descending="1" ref="B3:B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81A4-54C1-F14F-846D-2B0E0522D64A}">
  <dimension ref="A1:M30"/>
  <sheetViews>
    <sheetView workbookViewId="0">
      <selection activeCell="A7" sqref="A7"/>
    </sheetView>
  </sheetViews>
  <sheetFormatPr defaultColWidth="11.19921875" defaultRowHeight="15.6"/>
  <cols>
    <col min="1" max="1" width="120.59765625" bestFit="1" customWidth="1"/>
    <col min="2" max="13" width="7.796875" bestFit="1" customWidth="1"/>
  </cols>
  <sheetData>
    <row r="1" spans="1:13">
      <c r="A1" s="1"/>
      <c r="B1" s="5" t="s">
        <v>102</v>
      </c>
      <c r="C1" s="5" t="s">
        <v>102</v>
      </c>
      <c r="D1" s="5" t="s">
        <v>102</v>
      </c>
      <c r="E1" s="5" t="s">
        <v>102</v>
      </c>
      <c r="F1" s="5" t="s">
        <v>102</v>
      </c>
      <c r="G1" s="5" t="s">
        <v>102</v>
      </c>
      <c r="H1" s="5" t="s">
        <v>102</v>
      </c>
      <c r="I1" s="5" t="s">
        <v>102</v>
      </c>
      <c r="J1" s="5" t="s">
        <v>102</v>
      </c>
      <c r="K1" s="5" t="s">
        <v>102</v>
      </c>
      <c r="L1" s="5" t="s">
        <v>102</v>
      </c>
      <c r="M1" s="5" t="s">
        <v>102</v>
      </c>
    </row>
    <row r="2" spans="1:13">
      <c r="A2" s="5" t="s">
        <v>31</v>
      </c>
      <c r="B2" s="1">
        <v>424</v>
      </c>
      <c r="C2" s="1">
        <v>146</v>
      </c>
      <c r="D2" s="1">
        <v>137</v>
      </c>
      <c r="E2" s="1">
        <v>1075</v>
      </c>
      <c r="F2" s="1">
        <v>139</v>
      </c>
      <c r="G2" s="1">
        <v>167</v>
      </c>
      <c r="H2" s="1">
        <v>94</v>
      </c>
      <c r="I2" s="1">
        <v>67</v>
      </c>
      <c r="J2" s="1">
        <v>90</v>
      </c>
      <c r="K2" s="1">
        <v>57</v>
      </c>
      <c r="L2" s="1">
        <v>65</v>
      </c>
      <c r="M2" s="1">
        <v>85</v>
      </c>
    </row>
    <row r="3" spans="1:13">
      <c r="A3" s="5" t="s">
        <v>32</v>
      </c>
      <c r="B3" s="1">
        <v>493</v>
      </c>
      <c r="C3" s="1">
        <v>256</v>
      </c>
      <c r="D3" s="1">
        <v>185</v>
      </c>
      <c r="E3" s="1">
        <v>1139</v>
      </c>
      <c r="F3" s="1">
        <v>284</v>
      </c>
      <c r="G3" s="1">
        <v>207</v>
      </c>
      <c r="H3" s="1">
        <v>107</v>
      </c>
      <c r="I3" s="1">
        <v>115</v>
      </c>
      <c r="J3" s="1">
        <v>111</v>
      </c>
      <c r="K3" s="1">
        <v>118</v>
      </c>
      <c r="L3" s="1">
        <v>98</v>
      </c>
      <c r="M3" s="1">
        <v>133</v>
      </c>
    </row>
    <row r="4" spans="1:13">
      <c r="A4" s="5" t="s">
        <v>33</v>
      </c>
      <c r="B4" s="1">
        <v>436</v>
      </c>
      <c r="C4" s="1">
        <v>196</v>
      </c>
      <c r="D4" s="1">
        <v>168</v>
      </c>
      <c r="E4" s="1">
        <v>774</v>
      </c>
      <c r="F4" s="1">
        <v>186</v>
      </c>
      <c r="G4" s="1">
        <v>191</v>
      </c>
      <c r="H4" s="1">
        <v>180</v>
      </c>
      <c r="I4" s="1">
        <v>91</v>
      </c>
      <c r="J4" s="1">
        <v>367</v>
      </c>
      <c r="K4" s="1">
        <v>83</v>
      </c>
      <c r="L4" s="1">
        <v>82</v>
      </c>
      <c r="M4" s="1">
        <v>121</v>
      </c>
    </row>
    <row r="5" spans="1:13">
      <c r="A5" s="5" t="s">
        <v>54</v>
      </c>
      <c r="B5" s="1">
        <v>505</v>
      </c>
      <c r="C5" s="1">
        <v>260</v>
      </c>
      <c r="D5" s="1">
        <v>185</v>
      </c>
      <c r="E5" s="1">
        <v>1075</v>
      </c>
      <c r="F5" s="1">
        <v>195</v>
      </c>
      <c r="G5" s="1">
        <v>189</v>
      </c>
      <c r="H5" s="1">
        <v>137</v>
      </c>
      <c r="I5" s="1">
        <v>132</v>
      </c>
      <c r="J5" s="1">
        <v>177</v>
      </c>
      <c r="K5" s="1">
        <v>112</v>
      </c>
      <c r="L5" s="1">
        <v>73</v>
      </c>
      <c r="M5" s="1">
        <v>117</v>
      </c>
    </row>
    <row r="6" spans="1:13">
      <c r="A6" s="5" t="s">
        <v>56</v>
      </c>
      <c r="B6" s="1">
        <v>505</v>
      </c>
      <c r="C6" s="1">
        <v>221</v>
      </c>
      <c r="D6" s="1">
        <v>139</v>
      </c>
      <c r="E6" s="1">
        <v>979</v>
      </c>
      <c r="F6" s="1">
        <v>167</v>
      </c>
      <c r="G6" s="1">
        <v>181</v>
      </c>
      <c r="H6" s="1">
        <v>92</v>
      </c>
      <c r="I6" s="1">
        <v>93</v>
      </c>
      <c r="J6" s="1">
        <v>89</v>
      </c>
      <c r="K6" s="1">
        <v>88</v>
      </c>
      <c r="L6" s="1">
        <v>59</v>
      </c>
      <c r="M6" s="1">
        <v>81</v>
      </c>
    </row>
    <row r="7" spans="1:13">
      <c r="A7" s="5" t="s">
        <v>55</v>
      </c>
      <c r="B7" s="1">
        <v>431</v>
      </c>
      <c r="C7" s="1">
        <v>186</v>
      </c>
      <c r="D7" s="1">
        <v>160</v>
      </c>
      <c r="E7" s="1">
        <v>1080</v>
      </c>
      <c r="F7" s="1">
        <v>157</v>
      </c>
      <c r="G7" s="1">
        <v>190</v>
      </c>
      <c r="H7" s="1">
        <v>94</v>
      </c>
      <c r="I7" s="1">
        <v>78</v>
      </c>
      <c r="J7" s="1">
        <v>96</v>
      </c>
      <c r="K7" s="1">
        <v>84</v>
      </c>
      <c r="L7" s="1">
        <v>54</v>
      </c>
      <c r="M7" s="1">
        <v>89</v>
      </c>
    </row>
    <row r="8" spans="1:13">
      <c r="A8" s="5" t="s">
        <v>52</v>
      </c>
      <c r="B8" s="1">
        <v>385</v>
      </c>
      <c r="C8" s="1">
        <v>160</v>
      </c>
      <c r="D8" s="1">
        <v>155</v>
      </c>
      <c r="E8" s="1">
        <v>838</v>
      </c>
      <c r="F8" s="1">
        <v>183</v>
      </c>
      <c r="G8" s="1">
        <v>165</v>
      </c>
      <c r="H8" s="1">
        <v>101</v>
      </c>
      <c r="I8" s="1">
        <v>76</v>
      </c>
      <c r="J8" s="1">
        <v>113</v>
      </c>
      <c r="K8" s="1">
        <v>88</v>
      </c>
      <c r="L8" s="1">
        <v>65</v>
      </c>
      <c r="M8" s="1">
        <v>82</v>
      </c>
    </row>
    <row r="9" spans="1:13">
      <c r="A9" s="5" t="s">
        <v>51</v>
      </c>
      <c r="B9" s="1">
        <v>297</v>
      </c>
      <c r="C9" s="1">
        <v>121</v>
      </c>
      <c r="D9" s="1">
        <v>112</v>
      </c>
      <c r="E9" s="1">
        <v>604</v>
      </c>
      <c r="F9" s="1">
        <v>121</v>
      </c>
      <c r="G9" s="1">
        <v>131</v>
      </c>
      <c r="H9" s="1">
        <v>79</v>
      </c>
      <c r="I9" s="1">
        <v>67</v>
      </c>
      <c r="J9" s="1">
        <v>76</v>
      </c>
      <c r="K9" s="1">
        <v>68</v>
      </c>
      <c r="L9" s="1">
        <v>44</v>
      </c>
      <c r="M9" s="1">
        <v>69</v>
      </c>
    </row>
    <row r="10" spans="1:13">
      <c r="A10" s="5" t="s">
        <v>46</v>
      </c>
      <c r="B10" s="1">
        <v>459</v>
      </c>
      <c r="C10" s="1">
        <v>208</v>
      </c>
      <c r="D10" s="1">
        <v>196</v>
      </c>
      <c r="E10" s="1">
        <v>692</v>
      </c>
      <c r="F10" s="1">
        <v>193</v>
      </c>
      <c r="G10" s="1">
        <v>139</v>
      </c>
      <c r="H10" s="1">
        <v>201</v>
      </c>
      <c r="I10" s="1">
        <v>99</v>
      </c>
      <c r="J10" s="1">
        <v>415</v>
      </c>
      <c r="K10" s="1">
        <v>107</v>
      </c>
      <c r="L10" s="1">
        <v>80</v>
      </c>
      <c r="M10" s="1">
        <v>125</v>
      </c>
    </row>
    <row r="11" spans="1:13">
      <c r="A11" s="5" t="s">
        <v>57</v>
      </c>
      <c r="B11" s="1">
        <v>204</v>
      </c>
      <c r="C11" s="1">
        <v>82</v>
      </c>
      <c r="D11" s="1">
        <v>81</v>
      </c>
      <c r="E11" s="1">
        <v>314</v>
      </c>
      <c r="F11" s="1">
        <v>61</v>
      </c>
      <c r="G11" s="1">
        <v>69</v>
      </c>
      <c r="H11" s="1">
        <v>42</v>
      </c>
      <c r="I11" s="1">
        <v>29</v>
      </c>
      <c r="J11" s="1">
        <v>53</v>
      </c>
      <c r="K11" s="1">
        <v>36</v>
      </c>
      <c r="L11" s="1">
        <v>24</v>
      </c>
      <c r="M11" s="1">
        <v>43</v>
      </c>
    </row>
    <row r="12" spans="1:13">
      <c r="A12" s="5" t="s">
        <v>58</v>
      </c>
      <c r="B12" s="1">
        <v>468</v>
      </c>
      <c r="C12" s="1">
        <v>249</v>
      </c>
      <c r="D12" s="1">
        <v>169</v>
      </c>
      <c r="E12" s="1">
        <v>987</v>
      </c>
      <c r="F12" s="1">
        <v>283</v>
      </c>
      <c r="G12" s="1">
        <v>179</v>
      </c>
      <c r="H12" s="1">
        <v>128</v>
      </c>
      <c r="I12" s="1">
        <v>112</v>
      </c>
      <c r="J12" s="1">
        <v>140</v>
      </c>
      <c r="K12" s="1">
        <v>119</v>
      </c>
      <c r="L12" s="1">
        <v>77</v>
      </c>
      <c r="M12" s="1">
        <v>126</v>
      </c>
    </row>
    <row r="13" spans="1:13">
      <c r="A13" s="5" t="s">
        <v>53</v>
      </c>
      <c r="B13" s="1">
        <v>271</v>
      </c>
      <c r="C13" s="1">
        <v>115</v>
      </c>
      <c r="D13" s="1">
        <v>65</v>
      </c>
      <c r="E13" s="1">
        <v>269</v>
      </c>
      <c r="F13" s="1">
        <v>68</v>
      </c>
      <c r="G13" s="1">
        <v>34</v>
      </c>
      <c r="H13" s="1">
        <v>59</v>
      </c>
      <c r="I13" s="1">
        <v>30</v>
      </c>
      <c r="J13" s="1">
        <v>96</v>
      </c>
      <c r="K13" s="1">
        <v>45</v>
      </c>
      <c r="L13" s="1">
        <v>27</v>
      </c>
      <c r="M13" s="1">
        <v>29</v>
      </c>
    </row>
    <row r="14" spans="1:13">
      <c r="A14" s="5" t="s">
        <v>50</v>
      </c>
      <c r="B14" s="1">
        <v>344</v>
      </c>
      <c r="C14" s="1">
        <v>177</v>
      </c>
      <c r="D14" s="1">
        <v>145</v>
      </c>
      <c r="E14" s="1">
        <v>503</v>
      </c>
      <c r="F14" s="1">
        <v>160</v>
      </c>
      <c r="G14" s="1">
        <v>99</v>
      </c>
      <c r="H14" s="1">
        <v>103</v>
      </c>
      <c r="I14" s="1">
        <v>81</v>
      </c>
      <c r="J14" s="1">
        <v>111</v>
      </c>
      <c r="K14" s="1">
        <v>89</v>
      </c>
      <c r="L14" s="1">
        <v>71</v>
      </c>
      <c r="M14" s="1">
        <v>86</v>
      </c>
    </row>
    <row r="15" spans="1:13">
      <c r="A15" s="5" t="s">
        <v>47</v>
      </c>
      <c r="B15" s="1">
        <v>443</v>
      </c>
      <c r="C15" s="1">
        <v>188</v>
      </c>
      <c r="D15" s="1">
        <v>171</v>
      </c>
      <c r="E15" s="1">
        <v>720</v>
      </c>
      <c r="F15" s="1">
        <v>213</v>
      </c>
      <c r="G15" s="1">
        <v>163</v>
      </c>
      <c r="H15" s="1">
        <v>132</v>
      </c>
      <c r="I15" s="1">
        <v>95</v>
      </c>
      <c r="J15" s="1">
        <v>180</v>
      </c>
      <c r="K15" s="1">
        <v>101</v>
      </c>
      <c r="L15" s="1">
        <v>72</v>
      </c>
      <c r="M15" s="1">
        <v>103</v>
      </c>
    </row>
    <row r="16" spans="1:13">
      <c r="A16" s="5" t="s">
        <v>49</v>
      </c>
      <c r="B16" s="1">
        <v>466</v>
      </c>
      <c r="C16" s="1">
        <v>172</v>
      </c>
      <c r="D16" s="1">
        <v>105</v>
      </c>
      <c r="E16" s="1">
        <v>487</v>
      </c>
      <c r="F16" s="1">
        <v>105</v>
      </c>
      <c r="G16" s="1">
        <v>66</v>
      </c>
      <c r="H16" s="1">
        <v>67</v>
      </c>
      <c r="I16" s="1">
        <v>56</v>
      </c>
      <c r="J16" s="1">
        <v>164</v>
      </c>
      <c r="K16" s="1">
        <v>64</v>
      </c>
      <c r="L16" s="1">
        <v>38</v>
      </c>
      <c r="M16" s="1">
        <v>54</v>
      </c>
    </row>
    <row r="17" spans="1:13">
      <c r="A17" s="5" t="s">
        <v>48</v>
      </c>
      <c r="B17" s="1">
        <v>370</v>
      </c>
      <c r="C17" s="1">
        <v>141</v>
      </c>
      <c r="D17" s="1">
        <v>104</v>
      </c>
      <c r="E17" s="1">
        <v>774</v>
      </c>
      <c r="F17" s="1">
        <v>118</v>
      </c>
      <c r="G17" s="1">
        <v>167</v>
      </c>
      <c r="H17" s="1">
        <v>68</v>
      </c>
      <c r="I17" s="1">
        <v>70</v>
      </c>
      <c r="J17" s="1">
        <v>68</v>
      </c>
      <c r="K17" s="1">
        <v>60</v>
      </c>
      <c r="L17" s="1">
        <v>46</v>
      </c>
      <c r="M17" s="1">
        <v>73</v>
      </c>
    </row>
    <row r="18" spans="1:13">
      <c r="A18" s="5" t="s">
        <v>45</v>
      </c>
      <c r="B18" s="1">
        <v>396</v>
      </c>
      <c r="C18" s="1">
        <v>158</v>
      </c>
      <c r="D18" s="1">
        <v>137</v>
      </c>
      <c r="E18" s="1">
        <v>1024</v>
      </c>
      <c r="F18" s="1">
        <v>143</v>
      </c>
      <c r="G18" s="1">
        <v>213</v>
      </c>
      <c r="H18" s="1">
        <v>78</v>
      </c>
      <c r="I18" s="1">
        <v>69</v>
      </c>
      <c r="J18" s="1">
        <v>84</v>
      </c>
      <c r="K18" s="1">
        <v>77</v>
      </c>
      <c r="L18" s="1">
        <v>56</v>
      </c>
      <c r="M18" s="1">
        <v>71</v>
      </c>
    </row>
    <row r="19" spans="1:13">
      <c r="A19" s="5" t="s">
        <v>44</v>
      </c>
      <c r="B19" s="1">
        <v>486</v>
      </c>
      <c r="C19" s="1">
        <v>225</v>
      </c>
      <c r="D19" s="1">
        <v>197</v>
      </c>
      <c r="E19" s="1">
        <v>1128</v>
      </c>
      <c r="F19" s="1">
        <v>241</v>
      </c>
      <c r="G19" s="1">
        <v>234</v>
      </c>
      <c r="H19" s="1">
        <v>126</v>
      </c>
      <c r="I19" s="1">
        <v>90</v>
      </c>
      <c r="J19" s="1">
        <v>124</v>
      </c>
      <c r="K19" s="1">
        <v>112</v>
      </c>
      <c r="L19" s="1">
        <v>76</v>
      </c>
      <c r="M19" s="1">
        <v>113</v>
      </c>
    </row>
    <row r="20" spans="1:13">
      <c r="A20" s="5" t="s">
        <v>40</v>
      </c>
      <c r="B20" s="1">
        <v>262</v>
      </c>
      <c r="C20" s="1">
        <v>116</v>
      </c>
      <c r="D20" s="1">
        <v>89</v>
      </c>
      <c r="E20" s="1">
        <v>495</v>
      </c>
      <c r="F20" s="1">
        <v>108</v>
      </c>
      <c r="G20" s="1">
        <v>101</v>
      </c>
      <c r="H20" s="1">
        <v>69</v>
      </c>
      <c r="I20" s="1">
        <v>52</v>
      </c>
      <c r="J20" s="1">
        <v>68</v>
      </c>
      <c r="K20" s="1">
        <v>54</v>
      </c>
      <c r="L20" s="1">
        <v>38</v>
      </c>
      <c r="M20" s="1">
        <v>53</v>
      </c>
    </row>
    <row r="21" spans="1:13">
      <c r="A21" s="5" t="s">
        <v>43</v>
      </c>
      <c r="B21" s="1">
        <v>545</v>
      </c>
      <c r="C21" s="1">
        <v>287</v>
      </c>
      <c r="D21" s="1">
        <v>221</v>
      </c>
      <c r="E21" s="1">
        <v>795</v>
      </c>
      <c r="F21" s="1">
        <v>436</v>
      </c>
      <c r="G21" s="1">
        <v>135</v>
      </c>
      <c r="H21" s="1">
        <v>144</v>
      </c>
      <c r="I21" s="1">
        <v>139</v>
      </c>
      <c r="J21" s="1">
        <v>162</v>
      </c>
      <c r="K21" s="1">
        <v>125</v>
      </c>
      <c r="L21" s="1">
        <v>101</v>
      </c>
      <c r="M21" s="1">
        <v>155</v>
      </c>
    </row>
    <row r="22" spans="1:13">
      <c r="A22" s="5" t="s">
        <v>42</v>
      </c>
      <c r="B22" s="1">
        <v>638</v>
      </c>
      <c r="C22" s="1">
        <v>305</v>
      </c>
      <c r="D22" s="1">
        <v>263</v>
      </c>
      <c r="E22" s="1">
        <v>997</v>
      </c>
      <c r="F22" s="1">
        <v>339</v>
      </c>
      <c r="G22" s="1">
        <v>226</v>
      </c>
      <c r="H22" s="1">
        <v>212</v>
      </c>
      <c r="I22" s="1">
        <v>156</v>
      </c>
      <c r="J22" s="1">
        <v>293</v>
      </c>
      <c r="K22" s="1">
        <v>161</v>
      </c>
      <c r="L22" s="1">
        <v>159</v>
      </c>
      <c r="M22" s="1">
        <v>191</v>
      </c>
    </row>
    <row r="23" spans="1:13">
      <c r="A23" s="5" t="s">
        <v>41</v>
      </c>
      <c r="B23" s="1">
        <v>400</v>
      </c>
      <c r="C23" s="1">
        <v>150</v>
      </c>
      <c r="D23" s="1">
        <v>130</v>
      </c>
      <c r="E23" s="1">
        <v>1126</v>
      </c>
      <c r="F23" s="1">
        <v>139</v>
      </c>
      <c r="G23" s="1">
        <v>177</v>
      </c>
      <c r="H23" s="1">
        <v>83</v>
      </c>
      <c r="I23" s="1">
        <v>56</v>
      </c>
      <c r="J23" s="1">
        <v>77</v>
      </c>
      <c r="K23" s="1">
        <v>64</v>
      </c>
      <c r="L23" s="1">
        <v>47</v>
      </c>
      <c r="M23" s="1">
        <v>69</v>
      </c>
    </row>
    <row r="24" spans="1:13">
      <c r="A24" s="5" t="s">
        <v>39</v>
      </c>
      <c r="B24" s="1">
        <v>364</v>
      </c>
      <c r="C24" s="1">
        <v>173</v>
      </c>
      <c r="D24" s="1">
        <v>132</v>
      </c>
      <c r="E24" s="1">
        <v>845</v>
      </c>
      <c r="F24" s="1">
        <v>146</v>
      </c>
      <c r="G24" s="1">
        <v>141</v>
      </c>
      <c r="H24" s="1">
        <v>97</v>
      </c>
      <c r="I24" s="1">
        <v>75</v>
      </c>
      <c r="J24" s="1">
        <v>84</v>
      </c>
      <c r="K24" s="1">
        <v>76</v>
      </c>
      <c r="L24" s="1">
        <v>63</v>
      </c>
      <c r="M24" s="1">
        <v>90</v>
      </c>
    </row>
    <row r="25" spans="1:13">
      <c r="A25" s="5" t="s">
        <v>38</v>
      </c>
      <c r="B25" s="1">
        <v>568</v>
      </c>
      <c r="C25" s="1">
        <v>281</v>
      </c>
      <c r="D25" s="1">
        <v>216</v>
      </c>
      <c r="E25" s="1">
        <v>895</v>
      </c>
      <c r="F25" s="1">
        <v>230</v>
      </c>
      <c r="G25" s="1">
        <v>158</v>
      </c>
      <c r="H25" s="1">
        <v>149</v>
      </c>
      <c r="I25" s="1">
        <v>134</v>
      </c>
      <c r="J25" s="1">
        <v>167</v>
      </c>
      <c r="K25" s="1">
        <v>138</v>
      </c>
      <c r="L25" s="1">
        <v>87</v>
      </c>
      <c r="M25" s="1">
        <v>128</v>
      </c>
    </row>
    <row r="26" spans="1:13">
      <c r="A26" s="5" t="s">
        <v>37</v>
      </c>
      <c r="B26" s="1">
        <v>590</v>
      </c>
      <c r="C26" s="1">
        <v>314</v>
      </c>
      <c r="D26" s="1">
        <v>244</v>
      </c>
      <c r="E26" s="1">
        <v>880</v>
      </c>
      <c r="F26" s="1">
        <v>363</v>
      </c>
      <c r="G26" s="1">
        <v>180</v>
      </c>
      <c r="H26" s="1">
        <v>189</v>
      </c>
      <c r="I26" s="1">
        <v>178</v>
      </c>
      <c r="J26" s="1">
        <v>187</v>
      </c>
      <c r="K26" s="1">
        <v>162</v>
      </c>
      <c r="L26" s="1">
        <v>134</v>
      </c>
      <c r="M26" s="1">
        <v>171</v>
      </c>
    </row>
    <row r="27" spans="1:13">
      <c r="A27" s="5" t="s">
        <v>34</v>
      </c>
      <c r="B27" s="1">
        <v>578</v>
      </c>
      <c r="C27" s="1">
        <v>313</v>
      </c>
      <c r="D27" s="1">
        <v>229</v>
      </c>
      <c r="E27" s="1">
        <v>902</v>
      </c>
      <c r="F27" s="1">
        <v>353</v>
      </c>
      <c r="G27" s="1">
        <v>183</v>
      </c>
      <c r="H27" s="1">
        <v>183</v>
      </c>
      <c r="I27" s="1">
        <v>174</v>
      </c>
      <c r="J27" s="1">
        <v>233</v>
      </c>
      <c r="K27" s="1">
        <v>159</v>
      </c>
      <c r="L27" s="1">
        <v>126</v>
      </c>
      <c r="M27" s="1">
        <v>172</v>
      </c>
    </row>
    <row r="28" spans="1:13">
      <c r="A28" s="5" t="s">
        <v>35</v>
      </c>
      <c r="B28" s="1">
        <v>567</v>
      </c>
      <c r="C28" s="1">
        <v>290</v>
      </c>
      <c r="D28" s="1">
        <v>226</v>
      </c>
      <c r="E28" s="1">
        <v>906</v>
      </c>
      <c r="F28" s="1">
        <v>331</v>
      </c>
      <c r="G28" s="1">
        <v>166</v>
      </c>
      <c r="H28" s="1">
        <v>171</v>
      </c>
      <c r="I28" s="1">
        <v>140</v>
      </c>
      <c r="J28" s="1">
        <v>171</v>
      </c>
      <c r="K28" s="1">
        <v>140</v>
      </c>
      <c r="L28" s="1">
        <v>112</v>
      </c>
      <c r="M28" s="1">
        <v>164</v>
      </c>
    </row>
    <row r="29" spans="1:13">
      <c r="A29" s="5" t="s">
        <v>36</v>
      </c>
      <c r="B29" s="1">
        <v>430</v>
      </c>
      <c r="C29" s="1">
        <v>184</v>
      </c>
      <c r="D29" s="1">
        <v>224</v>
      </c>
      <c r="E29" s="1">
        <v>756</v>
      </c>
      <c r="F29" s="1">
        <v>144</v>
      </c>
      <c r="G29" s="1">
        <v>125</v>
      </c>
      <c r="H29" s="1">
        <v>128</v>
      </c>
      <c r="I29" s="1">
        <v>71</v>
      </c>
      <c r="J29" s="1">
        <v>104</v>
      </c>
      <c r="K29" s="1">
        <v>113</v>
      </c>
      <c r="L29" s="1">
        <v>57</v>
      </c>
      <c r="M29" s="1">
        <v>89</v>
      </c>
    </row>
    <row r="30" spans="1:13">
      <c r="A30" s="5" t="s">
        <v>59</v>
      </c>
      <c r="B30" s="1">
        <v>1669</v>
      </c>
      <c r="C30" s="1">
        <v>1669</v>
      </c>
      <c r="D30" s="1">
        <v>1669</v>
      </c>
      <c r="E30" s="1">
        <v>1669</v>
      </c>
      <c r="F30" s="1">
        <v>1669</v>
      </c>
      <c r="G30" s="1">
        <v>1669</v>
      </c>
      <c r="H30" s="1">
        <v>1669</v>
      </c>
      <c r="I30" s="1">
        <v>1669</v>
      </c>
      <c r="J30" s="1">
        <v>1669</v>
      </c>
      <c r="K30" s="1">
        <v>1669</v>
      </c>
      <c r="L30" s="1">
        <v>1669</v>
      </c>
      <c r="M30" s="1">
        <v>1669</v>
      </c>
    </row>
  </sheetData>
  <sortState xmlns:xlrd2="http://schemas.microsoft.com/office/spreadsheetml/2017/richdata2" ref="A3:M29">
    <sortCondition ref="A2:A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7BAD-71CB-0B4A-865E-B44D9F4C14D0}">
  <dimension ref="A1:N31"/>
  <sheetViews>
    <sheetView workbookViewId="0">
      <selection activeCell="A9" sqref="A9"/>
    </sheetView>
  </sheetViews>
  <sheetFormatPr defaultColWidth="11.19921875" defaultRowHeight="15.6"/>
  <cols>
    <col min="1" max="1" width="120.59765625" bestFit="1" customWidth="1"/>
    <col min="2" max="13" width="7.796875" bestFit="1" customWidth="1"/>
    <col min="14" max="14" width="7.296875" bestFit="1" customWidth="1"/>
  </cols>
  <sheetData>
    <row r="1" spans="1:14">
      <c r="A1" s="1"/>
      <c r="B1" s="5" t="s">
        <v>102</v>
      </c>
      <c r="C1" s="5" t="s">
        <v>102</v>
      </c>
      <c r="D1" s="5" t="s">
        <v>102</v>
      </c>
      <c r="E1" s="5" t="s">
        <v>102</v>
      </c>
      <c r="F1" s="5" t="s">
        <v>102</v>
      </c>
      <c r="G1" s="5" t="s">
        <v>102</v>
      </c>
      <c r="H1" s="5" t="s">
        <v>102</v>
      </c>
      <c r="I1" s="5" t="s">
        <v>102</v>
      </c>
      <c r="J1" s="5" t="s">
        <v>102</v>
      </c>
      <c r="K1" s="5" t="s">
        <v>102</v>
      </c>
      <c r="L1" s="5" t="s">
        <v>102</v>
      </c>
      <c r="M1" s="5" t="s">
        <v>102</v>
      </c>
      <c r="N1" s="5" t="s">
        <v>60</v>
      </c>
    </row>
    <row r="2" spans="1:14">
      <c r="A2" s="5" t="s">
        <v>31</v>
      </c>
      <c r="B2" s="7">
        <f>'CEP-COUNTS'!B2/1669*100</f>
        <v>25.404433792690234</v>
      </c>
      <c r="C2" s="7">
        <f>'CEP-COUNTS'!C2/1669*100</f>
        <v>8.7477531455961657</v>
      </c>
      <c r="D2" s="7">
        <f>'CEP-COUNTS'!D2/1669*100</f>
        <v>8.2085080886758526</v>
      </c>
      <c r="E2" s="7">
        <f>'CEP-COUNTS'!E2/1669*100</f>
        <v>64.409826243259431</v>
      </c>
      <c r="F2" s="7">
        <f>'CEP-COUNTS'!F2/1669*100</f>
        <v>8.3283403235470352</v>
      </c>
      <c r="G2" s="7">
        <f>'CEP-COUNTS'!G2/1669*100</f>
        <v>10.005991611743559</v>
      </c>
      <c r="H2" s="7">
        <f>'CEP-COUNTS'!H2/1669*100</f>
        <v>5.6321150389454759</v>
      </c>
      <c r="I2" s="7">
        <f>'CEP-COUNTS'!I2/1669*100</f>
        <v>4.0143798681845411</v>
      </c>
      <c r="J2" s="7">
        <f>'CEP-COUNTS'!J2/1669*100</f>
        <v>5.3924505692031159</v>
      </c>
      <c r="K2" s="7">
        <f>'CEP-COUNTS'!K2/1669*100</f>
        <v>3.4152186938286402</v>
      </c>
      <c r="L2" s="7">
        <f>'CEP-COUNTS'!L2/1669*100</f>
        <v>3.8945476333133611</v>
      </c>
      <c r="M2" s="7">
        <f>'CEP-COUNTS'!M2/1669*100</f>
        <v>5.0928699820251646</v>
      </c>
      <c r="N2" s="8">
        <f>SUM(B2:M2)</f>
        <v>152.54643499101257</v>
      </c>
    </row>
    <row r="3" spans="1:14">
      <c r="A3" s="5" t="s">
        <v>32</v>
      </c>
      <c r="B3" s="7">
        <f>'CEP-COUNTS'!B3/1669*100</f>
        <v>29.538645895745958</v>
      </c>
      <c r="C3" s="7">
        <f>'CEP-COUNTS'!C3/1669*100</f>
        <v>15.338526063511084</v>
      </c>
      <c r="D3" s="7">
        <f>'CEP-COUNTS'!D3/1669*100</f>
        <v>11.084481725584181</v>
      </c>
      <c r="E3" s="7">
        <f>'CEP-COUNTS'!E3/1669*100</f>
        <v>68.244457759137205</v>
      </c>
      <c r="F3" s="7">
        <f>'CEP-COUNTS'!F3/1669*100</f>
        <v>17.016177351707608</v>
      </c>
      <c r="G3" s="7">
        <f>'CEP-COUNTS'!G3/1669*100</f>
        <v>12.402636309167166</v>
      </c>
      <c r="H3" s="7">
        <f>'CEP-COUNTS'!H3/1669*100</f>
        <v>6.411024565608149</v>
      </c>
      <c r="I3" s="7">
        <f>'CEP-COUNTS'!I3/1669*100</f>
        <v>6.890353505092869</v>
      </c>
      <c r="J3" s="7">
        <f>'CEP-COUNTS'!J3/1669*100</f>
        <v>6.6506890353505099</v>
      </c>
      <c r="K3" s="7">
        <f>'CEP-COUNTS'!K3/1669*100</f>
        <v>7.0701018573996413</v>
      </c>
      <c r="L3" s="7">
        <f>'CEP-COUNTS'!L3/1669*100</f>
        <v>5.8717795086878368</v>
      </c>
      <c r="M3" s="7">
        <f>'CEP-COUNTS'!M3/1669*100</f>
        <v>7.9688436189334935</v>
      </c>
      <c r="N3" s="8">
        <f t="shared" ref="N3:N30" si="0">SUM(B3:M3)</f>
        <v>194.48771719592571</v>
      </c>
    </row>
    <row r="4" spans="1:14">
      <c r="A4" s="5" t="s">
        <v>33</v>
      </c>
      <c r="B4" s="7">
        <f>'CEP-COUNTS'!B4/1669*100</f>
        <v>26.123427201917316</v>
      </c>
      <c r="C4" s="7">
        <f>'CEP-COUNTS'!C4/1669*100</f>
        <v>11.743559017375674</v>
      </c>
      <c r="D4" s="7">
        <f>'CEP-COUNTS'!D4/1669*100</f>
        <v>10.06590772917915</v>
      </c>
      <c r="E4" s="7">
        <f>'CEP-COUNTS'!E4/1669*100</f>
        <v>46.375074895146795</v>
      </c>
      <c r="F4" s="7">
        <f>'CEP-COUNTS'!F4/1669*100</f>
        <v>11.144397843019773</v>
      </c>
      <c r="G4" s="7">
        <f>'CEP-COUNTS'!G4/1669*100</f>
        <v>11.443978430197724</v>
      </c>
      <c r="H4" s="7">
        <f>'CEP-COUNTS'!H4/1669*100</f>
        <v>10.784901138406232</v>
      </c>
      <c r="I4" s="7">
        <f>'CEP-COUNTS'!I4/1669*100</f>
        <v>5.4523666866387055</v>
      </c>
      <c r="J4" s="7">
        <f>'CEP-COUNTS'!J4/1669*100</f>
        <v>21.989215098861596</v>
      </c>
      <c r="K4" s="7">
        <f>'CEP-COUNTS'!K4/1669*100</f>
        <v>4.9730377471539837</v>
      </c>
      <c r="L4" s="7">
        <f>'CEP-COUNTS'!L4/1669*100</f>
        <v>4.9131216297183942</v>
      </c>
      <c r="M4" s="7">
        <f>'CEP-COUNTS'!M4/1669*100</f>
        <v>7.2498502097064117</v>
      </c>
      <c r="N4" s="8">
        <f t="shared" si="0"/>
        <v>172.25883762732178</v>
      </c>
    </row>
    <row r="5" spans="1:14">
      <c r="A5" s="5" t="s">
        <v>54</v>
      </c>
      <c r="B5" s="7">
        <f>'CEP-COUNTS'!B5/1669*100</f>
        <v>30.25763930497304</v>
      </c>
      <c r="C5" s="7">
        <f>'CEP-COUNTS'!C5/1669*100</f>
        <v>15.578190533253444</v>
      </c>
      <c r="D5" s="7">
        <f>'CEP-COUNTS'!D5/1669*100</f>
        <v>11.084481725584181</v>
      </c>
      <c r="E5" s="7">
        <f>'CEP-COUNTS'!E5/1669*100</f>
        <v>64.409826243259431</v>
      </c>
      <c r="F5" s="7">
        <f>'CEP-COUNTS'!F5/1669*100</f>
        <v>11.683642899940082</v>
      </c>
      <c r="G5" s="7">
        <f>'CEP-COUNTS'!G5/1669*100</f>
        <v>11.324146195326543</v>
      </c>
      <c r="H5" s="7">
        <f>'CEP-COUNTS'!H5/1669*100</f>
        <v>8.2085080886758526</v>
      </c>
      <c r="I5" s="7">
        <f>'CEP-COUNTS'!I5/1669*100</f>
        <v>7.908927501497903</v>
      </c>
      <c r="J5" s="7">
        <f>'CEP-COUNTS'!J5/1669*100</f>
        <v>10.60515278609946</v>
      </c>
      <c r="K5" s="7">
        <f>'CEP-COUNTS'!K5/1669*100</f>
        <v>6.7106051527860995</v>
      </c>
      <c r="L5" s="7">
        <f>'CEP-COUNTS'!L5/1669*100</f>
        <v>4.3738765727980828</v>
      </c>
      <c r="M5" s="7">
        <f>'CEP-COUNTS'!M5/1669*100</f>
        <v>7.0101857399640508</v>
      </c>
      <c r="N5" s="8">
        <f t="shared" si="0"/>
        <v>189.15518274415817</v>
      </c>
    </row>
    <row r="6" spans="1:14">
      <c r="A6" s="5" t="s">
        <v>56</v>
      </c>
      <c r="B6" s="7">
        <f>'CEP-COUNTS'!B6/1669*100</f>
        <v>30.25763930497304</v>
      </c>
      <c r="C6" s="7">
        <f>'CEP-COUNTS'!C6/1669*100</f>
        <v>13.241461953265429</v>
      </c>
      <c r="D6" s="7">
        <f>'CEP-COUNTS'!D6/1669*100</f>
        <v>8.3283403235470352</v>
      </c>
      <c r="E6" s="7">
        <f>'CEP-COUNTS'!E6/1669*100</f>
        <v>58.657878969442777</v>
      </c>
      <c r="F6" s="7">
        <f>'CEP-COUNTS'!F6/1669*100</f>
        <v>10.005991611743559</v>
      </c>
      <c r="G6" s="7">
        <f>'CEP-COUNTS'!G6/1669*100</f>
        <v>10.844817255841821</v>
      </c>
      <c r="H6" s="7">
        <f>'CEP-COUNTS'!H6/1669*100</f>
        <v>5.5122828040742959</v>
      </c>
      <c r="I6" s="7">
        <f>'CEP-COUNTS'!I6/1669*100</f>
        <v>5.5721989215098864</v>
      </c>
      <c r="J6" s="7">
        <f>'CEP-COUNTS'!J6/1669*100</f>
        <v>5.3325344517675255</v>
      </c>
      <c r="K6" s="7">
        <f>'CEP-COUNTS'!K6/1669*100</f>
        <v>5.2726183343319359</v>
      </c>
      <c r="L6" s="7">
        <f>'CEP-COUNTS'!L6/1669*100</f>
        <v>3.5350509286998206</v>
      </c>
      <c r="M6" s="7">
        <f>'CEP-COUNTS'!M6/1669*100</f>
        <v>4.8532055122828046</v>
      </c>
      <c r="N6" s="8">
        <f t="shared" si="0"/>
        <v>161.41402037147992</v>
      </c>
    </row>
    <row r="7" spans="1:14">
      <c r="A7" s="5" t="s">
        <v>55</v>
      </c>
      <c r="B7" s="7">
        <f>'CEP-COUNTS'!B7/1669*100</f>
        <v>25.823846614739367</v>
      </c>
      <c r="C7" s="7">
        <f>'CEP-COUNTS'!C7/1669*100</f>
        <v>11.144397843019773</v>
      </c>
      <c r="D7" s="7">
        <f>'CEP-COUNTS'!D7/1669*100</f>
        <v>9.5865787896944283</v>
      </c>
      <c r="E7" s="7">
        <f>'CEP-COUNTS'!E7/1669*100</f>
        <v>64.709406830437388</v>
      </c>
      <c r="F7" s="7">
        <f>'CEP-COUNTS'!F7/1669*100</f>
        <v>9.4068304373876579</v>
      </c>
      <c r="G7" s="7">
        <f>'CEP-COUNTS'!G7/1669*100</f>
        <v>11.384062312762133</v>
      </c>
      <c r="H7" s="7">
        <f>'CEP-COUNTS'!H7/1669*100</f>
        <v>5.6321150389454759</v>
      </c>
      <c r="I7" s="7">
        <f>'CEP-COUNTS'!I7/1669*100</f>
        <v>4.6734571599760333</v>
      </c>
      <c r="J7" s="7">
        <f>'CEP-COUNTS'!J7/1669*100</f>
        <v>5.7519472738166568</v>
      </c>
      <c r="K7" s="7">
        <f>'CEP-COUNTS'!K7/1669*100</f>
        <v>5.0329538645895751</v>
      </c>
      <c r="L7" s="7">
        <f>'CEP-COUNTS'!L7/1669*100</f>
        <v>3.2354703415218693</v>
      </c>
      <c r="M7" s="7">
        <f>'CEP-COUNTS'!M7/1669*100</f>
        <v>5.3325344517675255</v>
      </c>
      <c r="N7" s="8">
        <f t="shared" si="0"/>
        <v>161.71360095865788</v>
      </c>
    </row>
    <row r="8" spans="1:14">
      <c r="A8" s="5" t="s">
        <v>52</v>
      </c>
      <c r="B8" s="7">
        <f>'CEP-COUNTS'!B8/1669*100</f>
        <v>23.067705212702215</v>
      </c>
      <c r="C8" s="7">
        <f>'CEP-COUNTS'!C8/1669*100</f>
        <v>9.5865787896944283</v>
      </c>
      <c r="D8" s="7">
        <f>'CEP-COUNTS'!D8/1669*100</f>
        <v>9.286998202516477</v>
      </c>
      <c r="E8" s="7">
        <f>'CEP-COUNTS'!E8/1669*100</f>
        <v>50.20970641102457</v>
      </c>
      <c r="F8" s="7">
        <f>'CEP-COUNTS'!F8/1669*100</f>
        <v>10.964649490713002</v>
      </c>
      <c r="G8" s="7">
        <f>'CEP-COUNTS'!G8/1669*100</f>
        <v>9.8861593768723797</v>
      </c>
      <c r="H8" s="7">
        <f>'CEP-COUNTS'!H8/1669*100</f>
        <v>6.0515278609946082</v>
      </c>
      <c r="I8" s="7">
        <f>'CEP-COUNTS'!I8/1669*100</f>
        <v>4.5536249251048533</v>
      </c>
      <c r="J8" s="7">
        <f>'CEP-COUNTS'!J8/1669*100</f>
        <v>6.7705212702216899</v>
      </c>
      <c r="K8" s="7">
        <f>'CEP-COUNTS'!K8/1669*100</f>
        <v>5.2726183343319359</v>
      </c>
      <c r="L8" s="7">
        <f>'CEP-COUNTS'!L8/1669*100</f>
        <v>3.8945476333133611</v>
      </c>
      <c r="M8" s="7">
        <f>'CEP-COUNTS'!M8/1669*100</f>
        <v>4.9131216297183942</v>
      </c>
      <c r="N8" s="8">
        <f t="shared" si="0"/>
        <v>144.45775913720792</v>
      </c>
    </row>
    <row r="9" spans="1:14">
      <c r="A9" s="5" t="s">
        <v>51</v>
      </c>
      <c r="B9" s="7">
        <f>'CEP-COUNTS'!B9/1669*100</f>
        <v>17.795086878370281</v>
      </c>
      <c r="C9" s="7">
        <f>'CEP-COUNTS'!C9/1669*100</f>
        <v>7.2498502097064117</v>
      </c>
      <c r="D9" s="7">
        <f>'CEP-COUNTS'!D9/1669*100</f>
        <v>6.7106051527860995</v>
      </c>
      <c r="E9" s="7">
        <f>'CEP-COUNTS'!E9/1669*100</f>
        <v>36.189334931096468</v>
      </c>
      <c r="F9" s="7">
        <f>'CEP-COUNTS'!F9/1669*100</f>
        <v>7.2498502097064117</v>
      </c>
      <c r="G9" s="7">
        <f>'CEP-COUNTS'!G9/1669*100</f>
        <v>7.8490113840623126</v>
      </c>
      <c r="H9" s="7">
        <f>'CEP-COUNTS'!H9/1669*100</f>
        <v>4.7333732774116237</v>
      </c>
      <c r="I9" s="7">
        <f>'CEP-COUNTS'!I9/1669*100</f>
        <v>4.0143798681845411</v>
      </c>
      <c r="J9" s="7">
        <f>'CEP-COUNTS'!J9/1669*100</f>
        <v>4.5536249251048533</v>
      </c>
      <c r="K9" s="7">
        <f>'CEP-COUNTS'!K9/1669*100</f>
        <v>4.0742959856201324</v>
      </c>
      <c r="L9" s="7">
        <f>'CEP-COUNTS'!L9/1669*100</f>
        <v>2.636309167165968</v>
      </c>
      <c r="M9" s="7">
        <f>'CEP-COUNTS'!M9/1669*100</f>
        <v>4.134212103055722</v>
      </c>
      <c r="N9" s="8">
        <f t="shared" si="0"/>
        <v>107.18993409227082</v>
      </c>
    </row>
    <row r="10" spans="1:14">
      <c r="A10" s="5" t="s">
        <v>46</v>
      </c>
      <c r="B10" s="7">
        <f>'CEP-COUNTS'!B10/1669*100</f>
        <v>27.501497902935888</v>
      </c>
      <c r="C10" s="7">
        <f>'CEP-COUNTS'!C10/1669*100</f>
        <v>12.462552426602755</v>
      </c>
      <c r="D10" s="7">
        <f>'CEP-COUNTS'!D10/1669*100</f>
        <v>11.743559017375674</v>
      </c>
      <c r="E10" s="7">
        <f>'CEP-COUNTS'!E10/1669*100</f>
        <v>41.461953265428406</v>
      </c>
      <c r="F10" s="7">
        <f>'CEP-COUNTS'!F10/1669*100</f>
        <v>11.563810665068903</v>
      </c>
      <c r="G10" s="7">
        <f>'CEP-COUNTS'!G10/1669*100</f>
        <v>8.3283403235470352</v>
      </c>
      <c r="H10" s="7">
        <f>'CEP-COUNTS'!H10/1669*100</f>
        <v>12.043139604553625</v>
      </c>
      <c r="I10" s="7">
        <f>'CEP-COUNTS'!I10/1669*100</f>
        <v>5.9316956261234273</v>
      </c>
      <c r="J10" s="7">
        <f>'CEP-COUNTS'!J10/1669*100</f>
        <v>24.865188735769923</v>
      </c>
      <c r="K10" s="7">
        <f>'CEP-COUNTS'!K10/1669*100</f>
        <v>6.411024565608149</v>
      </c>
      <c r="L10" s="7">
        <f>'CEP-COUNTS'!L10/1669*100</f>
        <v>4.7932893948472142</v>
      </c>
      <c r="M10" s="7">
        <f>'CEP-COUNTS'!M10/1669*100</f>
        <v>7.4895146794487726</v>
      </c>
      <c r="N10" s="8">
        <f t="shared" si="0"/>
        <v>174.59556620730979</v>
      </c>
    </row>
    <row r="11" spans="1:14">
      <c r="A11" s="5" t="s">
        <v>57</v>
      </c>
      <c r="B11" s="7">
        <f>'CEP-COUNTS'!B11/1669*100</f>
        <v>12.222887956860395</v>
      </c>
      <c r="C11" s="7">
        <f>'CEP-COUNTS'!C11/1669*100</f>
        <v>4.9131216297183942</v>
      </c>
      <c r="D11" s="7">
        <f>'CEP-COUNTS'!D11/1669*100</f>
        <v>4.8532055122828046</v>
      </c>
      <c r="E11" s="7">
        <f>'CEP-COUNTS'!E11/1669*100</f>
        <v>18.813660874775316</v>
      </c>
      <c r="F11" s="7">
        <f>'CEP-COUNTS'!F11/1669*100</f>
        <v>3.6548831635710011</v>
      </c>
      <c r="G11" s="7">
        <f>'CEP-COUNTS'!G11/1669*100</f>
        <v>4.134212103055722</v>
      </c>
      <c r="H11" s="7">
        <f>'CEP-COUNTS'!H11/1669*100</f>
        <v>2.5164769322947875</v>
      </c>
      <c r="I11" s="7">
        <f>'CEP-COUNTS'!I11/1669*100</f>
        <v>1.7375674056321149</v>
      </c>
      <c r="J11" s="7">
        <f>'CEP-COUNTS'!J11/1669*100</f>
        <v>3.1755542240862793</v>
      </c>
      <c r="K11" s="7">
        <f>'CEP-COUNTS'!K11/1669*100</f>
        <v>2.1569802276812462</v>
      </c>
      <c r="L11" s="7">
        <f>'CEP-COUNTS'!L11/1669*100</f>
        <v>1.4379868184541642</v>
      </c>
      <c r="M11" s="7">
        <f>'CEP-COUNTS'!M11/1669*100</f>
        <v>2.5763930497303775</v>
      </c>
      <c r="N11" s="8">
        <f t="shared" si="0"/>
        <v>62.192929898142602</v>
      </c>
    </row>
    <row r="12" spans="1:14">
      <c r="A12" s="5" t="s">
        <v>58</v>
      </c>
      <c r="B12" s="7">
        <f>'CEP-COUNTS'!B12/1669*100</f>
        <v>28.040742959856203</v>
      </c>
      <c r="C12" s="7">
        <f>'CEP-COUNTS'!C12/1669*100</f>
        <v>14.919113241461954</v>
      </c>
      <c r="D12" s="7">
        <f>'CEP-COUNTS'!D12/1669*100</f>
        <v>10.12582384661474</v>
      </c>
      <c r="E12" s="7">
        <f>'CEP-COUNTS'!E12/1669*100</f>
        <v>59.1372079089275</v>
      </c>
      <c r="F12" s="7">
        <f>'CEP-COUNTS'!F12/1669*100</f>
        <v>16.95626123427202</v>
      </c>
      <c r="G12" s="7">
        <f>'CEP-COUNTS'!G12/1669*100</f>
        <v>10.724985020970641</v>
      </c>
      <c r="H12" s="7">
        <f>'CEP-COUNTS'!H12/1669*100</f>
        <v>7.6692630317555421</v>
      </c>
      <c r="I12" s="7">
        <f>'CEP-COUNTS'!I12/1669*100</f>
        <v>6.7106051527860995</v>
      </c>
      <c r="J12" s="7">
        <f>'CEP-COUNTS'!J12/1669*100</f>
        <v>8.3882564409826248</v>
      </c>
      <c r="K12" s="7">
        <f>'CEP-COUNTS'!K12/1669*100</f>
        <v>7.1300179748352299</v>
      </c>
      <c r="L12" s="7">
        <f>'CEP-COUNTS'!L12/1669*100</f>
        <v>4.6135410425404437</v>
      </c>
      <c r="M12" s="7">
        <f>'CEP-COUNTS'!M12/1669*100</f>
        <v>7.5494307968843612</v>
      </c>
      <c r="N12" s="8">
        <f t="shared" si="0"/>
        <v>181.96524865188735</v>
      </c>
    </row>
    <row r="13" spans="1:14">
      <c r="A13" s="5" t="s">
        <v>53</v>
      </c>
      <c r="B13" s="7">
        <f>'CEP-COUNTS'!B13/1669*100</f>
        <v>16.237267825044938</v>
      </c>
      <c r="C13" s="7">
        <f>'CEP-COUNTS'!C13/1669*100</f>
        <v>6.890353505092869</v>
      </c>
      <c r="D13" s="7">
        <f>'CEP-COUNTS'!D13/1669*100</f>
        <v>3.8945476333133611</v>
      </c>
      <c r="E13" s="7">
        <f>'CEP-COUNTS'!E13/1669*100</f>
        <v>16.117435590173756</v>
      </c>
      <c r="F13" s="7">
        <f>'CEP-COUNTS'!F13/1669*100</f>
        <v>4.0742959856201324</v>
      </c>
      <c r="G13" s="7">
        <f>'CEP-COUNTS'!G13/1669*100</f>
        <v>2.0371479928100662</v>
      </c>
      <c r="H13" s="7">
        <f>'CEP-COUNTS'!H13/1669*100</f>
        <v>3.5350509286998206</v>
      </c>
      <c r="I13" s="7">
        <f>'CEP-COUNTS'!I13/1669*100</f>
        <v>1.7974835230677051</v>
      </c>
      <c r="J13" s="7">
        <f>'CEP-COUNTS'!J13/1669*100</f>
        <v>5.7519472738166568</v>
      </c>
      <c r="K13" s="7">
        <f>'CEP-COUNTS'!K13/1669*100</f>
        <v>2.696225284601558</v>
      </c>
      <c r="L13" s="7">
        <f>'CEP-COUNTS'!L13/1669*100</f>
        <v>1.6177351707609346</v>
      </c>
      <c r="M13" s="7">
        <f>'CEP-COUNTS'!M13/1669*100</f>
        <v>1.7375674056321149</v>
      </c>
      <c r="N13" s="8">
        <f t="shared" si="0"/>
        <v>66.387058118633917</v>
      </c>
    </row>
    <row r="14" spans="1:14">
      <c r="A14" s="5" t="s">
        <v>50</v>
      </c>
      <c r="B14" s="7">
        <f>'CEP-COUNTS'!B14/1669*100</f>
        <v>20.61114439784302</v>
      </c>
      <c r="C14" s="7">
        <f>'CEP-COUNTS'!C14/1669*100</f>
        <v>10.60515278609946</v>
      </c>
      <c r="D14" s="7">
        <f>'CEP-COUNTS'!D14/1669*100</f>
        <v>8.6878370281605743</v>
      </c>
      <c r="E14" s="7">
        <f>'CEP-COUNTS'!E14/1669*100</f>
        <v>30.137807070101857</v>
      </c>
      <c r="F14" s="7">
        <f>'CEP-COUNTS'!F14/1669*100</f>
        <v>9.5865787896944283</v>
      </c>
      <c r="G14" s="7">
        <f>'CEP-COUNTS'!G14/1669*100</f>
        <v>5.9316956261234273</v>
      </c>
      <c r="H14" s="7">
        <f>'CEP-COUNTS'!H14/1669*100</f>
        <v>6.1713600958657873</v>
      </c>
      <c r="I14" s="7">
        <f>'CEP-COUNTS'!I14/1669*100</f>
        <v>4.8532055122828046</v>
      </c>
      <c r="J14" s="7">
        <f>'CEP-COUNTS'!J14/1669*100</f>
        <v>6.6506890353505099</v>
      </c>
      <c r="K14" s="7">
        <f>'CEP-COUNTS'!K14/1669*100</f>
        <v>5.3325344517675255</v>
      </c>
      <c r="L14" s="7">
        <f>'CEP-COUNTS'!L14/1669*100</f>
        <v>4.254044337926902</v>
      </c>
      <c r="M14" s="7">
        <f>'CEP-COUNTS'!M14/1669*100</f>
        <v>5.1527860994607551</v>
      </c>
      <c r="N14" s="8">
        <f t="shared" si="0"/>
        <v>117.97483523067704</v>
      </c>
    </row>
    <row r="15" spans="1:14">
      <c r="A15" s="5" t="s">
        <v>47</v>
      </c>
      <c r="B15" s="7">
        <f>'CEP-COUNTS'!B15/1669*100</f>
        <v>26.542840023966445</v>
      </c>
      <c r="C15" s="7">
        <f>'CEP-COUNTS'!C15/1669*100</f>
        <v>11.264230077890952</v>
      </c>
      <c r="D15" s="7">
        <f>'CEP-COUNTS'!D15/1669*100</f>
        <v>10.245656081485919</v>
      </c>
      <c r="E15" s="7">
        <f>'CEP-COUNTS'!E15/1669*100</f>
        <v>43.139604553624928</v>
      </c>
      <c r="F15" s="7">
        <f>'CEP-COUNTS'!F15/1669*100</f>
        <v>12.762133013780709</v>
      </c>
      <c r="G15" s="7">
        <f>'CEP-COUNTS'!G15/1669*100</f>
        <v>9.7663271420011988</v>
      </c>
      <c r="H15" s="7">
        <f>'CEP-COUNTS'!H15/1669*100</f>
        <v>7.908927501497903</v>
      </c>
      <c r="I15" s="7">
        <f>'CEP-COUNTS'!I15/1669*100</f>
        <v>5.6920311563810664</v>
      </c>
      <c r="J15" s="7">
        <f>'CEP-COUNTS'!J15/1669*100</f>
        <v>10.784901138406232</v>
      </c>
      <c r="K15" s="7">
        <f>'CEP-COUNTS'!K15/1669*100</f>
        <v>6.0515278609946082</v>
      </c>
      <c r="L15" s="7">
        <f>'CEP-COUNTS'!L15/1669*100</f>
        <v>4.3139604553624924</v>
      </c>
      <c r="M15" s="7">
        <f>'CEP-COUNTS'!M15/1669*100</f>
        <v>6.1713600958657873</v>
      </c>
      <c r="N15" s="8">
        <f t="shared" si="0"/>
        <v>154.64349910125824</v>
      </c>
    </row>
    <row r="16" spans="1:14">
      <c r="A16" s="5" t="s">
        <v>49</v>
      </c>
      <c r="B16" s="7">
        <f>'CEP-COUNTS'!B16/1669*100</f>
        <v>27.920910724985021</v>
      </c>
      <c r="C16" s="7">
        <f>'CEP-COUNTS'!C16/1669*100</f>
        <v>10.30557219892151</v>
      </c>
      <c r="D16" s="7">
        <f>'CEP-COUNTS'!D16/1669*100</f>
        <v>6.2911923307369682</v>
      </c>
      <c r="E16" s="7">
        <f>'CEP-COUNTS'!E16/1669*100</f>
        <v>29.179149191132414</v>
      </c>
      <c r="F16" s="7">
        <f>'CEP-COUNTS'!F16/1669*100</f>
        <v>6.2911923307369682</v>
      </c>
      <c r="G16" s="7">
        <f>'CEP-COUNTS'!G16/1669*100</f>
        <v>3.9544637507489515</v>
      </c>
      <c r="H16" s="7">
        <f>'CEP-COUNTS'!H16/1669*100</f>
        <v>4.0143798681845411</v>
      </c>
      <c r="I16" s="7">
        <f>'CEP-COUNTS'!I16/1669*100</f>
        <v>3.3553025763930497</v>
      </c>
      <c r="J16" s="7">
        <f>'CEP-COUNTS'!J16/1669*100</f>
        <v>9.8262432594367883</v>
      </c>
      <c r="K16" s="7">
        <f>'CEP-COUNTS'!K16/1669*100</f>
        <v>3.8346315158777711</v>
      </c>
      <c r="L16" s="7">
        <f>'CEP-COUNTS'!L16/1669*100</f>
        <v>2.2768124625524266</v>
      </c>
      <c r="M16" s="7">
        <f>'CEP-COUNTS'!M16/1669*100</f>
        <v>3.2354703415218693</v>
      </c>
      <c r="N16" s="8">
        <f t="shared" si="0"/>
        <v>110.48532055122828</v>
      </c>
    </row>
    <row r="17" spans="1:14">
      <c r="A17" s="5" t="s">
        <v>48</v>
      </c>
      <c r="B17" s="7">
        <f>'CEP-COUNTS'!B17/1669*100</f>
        <v>22.168963451168363</v>
      </c>
      <c r="C17" s="7">
        <f>'CEP-COUNTS'!C17/1669*100</f>
        <v>8.4481725584182144</v>
      </c>
      <c r="D17" s="7">
        <f>'CEP-COUNTS'!D17/1669*100</f>
        <v>6.2312762133013777</v>
      </c>
      <c r="E17" s="7">
        <f>'CEP-COUNTS'!E17/1669*100</f>
        <v>46.375074895146795</v>
      </c>
      <c r="F17" s="7">
        <f>'CEP-COUNTS'!F17/1669*100</f>
        <v>7.0701018573996413</v>
      </c>
      <c r="G17" s="7">
        <f>'CEP-COUNTS'!G17/1669*100</f>
        <v>10.005991611743559</v>
      </c>
      <c r="H17" s="7">
        <f>'CEP-COUNTS'!H17/1669*100</f>
        <v>4.0742959856201324</v>
      </c>
      <c r="I17" s="7">
        <f>'CEP-COUNTS'!I17/1669*100</f>
        <v>4.1941282204913124</v>
      </c>
      <c r="J17" s="7">
        <f>'CEP-COUNTS'!J17/1669*100</f>
        <v>4.0742959856201324</v>
      </c>
      <c r="K17" s="7">
        <f>'CEP-COUNTS'!K17/1669*100</f>
        <v>3.5949670461354102</v>
      </c>
      <c r="L17" s="7">
        <f>'CEP-COUNTS'!L17/1669*100</f>
        <v>2.756141402037148</v>
      </c>
      <c r="M17" s="7">
        <f>'CEP-COUNTS'!M17/1669*100</f>
        <v>4.3738765727980828</v>
      </c>
      <c r="N17" s="8">
        <f t="shared" si="0"/>
        <v>123.36728579988015</v>
      </c>
    </row>
    <row r="18" spans="1:14">
      <c r="A18" s="5" t="s">
        <v>45</v>
      </c>
      <c r="B18" s="7">
        <f>'CEP-COUNTS'!B18/1669*100</f>
        <v>23.726782504493709</v>
      </c>
      <c r="C18" s="7">
        <f>'CEP-COUNTS'!C18/1669*100</f>
        <v>9.4667465548232475</v>
      </c>
      <c r="D18" s="7">
        <f>'CEP-COUNTS'!D18/1669*100</f>
        <v>8.2085080886758526</v>
      </c>
      <c r="E18" s="7">
        <f>'CEP-COUNTS'!E18/1669*100</f>
        <v>61.354104254044337</v>
      </c>
      <c r="F18" s="7">
        <f>'CEP-COUNTS'!F18/1669*100</f>
        <v>8.5680047932893952</v>
      </c>
      <c r="G18" s="7">
        <f>'CEP-COUNTS'!G18/1669*100</f>
        <v>12.762133013780709</v>
      </c>
      <c r="H18" s="7">
        <f>'CEP-COUNTS'!H18/1669*100</f>
        <v>4.6734571599760333</v>
      </c>
      <c r="I18" s="7">
        <f>'CEP-COUNTS'!I18/1669*100</f>
        <v>4.134212103055722</v>
      </c>
      <c r="J18" s="7">
        <f>'CEP-COUNTS'!J18/1669*100</f>
        <v>5.0329538645895751</v>
      </c>
      <c r="K18" s="7">
        <f>'CEP-COUNTS'!K18/1669*100</f>
        <v>4.6135410425404437</v>
      </c>
      <c r="L18" s="7">
        <f>'CEP-COUNTS'!L18/1669*100</f>
        <v>3.3553025763930497</v>
      </c>
      <c r="M18" s="7">
        <f>'CEP-COUNTS'!M18/1669*100</f>
        <v>4.254044337926902</v>
      </c>
      <c r="N18" s="8">
        <f t="shared" si="0"/>
        <v>150.14979029358898</v>
      </c>
    </row>
    <row r="19" spans="1:14">
      <c r="A19" s="5" t="s">
        <v>44</v>
      </c>
      <c r="B19" s="7">
        <f>'CEP-COUNTS'!B19/1669*100</f>
        <v>29.119233073696826</v>
      </c>
      <c r="C19" s="7">
        <f>'CEP-COUNTS'!C19/1669*100</f>
        <v>13.481126423007789</v>
      </c>
      <c r="D19" s="7">
        <f>'CEP-COUNTS'!D19/1669*100</f>
        <v>11.803475134811265</v>
      </c>
      <c r="E19" s="7">
        <f>'CEP-COUNTS'!E19/1669*100</f>
        <v>67.585380467345715</v>
      </c>
      <c r="F19" s="7">
        <f>'CEP-COUNTS'!F19/1669*100</f>
        <v>14.439784301977232</v>
      </c>
      <c r="G19" s="7">
        <f>'CEP-COUNTS'!G19/1669*100</f>
        <v>14.020371479928102</v>
      </c>
      <c r="H19" s="7">
        <f>'CEP-COUNTS'!H19/1669*100</f>
        <v>7.5494307968843612</v>
      </c>
      <c r="I19" s="7">
        <f>'CEP-COUNTS'!I19/1669*100</f>
        <v>5.3924505692031159</v>
      </c>
      <c r="J19" s="7">
        <f>'CEP-COUNTS'!J19/1669*100</f>
        <v>7.4295985620131813</v>
      </c>
      <c r="K19" s="7">
        <f>'CEP-COUNTS'!K19/1669*100</f>
        <v>6.7106051527860995</v>
      </c>
      <c r="L19" s="7">
        <f>'CEP-COUNTS'!L19/1669*100</f>
        <v>4.5536249251048533</v>
      </c>
      <c r="M19" s="7">
        <f>'CEP-COUNTS'!M19/1669*100</f>
        <v>6.7705212702216899</v>
      </c>
      <c r="N19" s="8">
        <f t="shared" si="0"/>
        <v>188.85560215698021</v>
      </c>
    </row>
    <row r="20" spans="1:14">
      <c r="A20" s="5" t="s">
        <v>40</v>
      </c>
      <c r="B20" s="7">
        <f>'CEP-COUNTS'!B20/1669*100</f>
        <v>15.698022768124625</v>
      </c>
      <c r="C20" s="7">
        <f>'CEP-COUNTS'!C20/1669*100</f>
        <v>6.9502696225284595</v>
      </c>
      <c r="D20" s="7">
        <f>'CEP-COUNTS'!D20/1669*100</f>
        <v>5.3325344517675255</v>
      </c>
      <c r="E20" s="7">
        <f>'CEP-COUNTS'!E20/1669*100</f>
        <v>29.658478130617137</v>
      </c>
      <c r="F20" s="7">
        <f>'CEP-COUNTS'!F20/1669*100</f>
        <v>6.4709406830437386</v>
      </c>
      <c r="G20" s="7">
        <f>'CEP-COUNTS'!G20/1669*100</f>
        <v>6.0515278609946082</v>
      </c>
      <c r="H20" s="7">
        <f>'CEP-COUNTS'!H20/1669*100</f>
        <v>4.134212103055722</v>
      </c>
      <c r="I20" s="7">
        <f>'CEP-COUNTS'!I20/1669*100</f>
        <v>3.1156381066506889</v>
      </c>
      <c r="J20" s="7">
        <f>'CEP-COUNTS'!J20/1669*100</f>
        <v>4.0742959856201324</v>
      </c>
      <c r="K20" s="7">
        <f>'CEP-COUNTS'!K20/1669*100</f>
        <v>3.2354703415218693</v>
      </c>
      <c r="L20" s="7">
        <f>'CEP-COUNTS'!L20/1669*100</f>
        <v>2.2768124625524266</v>
      </c>
      <c r="M20" s="7">
        <f>'CEP-COUNTS'!M20/1669*100</f>
        <v>3.1755542240862793</v>
      </c>
      <c r="N20" s="8">
        <f t="shared" si="0"/>
        <v>90.173756740563235</v>
      </c>
    </row>
    <row r="21" spans="1:14">
      <c r="A21" s="5" t="s">
        <v>43</v>
      </c>
      <c r="B21" s="7">
        <f>'CEP-COUNTS'!B21/1669*100</f>
        <v>32.654284002396643</v>
      </c>
      <c r="C21" s="7">
        <f>'CEP-COUNTS'!C21/1669*100</f>
        <v>17.195925704014382</v>
      </c>
      <c r="D21" s="7">
        <f>'CEP-COUNTS'!D21/1669*100</f>
        <v>13.241461953265429</v>
      </c>
      <c r="E21" s="7">
        <f>'CEP-COUNTS'!E21/1669*100</f>
        <v>47.633313361294185</v>
      </c>
      <c r="F21" s="7">
        <f>'CEP-COUNTS'!F21/1669*100</f>
        <v>26.123427201917316</v>
      </c>
      <c r="G21" s="7">
        <f>'CEP-COUNTS'!G21/1669*100</f>
        <v>8.0886758538046735</v>
      </c>
      <c r="H21" s="7">
        <f>'CEP-COUNTS'!H21/1669*100</f>
        <v>8.6279209107249848</v>
      </c>
      <c r="I21" s="7">
        <f>'CEP-COUNTS'!I21/1669*100</f>
        <v>8.3283403235470352</v>
      </c>
      <c r="J21" s="7">
        <f>'CEP-COUNTS'!J21/1669*100</f>
        <v>9.7064110245656092</v>
      </c>
      <c r="K21" s="7">
        <f>'CEP-COUNTS'!K21/1669*100</f>
        <v>7.4895146794487726</v>
      </c>
      <c r="L21" s="7">
        <f>'CEP-COUNTS'!L21/1669*100</f>
        <v>6.0515278609946082</v>
      </c>
      <c r="M21" s="7">
        <f>'CEP-COUNTS'!M21/1669*100</f>
        <v>9.286998202516477</v>
      </c>
      <c r="N21" s="8">
        <f t="shared" si="0"/>
        <v>194.42780107849012</v>
      </c>
    </row>
    <row r="22" spans="1:14">
      <c r="A22" s="5" t="s">
        <v>42</v>
      </c>
      <c r="B22" s="7">
        <f>'CEP-COUNTS'!B22/1669*100</f>
        <v>38.226482923906531</v>
      </c>
      <c r="C22" s="7">
        <f>'CEP-COUNTS'!C22/1669*100</f>
        <v>18.274415817855001</v>
      </c>
      <c r="D22" s="7">
        <f>'CEP-COUNTS'!D22/1669*100</f>
        <v>15.757938885560216</v>
      </c>
      <c r="E22" s="7">
        <f>'CEP-COUNTS'!E22/1669*100</f>
        <v>59.7363690832834</v>
      </c>
      <c r="F22" s="7">
        <f>'CEP-COUNTS'!F22/1669*100</f>
        <v>20.311563810665067</v>
      </c>
      <c r="G22" s="7">
        <f>'CEP-COUNTS'!G22/1669*100</f>
        <v>13.54104254044338</v>
      </c>
      <c r="H22" s="7">
        <f>'CEP-COUNTS'!H22/1669*100</f>
        <v>12.702216896345117</v>
      </c>
      <c r="I22" s="7">
        <f>'CEP-COUNTS'!I22/1669*100</f>
        <v>9.3469143199520666</v>
      </c>
      <c r="J22" s="7">
        <f>'CEP-COUNTS'!J22/1669*100</f>
        <v>17.555422408627923</v>
      </c>
      <c r="K22" s="7">
        <f>'CEP-COUNTS'!K22/1669*100</f>
        <v>9.6464949071300179</v>
      </c>
      <c r="L22" s="7">
        <f>'CEP-COUNTS'!L22/1669*100</f>
        <v>9.526662672258837</v>
      </c>
      <c r="M22" s="7">
        <f>'CEP-COUNTS'!M22/1669*100</f>
        <v>11.443978430197724</v>
      </c>
      <c r="N22" s="8">
        <f t="shared" si="0"/>
        <v>236.06950269622524</v>
      </c>
    </row>
    <row r="23" spans="1:14">
      <c r="A23" s="5" t="s">
        <v>41</v>
      </c>
      <c r="B23" s="7">
        <f>'CEP-COUNTS'!B23/1669*100</f>
        <v>23.966446974236071</v>
      </c>
      <c r="C23" s="7">
        <f>'CEP-COUNTS'!C23/1669*100</f>
        <v>8.9874176153385257</v>
      </c>
      <c r="D23" s="7">
        <f>'CEP-COUNTS'!D23/1669*100</f>
        <v>7.7890952666267221</v>
      </c>
      <c r="E23" s="7">
        <f>'CEP-COUNTS'!E23/1669*100</f>
        <v>67.465548232474532</v>
      </c>
      <c r="F23" s="7">
        <f>'CEP-COUNTS'!F23/1669*100</f>
        <v>8.3283403235470352</v>
      </c>
      <c r="G23" s="7">
        <f>'CEP-COUNTS'!G23/1669*100</f>
        <v>10.60515278609946</v>
      </c>
      <c r="H23" s="7">
        <f>'CEP-COUNTS'!H23/1669*100</f>
        <v>4.9730377471539837</v>
      </c>
      <c r="I23" s="7">
        <f>'CEP-COUNTS'!I23/1669*100</f>
        <v>3.3553025763930497</v>
      </c>
      <c r="J23" s="7">
        <f>'CEP-COUNTS'!J23/1669*100</f>
        <v>4.6135410425404437</v>
      </c>
      <c r="K23" s="7">
        <f>'CEP-COUNTS'!K23/1669*100</f>
        <v>3.8346315158777711</v>
      </c>
      <c r="L23" s="7">
        <f>'CEP-COUNTS'!L23/1669*100</f>
        <v>2.816057519472738</v>
      </c>
      <c r="M23" s="7">
        <f>'CEP-COUNTS'!M23/1669*100</f>
        <v>4.134212103055722</v>
      </c>
      <c r="N23" s="8">
        <f t="shared" si="0"/>
        <v>150.86878370281605</v>
      </c>
    </row>
    <row r="24" spans="1:14">
      <c r="A24" s="5" t="s">
        <v>39</v>
      </c>
      <c r="B24" s="7">
        <f>'CEP-COUNTS'!B24/1669*100</f>
        <v>21.809466746554822</v>
      </c>
      <c r="C24" s="7">
        <f>'CEP-COUNTS'!C24/1669*100</f>
        <v>10.365488316357101</v>
      </c>
      <c r="D24" s="7">
        <f>'CEP-COUNTS'!D24/1669*100</f>
        <v>7.908927501497903</v>
      </c>
      <c r="E24" s="7">
        <f>'CEP-COUNTS'!E24/1669*100</f>
        <v>50.629119233073695</v>
      </c>
      <c r="F24" s="7">
        <f>'CEP-COUNTS'!F24/1669*100</f>
        <v>8.7477531455961657</v>
      </c>
      <c r="G24" s="7">
        <f>'CEP-COUNTS'!G24/1669*100</f>
        <v>8.4481725584182144</v>
      </c>
      <c r="H24" s="7">
        <f>'CEP-COUNTS'!H24/1669*100</f>
        <v>5.8118633912522473</v>
      </c>
      <c r="I24" s="7">
        <f>'CEP-COUNTS'!I24/1669*100</f>
        <v>4.4937088076692628</v>
      </c>
      <c r="J24" s="7">
        <f>'CEP-COUNTS'!J24/1669*100</f>
        <v>5.0329538645895751</v>
      </c>
      <c r="K24" s="7">
        <f>'CEP-COUNTS'!K24/1669*100</f>
        <v>4.5536249251048533</v>
      </c>
      <c r="L24" s="7">
        <f>'CEP-COUNTS'!L24/1669*100</f>
        <v>3.7747153984421806</v>
      </c>
      <c r="M24" s="7">
        <f>'CEP-COUNTS'!M24/1669*100</f>
        <v>5.3924505692031159</v>
      </c>
      <c r="N24" s="8">
        <f t="shared" si="0"/>
        <v>136.96824445775911</v>
      </c>
    </row>
    <row r="25" spans="1:14">
      <c r="A25" s="5" t="s">
        <v>38</v>
      </c>
      <c r="B25" s="7">
        <f>'CEP-COUNTS'!B25/1669*100</f>
        <v>34.032354703415216</v>
      </c>
      <c r="C25" s="7">
        <f>'CEP-COUNTS'!C25/1669*100</f>
        <v>16.836428999400837</v>
      </c>
      <c r="D25" s="7">
        <f>'CEP-COUNTS'!D25/1669*100</f>
        <v>12.941881366087477</v>
      </c>
      <c r="E25" s="7">
        <f>'CEP-COUNTS'!E25/1669*100</f>
        <v>53.624925104853205</v>
      </c>
      <c r="F25" s="7">
        <f>'CEP-COUNTS'!F25/1669*100</f>
        <v>13.780707010185738</v>
      </c>
      <c r="G25" s="7">
        <f>'CEP-COUNTS'!G25/1669*100</f>
        <v>9.4667465548232475</v>
      </c>
      <c r="H25" s="7">
        <f>'CEP-COUNTS'!H25/1669*100</f>
        <v>8.9275014979029361</v>
      </c>
      <c r="I25" s="7">
        <f>'CEP-COUNTS'!I25/1669*100</f>
        <v>8.0287597363690821</v>
      </c>
      <c r="J25" s="7">
        <f>'CEP-COUNTS'!J25/1669*100</f>
        <v>10.005991611743559</v>
      </c>
      <c r="K25" s="7">
        <f>'CEP-COUNTS'!K25/1669*100</f>
        <v>8.2684242061114439</v>
      </c>
      <c r="L25" s="7">
        <f>'CEP-COUNTS'!L25/1669*100</f>
        <v>5.2127022168963446</v>
      </c>
      <c r="M25" s="7">
        <f>'CEP-COUNTS'!M25/1669*100</f>
        <v>7.6692630317555421</v>
      </c>
      <c r="N25" s="8">
        <f t="shared" si="0"/>
        <v>188.79568603954465</v>
      </c>
    </row>
    <row r="26" spans="1:14">
      <c r="A26" s="5" t="s">
        <v>37</v>
      </c>
      <c r="B26" s="7">
        <f>'CEP-COUNTS'!B26/1669*100</f>
        <v>35.350509286998204</v>
      </c>
      <c r="C26" s="7">
        <f>'CEP-COUNTS'!C26/1669*100</f>
        <v>18.813660874775316</v>
      </c>
      <c r="D26" s="7">
        <f>'CEP-COUNTS'!D26/1669*100</f>
        <v>14.619532654284004</v>
      </c>
      <c r="E26" s="7">
        <f>'CEP-COUNTS'!E26/1669*100</f>
        <v>52.726183343319356</v>
      </c>
      <c r="F26" s="7">
        <f>'CEP-COUNTS'!F26/1669*100</f>
        <v>21.749550629119234</v>
      </c>
      <c r="G26" s="7">
        <f>'CEP-COUNTS'!G26/1669*100</f>
        <v>10.784901138406232</v>
      </c>
      <c r="H26" s="7">
        <f>'CEP-COUNTS'!H26/1669*100</f>
        <v>11.324146195326543</v>
      </c>
      <c r="I26" s="7">
        <f>'CEP-COUNTS'!I26/1669*100</f>
        <v>10.665068903535051</v>
      </c>
      <c r="J26" s="7">
        <f>'CEP-COUNTS'!J26/1669*100</f>
        <v>11.204313960455362</v>
      </c>
      <c r="K26" s="7">
        <f>'CEP-COUNTS'!K26/1669*100</f>
        <v>9.7064110245656092</v>
      </c>
      <c r="L26" s="7">
        <f>'CEP-COUNTS'!L26/1669*100</f>
        <v>8.0287597363690821</v>
      </c>
      <c r="M26" s="7">
        <f>'CEP-COUNTS'!M26/1669*100</f>
        <v>10.245656081485919</v>
      </c>
      <c r="N26" s="8">
        <f t="shared" si="0"/>
        <v>215.21869382863989</v>
      </c>
    </row>
    <row r="27" spans="1:14">
      <c r="A27" s="5" t="s">
        <v>34</v>
      </c>
      <c r="B27" s="7">
        <f>'CEP-COUNTS'!B27/1669*100</f>
        <v>34.631515877771122</v>
      </c>
      <c r="C27" s="7">
        <f>'CEP-COUNTS'!C27/1669*100</f>
        <v>18.753744757339724</v>
      </c>
      <c r="D27" s="7">
        <f>'CEP-COUNTS'!D27/1669*100</f>
        <v>13.72079089275015</v>
      </c>
      <c r="E27" s="7">
        <f>'CEP-COUNTS'!E27/1669*100</f>
        <v>54.044337926902344</v>
      </c>
      <c r="F27" s="7">
        <f>'CEP-COUNTS'!F27/1669*100</f>
        <v>21.150389454763332</v>
      </c>
      <c r="G27" s="7">
        <f>'CEP-COUNTS'!G27/1669*100</f>
        <v>10.964649490713002</v>
      </c>
      <c r="H27" s="7">
        <f>'CEP-COUNTS'!H27/1669*100</f>
        <v>10.964649490713002</v>
      </c>
      <c r="I27" s="7">
        <f>'CEP-COUNTS'!I27/1669*100</f>
        <v>10.425404433792689</v>
      </c>
      <c r="J27" s="7">
        <f>'CEP-COUNTS'!J27/1669*100</f>
        <v>13.96045536249251</v>
      </c>
      <c r="K27" s="7">
        <f>'CEP-COUNTS'!K27/1669*100</f>
        <v>9.526662672258837</v>
      </c>
      <c r="L27" s="7">
        <f>'CEP-COUNTS'!L27/1669*100</f>
        <v>7.5494307968843612</v>
      </c>
      <c r="M27" s="7">
        <f>'CEP-COUNTS'!M27/1669*100</f>
        <v>10.30557219892151</v>
      </c>
      <c r="N27" s="8">
        <f t="shared" si="0"/>
        <v>215.99760335530266</v>
      </c>
    </row>
    <row r="28" spans="1:14">
      <c r="A28" s="5" t="s">
        <v>35</v>
      </c>
      <c r="B28" s="7">
        <f>'CEP-COUNTS'!B28/1669*100</f>
        <v>33.972438585979631</v>
      </c>
      <c r="C28" s="7">
        <f>'CEP-COUNTS'!C28/1669*100</f>
        <v>17.375674056321149</v>
      </c>
      <c r="D28" s="7">
        <f>'CEP-COUNTS'!D28/1669*100</f>
        <v>13.54104254044338</v>
      </c>
      <c r="E28" s="7">
        <f>'CEP-COUNTS'!E28/1669*100</f>
        <v>54.284002396644695</v>
      </c>
      <c r="F28" s="7">
        <f>'CEP-COUNTS'!F28/1669*100</f>
        <v>19.832234871180347</v>
      </c>
      <c r="G28" s="7">
        <f>'CEP-COUNTS'!G28/1669*100</f>
        <v>9.9460754943079674</v>
      </c>
      <c r="H28" s="7">
        <f>'CEP-COUNTS'!H28/1669*100</f>
        <v>10.245656081485919</v>
      </c>
      <c r="I28" s="7">
        <f>'CEP-COUNTS'!I28/1669*100</f>
        <v>8.3882564409826248</v>
      </c>
      <c r="J28" s="7">
        <f>'CEP-COUNTS'!J28/1669*100</f>
        <v>10.245656081485919</v>
      </c>
      <c r="K28" s="7">
        <f>'CEP-COUNTS'!K28/1669*100</f>
        <v>8.3882564409826248</v>
      </c>
      <c r="L28" s="7">
        <f>'CEP-COUNTS'!L28/1669*100</f>
        <v>6.7106051527860995</v>
      </c>
      <c r="M28" s="7">
        <f>'CEP-COUNTS'!M28/1669*100</f>
        <v>9.8262432594367883</v>
      </c>
      <c r="N28" s="8">
        <f t="shared" si="0"/>
        <v>202.75614140203712</v>
      </c>
    </row>
    <row r="29" spans="1:14">
      <c r="A29" s="5" t="s">
        <v>36</v>
      </c>
      <c r="B29" s="7">
        <f>'CEP-COUNTS'!B29/1669*100</f>
        <v>25.763930497303779</v>
      </c>
      <c r="C29" s="7">
        <f>'CEP-COUNTS'!C29/1669*100</f>
        <v>11.024565608148592</v>
      </c>
      <c r="D29" s="7">
        <f>'CEP-COUNTS'!D29/1669*100</f>
        <v>13.421210305572199</v>
      </c>
      <c r="E29" s="7">
        <f>'CEP-COUNTS'!E29/1669*100</f>
        <v>45.296584781306173</v>
      </c>
      <c r="F29" s="7">
        <f>'CEP-COUNTS'!F29/1669*100</f>
        <v>8.6279209107249848</v>
      </c>
      <c r="G29" s="7">
        <f>'CEP-COUNTS'!G29/1669*100</f>
        <v>7.4895146794487726</v>
      </c>
      <c r="H29" s="7">
        <f>'CEP-COUNTS'!H29/1669*100</f>
        <v>7.6692630317555421</v>
      </c>
      <c r="I29" s="7">
        <f>'CEP-COUNTS'!I29/1669*100</f>
        <v>4.254044337926902</v>
      </c>
      <c r="J29" s="7">
        <f>'CEP-COUNTS'!J29/1669*100</f>
        <v>6.2312762133013777</v>
      </c>
      <c r="K29" s="7">
        <f>'CEP-COUNTS'!K29/1669*100</f>
        <v>6.7705212702216899</v>
      </c>
      <c r="L29" s="7">
        <f>'CEP-COUNTS'!L29/1669*100</f>
        <v>3.4152186938286402</v>
      </c>
      <c r="M29" s="7">
        <f>'CEP-COUNTS'!M29/1669*100</f>
        <v>5.3325344517675255</v>
      </c>
      <c r="N29" s="8">
        <f t="shared" si="0"/>
        <v>145.29658478130617</v>
      </c>
    </row>
    <row r="30" spans="1:14">
      <c r="A30" s="5" t="s">
        <v>60</v>
      </c>
      <c r="B30" s="8">
        <f>SUM(B2:B29)</f>
        <v>738.46614739364884</v>
      </c>
      <c r="C30" s="8">
        <f t="shared" ref="C30:M30" si="1">SUM(C2:C29)</f>
        <v>339.96405032953862</v>
      </c>
      <c r="D30" s="8">
        <f t="shared" si="1"/>
        <v>274.71539844218091</v>
      </c>
      <c r="E30" s="8">
        <f t="shared" si="1"/>
        <v>1381.6057519472738</v>
      </c>
      <c r="F30" s="8">
        <f t="shared" si="1"/>
        <v>335.88975434391847</v>
      </c>
      <c r="G30" s="8">
        <f t="shared" si="1"/>
        <v>262.19292989814261</v>
      </c>
      <c r="H30" s="8">
        <f t="shared" si="1"/>
        <v>198.50209706411027</v>
      </c>
      <c r="I30" s="8">
        <f t="shared" si="1"/>
        <v>157.27980826842418</v>
      </c>
      <c r="J30" s="8">
        <f t="shared" si="1"/>
        <v>245.65608148591971</v>
      </c>
      <c r="K30" s="8">
        <f t="shared" si="1"/>
        <v>161.7735170760935</v>
      </c>
      <c r="L30" s="8">
        <f t="shared" si="1"/>
        <v>121.68963451168364</v>
      </c>
      <c r="M30" s="8">
        <f t="shared" si="1"/>
        <v>172.67825044937086</v>
      </c>
      <c r="N30" s="8">
        <f t="shared" si="0"/>
        <v>4390.4134212103072</v>
      </c>
    </row>
    <row r="31" spans="1:14">
      <c r="N3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69C3-6075-1043-8367-A4A58BF8C35B}">
  <dimension ref="A1:N31"/>
  <sheetViews>
    <sheetView workbookViewId="0"/>
  </sheetViews>
  <sheetFormatPr defaultColWidth="11.19921875" defaultRowHeight="15.6"/>
  <cols>
    <col min="1" max="1" width="120.59765625" bestFit="1" customWidth="1"/>
    <col min="2" max="13" width="7.796875" bestFit="1" customWidth="1"/>
    <col min="14" max="14" width="7.296875" bestFit="1" customWidth="1"/>
  </cols>
  <sheetData>
    <row r="1" spans="1:14">
      <c r="A1" s="1"/>
      <c r="B1" s="18" t="s">
        <v>102</v>
      </c>
      <c r="C1" s="18" t="s">
        <v>102</v>
      </c>
      <c r="D1" s="18" t="s">
        <v>102</v>
      </c>
      <c r="E1" s="18" t="s">
        <v>102</v>
      </c>
      <c r="F1" s="18" t="s">
        <v>102</v>
      </c>
      <c r="G1" s="18" t="s">
        <v>102</v>
      </c>
      <c r="H1" s="18" t="s">
        <v>102</v>
      </c>
      <c r="I1" s="18" t="s">
        <v>102</v>
      </c>
      <c r="J1" s="18" t="s">
        <v>102</v>
      </c>
      <c r="K1" s="18" t="s">
        <v>102</v>
      </c>
      <c r="L1" s="18" t="s">
        <v>102</v>
      </c>
      <c r="M1" s="18" t="s">
        <v>102</v>
      </c>
      <c r="N1" s="18" t="s">
        <v>60</v>
      </c>
    </row>
    <row r="2" spans="1:14">
      <c r="A2" s="5" t="s">
        <v>31</v>
      </c>
      <c r="B2" s="12">
        <f>B$30*$N2/$N$30</f>
        <v>25.658262067583237</v>
      </c>
      <c r="C2" s="12">
        <f t="shared" ref="C2:M2" si="0">C$30*$N2/$N$30</f>
        <v>11.812168679226554</v>
      </c>
      <c r="D2" s="12">
        <f t="shared" si="0"/>
        <v>9.5450816697662582</v>
      </c>
      <c r="E2" s="12">
        <f t="shared" si="0"/>
        <v>48.004370386726315</v>
      </c>
      <c r="F2" s="12">
        <f t="shared" si="0"/>
        <v>11.670605854026093</v>
      </c>
      <c r="G2" s="12">
        <f t="shared" si="0"/>
        <v>9.1099841629001421</v>
      </c>
      <c r="H2" s="12">
        <f t="shared" si="0"/>
        <v>6.8970241160164933</v>
      </c>
      <c r="I2" s="12">
        <f t="shared" si="0"/>
        <v>5.4647414139883148</v>
      </c>
      <c r="J2" s="12">
        <f t="shared" si="0"/>
        <v>8.5354056370865141</v>
      </c>
      <c r="K2" s="12">
        <f t="shared" si="0"/>
        <v>5.6208768829594122</v>
      </c>
      <c r="L2" s="12">
        <f t="shared" si="0"/>
        <v>4.2281484997372454</v>
      </c>
      <c r="M2" s="12">
        <f t="shared" si="0"/>
        <v>5.9997656209959338</v>
      </c>
      <c r="N2" s="9">
        <v>152.54643499101257</v>
      </c>
    </row>
    <row r="3" spans="1:14">
      <c r="A3" s="5" t="s">
        <v>32</v>
      </c>
      <c r="B3" s="12">
        <f t="shared" ref="B3:M29" si="1">B$30*$N3/$N$30</f>
        <v>32.712772455371244</v>
      </c>
      <c r="C3" s="12">
        <f t="shared" si="1"/>
        <v>15.059819140914923</v>
      </c>
      <c r="D3" s="12">
        <f t="shared" si="1"/>
        <v>12.169416771430194</v>
      </c>
      <c r="E3" s="12">
        <f t="shared" si="1"/>
        <v>61.202744020154604</v>
      </c>
      <c r="F3" s="12">
        <f t="shared" si="1"/>
        <v>14.879334879092186</v>
      </c>
      <c r="G3" s="12">
        <f t="shared" si="1"/>
        <v>11.61469308435737</v>
      </c>
      <c r="H3" s="12">
        <f t="shared" si="1"/>
        <v>8.7932994032166292</v>
      </c>
      <c r="I3" s="12">
        <f t="shared" si="1"/>
        <v>6.9672233424218666</v>
      </c>
      <c r="J3" s="12">
        <f t="shared" si="1"/>
        <v>10.882139315782728</v>
      </c>
      <c r="K3" s="12">
        <f t="shared" si="1"/>
        <v>7.1662868664910659</v>
      </c>
      <c r="L3" s="12">
        <f t="shared" si="1"/>
        <v>5.3906402317938342</v>
      </c>
      <c r="M3" s="12">
        <f t="shared" si="1"/>
        <v>7.6493476848989799</v>
      </c>
      <c r="N3" s="9">
        <v>194.48771719592571</v>
      </c>
    </row>
    <row r="4" spans="1:14">
      <c r="A4" s="5" t="s">
        <v>33</v>
      </c>
      <c r="B4" s="12">
        <f t="shared" si="1"/>
        <v>28.973881949843605</v>
      </c>
      <c r="C4" s="12">
        <f t="shared" si="1"/>
        <v>13.338564396220091</v>
      </c>
      <c r="D4" s="12">
        <f t="shared" si="1"/>
        <v>10.778519167548311</v>
      </c>
      <c r="E4" s="12">
        <f t="shared" si="1"/>
        <v>54.207605994437628</v>
      </c>
      <c r="F4" s="12">
        <f t="shared" si="1"/>
        <v>13.178708495807161</v>
      </c>
      <c r="G4" s="12">
        <f t="shared" si="1"/>
        <v>10.28719735598504</v>
      </c>
      <c r="H4" s="12">
        <f t="shared" si="1"/>
        <v>7.7882735010005586</v>
      </c>
      <c r="I4" s="12">
        <f t="shared" si="1"/>
        <v>6.1709079203520858</v>
      </c>
      <c r="J4" s="12">
        <f t="shared" si="1"/>
        <v>9.6383704660737362</v>
      </c>
      <c r="K4" s="12">
        <f t="shared" si="1"/>
        <v>6.3472195752192908</v>
      </c>
      <c r="L4" s="12">
        <f t="shared" si="1"/>
        <v>4.774519613803843</v>
      </c>
      <c r="M4" s="12">
        <f t="shared" si="1"/>
        <v>6.7750691910303669</v>
      </c>
      <c r="N4" s="9">
        <v>172.25883762732178</v>
      </c>
    </row>
    <row r="5" spans="1:14">
      <c r="A5" s="5" t="s">
        <v>54</v>
      </c>
      <c r="B5" s="12">
        <f t="shared" si="1"/>
        <v>31.815841848923913</v>
      </c>
      <c r="C5" s="12">
        <f t="shared" si="1"/>
        <v>14.646903582214543</v>
      </c>
      <c r="D5" s="12">
        <f t="shared" si="1"/>
        <v>11.835751308504351</v>
      </c>
      <c r="E5" s="12">
        <f t="shared" si="1"/>
        <v>59.52466508676158</v>
      </c>
      <c r="F5" s="12">
        <f t="shared" si="1"/>
        <v>14.471367903048067</v>
      </c>
      <c r="G5" s="12">
        <f t="shared" si="1"/>
        <v>11.296237235772093</v>
      </c>
      <c r="H5" s="12">
        <f t="shared" si="1"/>
        <v>8.5522015452726112</v>
      </c>
      <c r="I5" s="12">
        <f t="shared" si="1"/>
        <v>6.7761934972353153</v>
      </c>
      <c r="J5" s="12">
        <f t="shared" si="1"/>
        <v>10.583768890919922</v>
      </c>
      <c r="K5" s="12">
        <f t="shared" si="1"/>
        <v>6.9697990257277542</v>
      </c>
      <c r="L5" s="12">
        <f t="shared" si="1"/>
        <v>5.2428377115752101</v>
      </c>
      <c r="M5" s="12">
        <f t="shared" si="1"/>
        <v>7.4396151082027346</v>
      </c>
      <c r="N5" s="9">
        <v>189.15518274415817</v>
      </c>
    </row>
    <row r="6" spans="1:14">
      <c r="A6" s="5" t="s">
        <v>56</v>
      </c>
      <c r="B6" s="12">
        <f t="shared" si="1"/>
        <v>27.149787121001271</v>
      </c>
      <c r="C6" s="12">
        <f t="shared" si="1"/>
        <v>12.498814776840668</v>
      </c>
      <c r="D6" s="12">
        <f t="shared" si="1"/>
        <v>10.099941091260918</v>
      </c>
      <c r="E6" s="12">
        <f t="shared" si="1"/>
        <v>50.794883669222585</v>
      </c>
      <c r="F6" s="12">
        <f t="shared" si="1"/>
        <v>12.34902284789721</v>
      </c>
      <c r="G6" s="12">
        <f t="shared" si="1"/>
        <v>9.6395511920082413</v>
      </c>
      <c r="H6" s="12">
        <f t="shared" si="1"/>
        <v>7.2979508910245219</v>
      </c>
      <c r="I6" s="12">
        <f t="shared" si="1"/>
        <v>5.7824090217142663</v>
      </c>
      <c r="J6" s="12">
        <f t="shared" si="1"/>
        <v>9.0315721862965699</v>
      </c>
      <c r="K6" s="12">
        <f t="shared" si="1"/>
        <v>5.9476207080489614</v>
      </c>
      <c r="L6" s="12">
        <f t="shared" si="1"/>
        <v>4.4739324659434958</v>
      </c>
      <c r="M6" s="12">
        <f t="shared" si="1"/>
        <v>6.3485344002211495</v>
      </c>
      <c r="N6" s="9">
        <v>161.41402037147992</v>
      </c>
    </row>
    <row r="7" spans="1:14">
      <c r="A7" s="5" t="s">
        <v>55</v>
      </c>
      <c r="B7" s="12">
        <f t="shared" si="1"/>
        <v>27.200176480914045</v>
      </c>
      <c r="C7" s="12">
        <f t="shared" si="1"/>
        <v>12.522012280138441</v>
      </c>
      <c r="D7" s="12">
        <f t="shared" si="1"/>
        <v>10.11868634198709</v>
      </c>
      <c r="E7" s="12">
        <f t="shared" si="1"/>
        <v>50.889157766604214</v>
      </c>
      <c r="F7" s="12">
        <f t="shared" si="1"/>
        <v>12.371942340933396</v>
      </c>
      <c r="G7" s="12">
        <f t="shared" si="1"/>
        <v>9.6574419700186507</v>
      </c>
      <c r="H7" s="12">
        <f t="shared" si="1"/>
        <v>7.311495714504523</v>
      </c>
      <c r="I7" s="12">
        <f t="shared" si="1"/>
        <v>5.7931410354887918</v>
      </c>
      <c r="J7" s="12">
        <f t="shared" si="1"/>
        <v>9.0483345697158288</v>
      </c>
      <c r="K7" s="12">
        <f t="shared" si="1"/>
        <v>5.9586593507884729</v>
      </c>
      <c r="L7" s="12">
        <f t="shared" si="1"/>
        <v>4.4822359783153285</v>
      </c>
      <c r="M7" s="12">
        <f t="shared" si="1"/>
        <v>6.3603171292490286</v>
      </c>
      <c r="N7" s="9">
        <v>161.71360095865788</v>
      </c>
    </row>
    <row r="8" spans="1:14">
      <c r="A8" s="5" t="s">
        <v>52</v>
      </c>
      <c r="B8" s="12">
        <f t="shared" si="1"/>
        <v>24.297749349938407</v>
      </c>
      <c r="C8" s="12">
        <f t="shared" si="1"/>
        <v>11.185836090186656</v>
      </c>
      <c r="D8" s="12">
        <f t="shared" si="1"/>
        <v>9.038959900159643</v>
      </c>
      <c r="E8" s="12">
        <f t="shared" si="1"/>
        <v>45.458969757422295</v>
      </c>
      <c r="F8" s="12">
        <f t="shared" si="1"/>
        <v>11.051779542049063</v>
      </c>
      <c r="G8" s="12">
        <f t="shared" si="1"/>
        <v>8.6269331566191063</v>
      </c>
      <c r="H8" s="12">
        <f t="shared" si="1"/>
        <v>6.5313138820564678</v>
      </c>
      <c r="I8" s="12">
        <f t="shared" si="1"/>
        <v>5.1749770420761312</v>
      </c>
      <c r="J8" s="12">
        <f t="shared" si="1"/>
        <v>8.0828212847665313</v>
      </c>
      <c r="K8" s="12">
        <f t="shared" si="1"/>
        <v>5.322833528992593</v>
      </c>
      <c r="L8" s="12">
        <f t="shared" si="1"/>
        <v>4.003953665697761</v>
      </c>
      <c r="M8" s="12">
        <f t="shared" si="1"/>
        <v>5.6816319372432043</v>
      </c>
      <c r="N8" s="9">
        <v>144.45775913720792</v>
      </c>
    </row>
    <row r="9" spans="1:14">
      <c r="A9" s="5" t="s">
        <v>51</v>
      </c>
      <c r="B9" s="12">
        <f t="shared" si="1"/>
        <v>18.029312976789637</v>
      </c>
      <c r="C9" s="12">
        <f t="shared" si="1"/>
        <v>8.3000666799435603</v>
      </c>
      <c r="D9" s="12">
        <f t="shared" si="1"/>
        <v>6.7070507098239736</v>
      </c>
      <c r="E9" s="12">
        <f t="shared" si="1"/>
        <v>33.731272043147442</v>
      </c>
      <c r="F9" s="12">
        <f t="shared" si="1"/>
        <v>8.2005946083474779</v>
      </c>
      <c r="G9" s="12">
        <f t="shared" si="1"/>
        <v>6.401320372124256</v>
      </c>
      <c r="H9" s="12">
        <f t="shared" si="1"/>
        <v>4.8463378411443472</v>
      </c>
      <c r="I9" s="12">
        <f t="shared" si="1"/>
        <v>3.839914528525175</v>
      </c>
      <c r="J9" s="12">
        <f t="shared" si="1"/>
        <v>5.997580787410751</v>
      </c>
      <c r="K9" s="12">
        <f t="shared" si="1"/>
        <v>3.9496263721973248</v>
      </c>
      <c r="L9" s="12">
        <f t="shared" si="1"/>
        <v>2.9709967266417645</v>
      </c>
      <c r="M9" s="12">
        <f t="shared" si="1"/>
        <v>4.2158604461750686</v>
      </c>
      <c r="N9" s="9">
        <v>107.18993409227082</v>
      </c>
    </row>
    <row r="10" spans="1:14">
      <c r="A10" s="5" t="s">
        <v>46</v>
      </c>
      <c r="B10" s="12">
        <f t="shared" si="1"/>
        <v>29.366918957163218</v>
      </c>
      <c r="C10" s="12">
        <f t="shared" si="1"/>
        <v>13.519504921942728</v>
      </c>
      <c r="D10" s="12">
        <f t="shared" si="1"/>
        <v>10.924732123212443</v>
      </c>
      <c r="E10" s="12">
        <f t="shared" si="1"/>
        <v>54.942943954014339</v>
      </c>
      <c r="F10" s="12">
        <f t="shared" si="1"/>
        <v>13.357480541489412</v>
      </c>
      <c r="G10" s="12">
        <f t="shared" si="1"/>
        <v>10.426745424466228</v>
      </c>
      <c r="H10" s="12">
        <f t="shared" si="1"/>
        <v>7.8939231241445649</v>
      </c>
      <c r="I10" s="12">
        <f t="shared" si="1"/>
        <v>6.2546176277933831</v>
      </c>
      <c r="J10" s="12">
        <f t="shared" si="1"/>
        <v>9.7691170567439531</v>
      </c>
      <c r="K10" s="12">
        <f t="shared" si="1"/>
        <v>6.4333209885874814</v>
      </c>
      <c r="L10" s="12">
        <f t="shared" si="1"/>
        <v>4.8392870103041385</v>
      </c>
      <c r="M10" s="12">
        <f t="shared" si="1"/>
        <v>6.8669744774478216</v>
      </c>
      <c r="N10" s="9">
        <v>174.59556620730979</v>
      </c>
    </row>
    <row r="11" spans="1:14">
      <c r="A11" s="5" t="s">
        <v>57</v>
      </c>
      <c r="B11" s="12">
        <f t="shared" si="1"/>
        <v>10.46083111789136</v>
      </c>
      <c r="C11" s="12">
        <f t="shared" si="1"/>
        <v>4.8158016846178962</v>
      </c>
      <c r="D11" s="12">
        <f t="shared" si="1"/>
        <v>3.8915140507530932</v>
      </c>
      <c r="E11" s="12">
        <f t="shared" si="1"/>
        <v>19.571302616426518</v>
      </c>
      <c r="F11" s="12">
        <f t="shared" si="1"/>
        <v>4.7580867543122887</v>
      </c>
      <c r="G11" s="12">
        <f t="shared" si="1"/>
        <v>3.7141255149608594</v>
      </c>
      <c r="H11" s="12">
        <f t="shared" si="1"/>
        <v>2.8119053544482013</v>
      </c>
      <c r="I11" s="12">
        <f t="shared" si="1"/>
        <v>2.2279660595914659</v>
      </c>
      <c r="J11" s="12">
        <f t="shared" si="1"/>
        <v>3.4798707978380996</v>
      </c>
      <c r="K11" s="12">
        <f t="shared" si="1"/>
        <v>2.2916222327226512</v>
      </c>
      <c r="L11" s="12">
        <f t="shared" si="1"/>
        <v>1.7238091683924828</v>
      </c>
      <c r="M11" s="12">
        <f t="shared" si="1"/>
        <v>2.4460945461876591</v>
      </c>
      <c r="N11" s="9">
        <v>62.192929898142602</v>
      </c>
    </row>
    <row r="12" spans="1:14">
      <c r="A12" s="5" t="s">
        <v>58</v>
      </c>
      <c r="B12" s="12">
        <f t="shared" si="1"/>
        <v>30.606497211017395</v>
      </c>
      <c r="C12" s="12">
        <f t="shared" si="1"/>
        <v>14.090163503067966</v>
      </c>
      <c r="D12" s="12">
        <f t="shared" si="1"/>
        <v>11.385865291076247</v>
      </c>
      <c r="E12" s="12">
        <f t="shared" si="1"/>
        <v>57.262086749602446</v>
      </c>
      <c r="F12" s="12">
        <f t="shared" si="1"/>
        <v>13.921300070179594</v>
      </c>
      <c r="G12" s="12">
        <f t="shared" si="1"/>
        <v>10.866858563522284</v>
      </c>
      <c r="H12" s="12">
        <f t="shared" si="1"/>
        <v>8.2271257817525871</v>
      </c>
      <c r="I12" s="12">
        <f t="shared" si="1"/>
        <v>6.5186251666467063</v>
      </c>
      <c r="J12" s="12">
        <f t="shared" si="1"/>
        <v>10.181471688857714</v>
      </c>
      <c r="K12" s="12">
        <f t="shared" si="1"/>
        <v>6.7048715999794721</v>
      </c>
      <c r="L12" s="12">
        <f t="shared" si="1"/>
        <v>5.0435534146512238</v>
      </c>
      <c r="M12" s="12">
        <f t="shared" si="1"/>
        <v>7.1568296115336407</v>
      </c>
      <c r="N12" s="9">
        <v>181.96524865188735</v>
      </c>
    </row>
    <row r="13" spans="1:14">
      <c r="A13" s="5" t="s">
        <v>53</v>
      </c>
      <c r="B13" s="12">
        <f t="shared" si="1"/>
        <v>11.16628215667016</v>
      </c>
      <c r="C13" s="12">
        <f t="shared" si="1"/>
        <v>5.1405667307867331</v>
      </c>
      <c r="D13" s="12">
        <f t="shared" si="1"/>
        <v>4.1539475609194874</v>
      </c>
      <c r="E13" s="12">
        <f t="shared" si="1"/>
        <v>20.891139979769349</v>
      </c>
      <c r="F13" s="12">
        <f t="shared" si="1"/>
        <v>5.0789596568188982</v>
      </c>
      <c r="G13" s="12">
        <f t="shared" si="1"/>
        <v>3.964596407106582</v>
      </c>
      <c r="H13" s="12">
        <f t="shared" si="1"/>
        <v>3.0015328831682146</v>
      </c>
      <c r="I13" s="12">
        <f t="shared" si="1"/>
        <v>2.3782142524348209</v>
      </c>
      <c r="J13" s="12">
        <f t="shared" si="1"/>
        <v>3.7145441657077209</v>
      </c>
      <c r="K13" s="12">
        <f t="shared" si="1"/>
        <v>2.4461632310758166</v>
      </c>
      <c r="L13" s="12">
        <f t="shared" si="1"/>
        <v>1.8400583415981417</v>
      </c>
      <c r="M13" s="12">
        <f t="shared" si="1"/>
        <v>2.6110527525779634</v>
      </c>
      <c r="N13" s="9">
        <v>66.387058118633917</v>
      </c>
    </row>
    <row r="14" spans="1:14">
      <c r="A14" s="5" t="s">
        <v>50</v>
      </c>
      <c r="B14" s="12">
        <f t="shared" si="1"/>
        <v>19.843329933649407</v>
      </c>
      <c r="C14" s="12">
        <f t="shared" si="1"/>
        <v>9.1351767986634265</v>
      </c>
      <c r="D14" s="12">
        <f t="shared" si="1"/>
        <v>7.3818797359661277</v>
      </c>
      <c r="E14" s="12">
        <f t="shared" si="1"/>
        <v>37.125139548886139</v>
      </c>
      <c r="F14" s="12">
        <f t="shared" si="1"/>
        <v>9.0256963576501885</v>
      </c>
      <c r="G14" s="12">
        <f t="shared" si="1"/>
        <v>7.0453883804989701</v>
      </c>
      <c r="H14" s="12">
        <f t="shared" si="1"/>
        <v>5.3339514864243807</v>
      </c>
      <c r="I14" s="12">
        <f t="shared" si="1"/>
        <v>4.226267024408088</v>
      </c>
      <c r="J14" s="12">
        <f t="shared" si="1"/>
        <v>6.6010265905040626</v>
      </c>
      <c r="K14" s="12">
        <f t="shared" si="1"/>
        <v>4.3470175108197493</v>
      </c>
      <c r="L14" s="12">
        <f t="shared" si="1"/>
        <v>3.269923172027744</v>
      </c>
      <c r="M14" s="12">
        <f t="shared" si="1"/>
        <v>4.6400386911787086</v>
      </c>
      <c r="N14" s="9">
        <v>117.97483523067704</v>
      </c>
    </row>
    <row r="15" spans="1:14">
      <c r="A15" s="5" t="s">
        <v>47</v>
      </c>
      <c r="B15" s="12">
        <f t="shared" si="1"/>
        <v>26.010987586972639</v>
      </c>
      <c r="C15" s="12">
        <f t="shared" si="1"/>
        <v>11.974551202310973</v>
      </c>
      <c r="D15" s="12">
        <f t="shared" si="1"/>
        <v>9.6762984248494543</v>
      </c>
      <c r="E15" s="12">
        <f t="shared" si="1"/>
        <v>48.664289068397736</v>
      </c>
      <c r="F15" s="12">
        <f t="shared" si="1"/>
        <v>11.8310423052794</v>
      </c>
      <c r="G15" s="12">
        <f t="shared" si="1"/>
        <v>9.2352196089730043</v>
      </c>
      <c r="H15" s="12">
        <f t="shared" si="1"/>
        <v>6.9918378803765</v>
      </c>
      <c r="I15" s="12">
        <f t="shared" si="1"/>
        <v>5.5398655104099932</v>
      </c>
      <c r="J15" s="12">
        <f t="shared" si="1"/>
        <v>8.652742321021325</v>
      </c>
      <c r="K15" s="12">
        <f t="shared" si="1"/>
        <v>5.6981473821359945</v>
      </c>
      <c r="L15" s="12">
        <f t="shared" si="1"/>
        <v>4.286273086340076</v>
      </c>
      <c r="M15" s="12">
        <f t="shared" si="1"/>
        <v>6.0822447241910869</v>
      </c>
      <c r="N15" s="9">
        <v>154.64349910125824</v>
      </c>
    </row>
    <row r="16" spans="1:14">
      <c r="A16" s="5" t="s">
        <v>49</v>
      </c>
      <c r="B16" s="12">
        <f t="shared" si="1"/>
        <v>18.583595935830122</v>
      </c>
      <c r="C16" s="12">
        <f t="shared" si="1"/>
        <v>8.5552392162190767</v>
      </c>
      <c r="D16" s="12">
        <f t="shared" si="1"/>
        <v>6.9132484678118544</v>
      </c>
      <c r="E16" s="12">
        <f t="shared" si="1"/>
        <v>34.768287114345377</v>
      </c>
      <c r="F16" s="12">
        <f t="shared" si="1"/>
        <v>8.4527090317455293</v>
      </c>
      <c r="G16" s="12">
        <f t="shared" si="1"/>
        <v>6.5981189302387522</v>
      </c>
      <c r="H16" s="12">
        <f t="shared" si="1"/>
        <v>4.9953308994243573</v>
      </c>
      <c r="I16" s="12">
        <f t="shared" si="1"/>
        <v>3.9579666800449544</v>
      </c>
      <c r="J16" s="12">
        <f t="shared" si="1"/>
        <v>6.1819670050225968</v>
      </c>
      <c r="K16" s="12">
        <f t="shared" si="1"/>
        <v>4.0710514423319548</v>
      </c>
      <c r="L16" s="12">
        <f t="shared" si="1"/>
        <v>3.062335362731925</v>
      </c>
      <c r="M16" s="12">
        <f t="shared" si="1"/>
        <v>4.3454704654817373</v>
      </c>
      <c r="N16" s="9">
        <v>110.48532055122828</v>
      </c>
    </row>
    <row r="17" spans="1:14">
      <c r="A17" s="5" t="s">
        <v>48</v>
      </c>
      <c r="B17" s="12">
        <f t="shared" si="1"/>
        <v>20.750338412079291</v>
      </c>
      <c r="C17" s="12">
        <f t="shared" si="1"/>
        <v>9.5527318580233587</v>
      </c>
      <c r="D17" s="12">
        <f t="shared" si="1"/>
        <v>7.7192942490372056</v>
      </c>
      <c r="E17" s="12">
        <f t="shared" si="1"/>
        <v>38.822073301755488</v>
      </c>
      <c r="F17" s="12">
        <f t="shared" si="1"/>
        <v>9.4382472323015421</v>
      </c>
      <c r="G17" s="12">
        <f t="shared" si="1"/>
        <v>7.3674223846863276</v>
      </c>
      <c r="H17" s="12">
        <f t="shared" si="1"/>
        <v>5.5777583090643983</v>
      </c>
      <c r="I17" s="12">
        <f t="shared" si="1"/>
        <v>4.4194432723495449</v>
      </c>
      <c r="J17" s="12">
        <f t="shared" si="1"/>
        <v>6.9027494920507184</v>
      </c>
      <c r="K17" s="12">
        <f t="shared" si="1"/>
        <v>4.5457130801309615</v>
      </c>
      <c r="L17" s="12">
        <f t="shared" si="1"/>
        <v>3.4193863947207337</v>
      </c>
      <c r="M17" s="12">
        <f t="shared" si="1"/>
        <v>4.8521278136805286</v>
      </c>
      <c r="N17" s="9">
        <v>123.36728579988015</v>
      </c>
    </row>
    <row r="18" spans="1:14">
      <c r="A18" s="5" t="s">
        <v>45</v>
      </c>
      <c r="B18" s="12">
        <f t="shared" si="1"/>
        <v>25.255147188281065</v>
      </c>
      <c r="C18" s="12">
        <f t="shared" si="1"/>
        <v>11.626588652844362</v>
      </c>
      <c r="D18" s="12">
        <f t="shared" si="1"/>
        <v>9.3951196639568906</v>
      </c>
      <c r="E18" s="12">
        <f t="shared" si="1"/>
        <v>47.25017760767328</v>
      </c>
      <c r="F18" s="12">
        <f t="shared" si="1"/>
        <v>11.487249909736605</v>
      </c>
      <c r="G18" s="12">
        <f t="shared" si="1"/>
        <v>8.9668579388168723</v>
      </c>
      <c r="H18" s="12">
        <f t="shared" si="1"/>
        <v>6.7886655281764856</v>
      </c>
      <c r="I18" s="12">
        <f t="shared" si="1"/>
        <v>5.3788853037921127</v>
      </c>
      <c r="J18" s="12">
        <f t="shared" si="1"/>
        <v>8.4013065697324443</v>
      </c>
      <c r="K18" s="12">
        <f t="shared" si="1"/>
        <v>5.5325677410433185</v>
      </c>
      <c r="L18" s="12">
        <f t="shared" si="1"/>
        <v>4.1617204007625839</v>
      </c>
      <c r="M18" s="12">
        <f t="shared" si="1"/>
        <v>5.9055037887729025</v>
      </c>
      <c r="N18" s="9">
        <v>150.14979029358898</v>
      </c>
    </row>
    <row r="19" spans="1:14">
      <c r="A19" s="5" t="s">
        <v>44</v>
      </c>
      <c r="B19" s="12">
        <f t="shared" si="1"/>
        <v>31.765452489011139</v>
      </c>
      <c r="C19" s="12">
        <f t="shared" si="1"/>
        <v>14.62370607891677</v>
      </c>
      <c r="D19" s="12">
        <f t="shared" si="1"/>
        <v>11.81700605777818</v>
      </c>
      <c r="E19" s="12">
        <f t="shared" si="1"/>
        <v>59.430390989379944</v>
      </c>
      <c r="F19" s="12">
        <f t="shared" si="1"/>
        <v>14.448448410011881</v>
      </c>
      <c r="G19" s="12">
        <f t="shared" si="1"/>
        <v>11.278346457761684</v>
      </c>
      <c r="H19" s="12">
        <f t="shared" si="1"/>
        <v>8.538656721792611</v>
      </c>
      <c r="I19" s="12">
        <f t="shared" si="1"/>
        <v>6.7654614834607889</v>
      </c>
      <c r="J19" s="12">
        <f t="shared" si="1"/>
        <v>10.567006507500663</v>
      </c>
      <c r="K19" s="12">
        <f t="shared" si="1"/>
        <v>6.9587603829882427</v>
      </c>
      <c r="L19" s="12">
        <f t="shared" si="1"/>
        <v>5.2345341992033774</v>
      </c>
      <c r="M19" s="12">
        <f t="shared" si="1"/>
        <v>7.4278323791748555</v>
      </c>
      <c r="N19" s="9">
        <v>188.85560215698021</v>
      </c>
    </row>
    <row r="20" spans="1:14">
      <c r="A20" s="5" t="s">
        <v>40</v>
      </c>
      <c r="B20" s="12">
        <f t="shared" si="1"/>
        <v>15.16719733374422</v>
      </c>
      <c r="C20" s="12">
        <f t="shared" si="1"/>
        <v>6.9824484926299961</v>
      </c>
      <c r="D20" s="12">
        <f t="shared" si="1"/>
        <v>5.6423204685774637</v>
      </c>
      <c r="E20" s="12">
        <f t="shared" si="1"/>
        <v>28.376503311870827</v>
      </c>
      <c r="F20" s="12">
        <f t="shared" si="1"/>
        <v>6.8987674038920961</v>
      </c>
      <c r="G20" s="12">
        <f t="shared" si="1"/>
        <v>5.3851241811330386</v>
      </c>
      <c r="H20" s="12">
        <f t="shared" si="1"/>
        <v>4.0769918674802934</v>
      </c>
      <c r="I20" s="12">
        <f t="shared" si="1"/>
        <v>3.2303361461321352</v>
      </c>
      <c r="J20" s="12">
        <f t="shared" si="1"/>
        <v>5.0454774091968604</v>
      </c>
      <c r="K20" s="12">
        <f t="shared" si="1"/>
        <v>3.322631464593055</v>
      </c>
      <c r="L20" s="12">
        <f t="shared" si="1"/>
        <v>2.4993572239216642</v>
      </c>
      <c r="M20" s="12">
        <f t="shared" si="1"/>
        <v>3.5466014373915487</v>
      </c>
      <c r="N20" s="9">
        <v>90.173756740563235</v>
      </c>
    </row>
    <row r="21" spans="1:14">
      <c r="A21" s="5" t="s">
        <v>43</v>
      </c>
      <c r="B21" s="12">
        <f t="shared" si="1"/>
        <v>32.702694583388691</v>
      </c>
      <c r="C21" s="12">
        <f t="shared" si="1"/>
        <v>15.055179640255371</v>
      </c>
      <c r="D21" s="12">
        <f t="shared" si="1"/>
        <v>12.16566772128496</v>
      </c>
      <c r="E21" s="12">
        <f t="shared" si="1"/>
        <v>61.183889200678287</v>
      </c>
      <c r="F21" s="12">
        <f t="shared" si="1"/>
        <v>14.874750980484949</v>
      </c>
      <c r="G21" s="12">
        <f t="shared" si="1"/>
        <v>11.611114928755288</v>
      </c>
      <c r="H21" s="12">
        <f t="shared" si="1"/>
        <v>8.7905904385206295</v>
      </c>
      <c r="I21" s="12">
        <f t="shared" si="1"/>
        <v>6.965076939666961</v>
      </c>
      <c r="J21" s="12">
        <f t="shared" si="1"/>
        <v>10.878786839098876</v>
      </c>
      <c r="K21" s="12">
        <f t="shared" si="1"/>
        <v>7.1640791379431636</v>
      </c>
      <c r="L21" s="12">
        <f t="shared" si="1"/>
        <v>5.3889795293194673</v>
      </c>
      <c r="M21" s="12">
        <f t="shared" si="1"/>
        <v>7.6469911390934033</v>
      </c>
      <c r="N21" s="9">
        <v>194.42780107849012</v>
      </c>
    </row>
    <row r="22" spans="1:14">
      <c r="A22" s="5" t="s">
        <v>42</v>
      </c>
      <c r="B22" s="12">
        <f t="shared" si="1"/>
        <v>39.70681561126392</v>
      </c>
      <c r="C22" s="12">
        <f t="shared" si="1"/>
        <v>18.279632598645961</v>
      </c>
      <c r="D22" s="12">
        <f t="shared" si="1"/>
        <v>14.771257572222723</v>
      </c>
      <c r="E22" s="12">
        <f t="shared" si="1"/>
        <v>74.287988736724927</v>
      </c>
      <c r="F22" s="12">
        <f t="shared" si="1"/>
        <v>18.060560512514847</v>
      </c>
      <c r="G22" s="12">
        <f t="shared" si="1"/>
        <v>14.097933072202103</v>
      </c>
      <c r="H22" s="12">
        <f t="shared" si="1"/>
        <v>10.673320902240761</v>
      </c>
      <c r="I22" s="12">
        <f t="shared" si="1"/>
        <v>8.4568268543259855</v>
      </c>
      <c r="J22" s="12">
        <f t="shared" si="1"/>
        <v>13.208758134375827</v>
      </c>
      <c r="K22" s="12">
        <f t="shared" si="1"/>
        <v>8.6984504787353032</v>
      </c>
      <c r="L22" s="12">
        <f t="shared" si="1"/>
        <v>6.5431677490042208</v>
      </c>
      <c r="M22" s="12">
        <f t="shared" si="1"/>
        <v>9.2847904739685685</v>
      </c>
      <c r="N22" s="9">
        <v>236.06950269622524</v>
      </c>
    </row>
    <row r="23" spans="1:14">
      <c r="A23" s="5" t="s">
        <v>41</v>
      </c>
      <c r="B23" s="12">
        <f t="shared" si="1"/>
        <v>25.376081652071711</v>
      </c>
      <c r="C23" s="12">
        <f t="shared" si="1"/>
        <v>11.682262660759019</v>
      </c>
      <c r="D23" s="12">
        <f t="shared" si="1"/>
        <v>9.4401082656997009</v>
      </c>
      <c r="E23" s="12">
        <f t="shared" si="1"/>
        <v>47.476435441389185</v>
      </c>
      <c r="F23" s="12">
        <f t="shared" si="1"/>
        <v>11.54225669302345</v>
      </c>
      <c r="G23" s="12">
        <f t="shared" si="1"/>
        <v>9.0097958060418524</v>
      </c>
      <c r="H23" s="12">
        <f t="shared" si="1"/>
        <v>6.821173104528488</v>
      </c>
      <c r="I23" s="12">
        <f t="shared" si="1"/>
        <v>5.4046421368509732</v>
      </c>
      <c r="J23" s="12">
        <f t="shared" si="1"/>
        <v>8.4415362899386643</v>
      </c>
      <c r="K23" s="12">
        <f t="shared" ref="C23:M29" si="2">K$30*$N23/$N$30</f>
        <v>5.5590604836181461</v>
      </c>
      <c r="L23" s="12">
        <f t="shared" si="2"/>
        <v>4.1816488304549813</v>
      </c>
      <c r="M23" s="12">
        <f t="shared" si="2"/>
        <v>5.9337823384398121</v>
      </c>
      <c r="N23" s="9">
        <v>150.86878370281605</v>
      </c>
    </row>
    <row r="24" spans="1:14">
      <c r="A24" s="5" t="s">
        <v>39</v>
      </c>
      <c r="B24" s="12">
        <f t="shared" si="1"/>
        <v>23.038015352119118</v>
      </c>
      <c r="C24" s="12">
        <f t="shared" si="2"/>
        <v>10.605898507742301</v>
      </c>
      <c r="D24" s="12">
        <f t="shared" si="2"/>
        <v>8.5703286320053671</v>
      </c>
      <c r="E24" s="12">
        <f t="shared" si="2"/>
        <v>43.102117322881519</v>
      </c>
      <c r="F24" s="12">
        <f t="shared" si="2"/>
        <v>10.478792216144402</v>
      </c>
      <c r="G24" s="12">
        <f t="shared" si="2"/>
        <v>8.179663706358884</v>
      </c>
      <c r="H24" s="12">
        <f t="shared" si="2"/>
        <v>6.1926932950564417</v>
      </c>
      <c r="I24" s="12">
        <f t="shared" si="2"/>
        <v>4.9066766977129959</v>
      </c>
      <c r="J24" s="12">
        <f t="shared" si="2"/>
        <v>7.6637616992850619</v>
      </c>
      <c r="K24" s="12">
        <f t="shared" si="2"/>
        <v>5.0468674605047967</v>
      </c>
      <c r="L24" s="12">
        <f t="shared" si="2"/>
        <v>3.7963658564019411</v>
      </c>
      <c r="M24" s="12">
        <f t="shared" si="2"/>
        <v>5.3870637115462303</v>
      </c>
      <c r="N24" s="9">
        <v>136.96824445775911</v>
      </c>
    </row>
    <row r="25" spans="1:14">
      <c r="A25" s="5" t="s">
        <v>38</v>
      </c>
      <c r="B25" s="12">
        <f t="shared" si="1"/>
        <v>31.755374617028586</v>
      </c>
      <c r="C25" s="12">
        <f t="shared" si="2"/>
        <v>14.619066578257218</v>
      </c>
      <c r="D25" s="12">
        <f t="shared" si="2"/>
        <v>11.813257007632947</v>
      </c>
      <c r="E25" s="12">
        <f t="shared" si="2"/>
        <v>59.411536169903634</v>
      </c>
      <c r="F25" s="12">
        <f t="shared" si="2"/>
        <v>14.443864511404644</v>
      </c>
      <c r="G25" s="12">
        <f t="shared" si="2"/>
        <v>11.274768302159604</v>
      </c>
      <c r="H25" s="12">
        <f t="shared" si="2"/>
        <v>8.5359477570966114</v>
      </c>
      <c r="I25" s="12">
        <f t="shared" si="2"/>
        <v>6.7633150807058851</v>
      </c>
      <c r="J25" s="12">
        <f t="shared" si="2"/>
        <v>10.563654030816812</v>
      </c>
      <c r="K25" s="12">
        <f t="shared" si="2"/>
        <v>6.9565526544403413</v>
      </c>
      <c r="L25" s="12">
        <f t="shared" si="2"/>
        <v>5.2328734967290105</v>
      </c>
      <c r="M25" s="12">
        <f t="shared" si="2"/>
        <v>7.4254758333692807</v>
      </c>
      <c r="N25" s="9">
        <v>188.79568603954465</v>
      </c>
    </row>
    <row r="26" spans="1:14">
      <c r="A26" s="5" t="s">
        <v>37</v>
      </c>
      <c r="B26" s="12">
        <f t="shared" si="1"/>
        <v>36.199716161335026</v>
      </c>
      <c r="C26" s="12">
        <f t="shared" si="2"/>
        <v>16.665086369120889</v>
      </c>
      <c r="D26" s="12">
        <f t="shared" si="2"/>
        <v>13.466588121681225</v>
      </c>
      <c r="E26" s="12">
        <f t="shared" si="2"/>
        <v>67.726511558963452</v>
      </c>
      <c r="F26" s="12">
        <f t="shared" si="2"/>
        <v>16.465363797196279</v>
      </c>
      <c r="G26" s="12">
        <f t="shared" si="2"/>
        <v>12.852734922677655</v>
      </c>
      <c r="H26" s="12">
        <f t="shared" si="2"/>
        <v>9.7306011880326952</v>
      </c>
      <c r="I26" s="12">
        <f t="shared" si="2"/>
        <v>7.7098786956190208</v>
      </c>
      <c r="J26" s="12">
        <f t="shared" si="2"/>
        <v>12.042096248395426</v>
      </c>
      <c r="K26" s="12">
        <f t="shared" si="2"/>
        <v>7.9301609440652818</v>
      </c>
      <c r="L26" s="12">
        <f t="shared" si="2"/>
        <v>5.9652432879246611</v>
      </c>
      <c r="M26" s="12">
        <f t="shared" si="2"/>
        <v>8.4647125336281981</v>
      </c>
      <c r="N26" s="9">
        <v>215.21869382863989</v>
      </c>
    </row>
    <row r="27" spans="1:14">
      <c r="A27" s="5" t="s">
        <v>34</v>
      </c>
      <c r="B27" s="12">
        <f t="shared" si="1"/>
        <v>36.330728497108254</v>
      </c>
      <c r="C27" s="12">
        <f t="shared" si="2"/>
        <v>16.725399877695111</v>
      </c>
      <c r="D27" s="12">
        <f t="shared" si="2"/>
        <v>13.515325773569275</v>
      </c>
      <c r="E27" s="12">
        <f t="shared" si="2"/>
        <v>67.971624212155717</v>
      </c>
      <c r="F27" s="12">
        <f t="shared" si="2"/>
        <v>16.524954479090372</v>
      </c>
      <c r="G27" s="12">
        <f t="shared" si="2"/>
        <v>12.899250945504724</v>
      </c>
      <c r="H27" s="12">
        <f t="shared" si="2"/>
        <v>9.7658177290807018</v>
      </c>
      <c r="I27" s="12">
        <f t="shared" si="2"/>
        <v>7.7377819314327896</v>
      </c>
      <c r="J27" s="12">
        <f t="shared" si="2"/>
        <v>12.085678445285504</v>
      </c>
      <c r="K27" s="12">
        <f t="shared" si="2"/>
        <v>7.9588614151880162</v>
      </c>
      <c r="L27" s="12">
        <f t="shared" si="2"/>
        <v>5.986832420091428</v>
      </c>
      <c r="M27" s="12">
        <f t="shared" si="2"/>
        <v>8.4953476291006869</v>
      </c>
      <c r="N27" s="9">
        <v>215.99760335530266</v>
      </c>
    </row>
    <row r="28" spans="1:14">
      <c r="A28" s="5" t="s">
        <v>35</v>
      </c>
      <c r="B28" s="12">
        <f t="shared" si="1"/>
        <v>34.103518788963733</v>
      </c>
      <c r="C28" s="12">
        <f t="shared" si="2"/>
        <v>15.700070231933486</v>
      </c>
      <c r="D28" s="12">
        <f t="shared" si="2"/>
        <v>12.686785691472512</v>
      </c>
      <c r="E28" s="12">
        <f t="shared" si="2"/>
        <v>63.804709107887604</v>
      </c>
      <c r="F28" s="12">
        <f t="shared" si="2"/>
        <v>15.511912886890924</v>
      </c>
      <c r="G28" s="12">
        <f t="shared" si="2"/>
        <v>12.10847855744465</v>
      </c>
      <c r="H28" s="12">
        <f t="shared" si="2"/>
        <v>9.1671365312646529</v>
      </c>
      <c r="I28" s="12">
        <f t="shared" si="2"/>
        <v>7.2634269225987653</v>
      </c>
      <c r="J28" s="12">
        <f t="shared" si="2"/>
        <v>11.344781098154264</v>
      </c>
      <c r="K28" s="12">
        <f t="shared" si="2"/>
        <v>7.4709534061015912</v>
      </c>
      <c r="L28" s="12">
        <f t="shared" si="2"/>
        <v>5.6198171732564166</v>
      </c>
      <c r="M28" s="12">
        <f t="shared" si="2"/>
        <v>7.9745510060684346</v>
      </c>
      <c r="N28" s="9">
        <v>202.75614140203712</v>
      </c>
    </row>
    <row r="29" spans="1:14">
      <c r="A29" s="5" t="s">
        <v>36</v>
      </c>
      <c r="B29" s="12">
        <f t="shared" si="1"/>
        <v>24.438839557694166</v>
      </c>
      <c r="C29" s="12">
        <f t="shared" si="2"/>
        <v>11.250789099420423</v>
      </c>
      <c r="D29" s="12">
        <f t="shared" si="2"/>
        <v>9.0914466021929208</v>
      </c>
      <c r="E29" s="12">
        <f t="shared" si="2"/>
        <v>45.722937230090857</v>
      </c>
      <c r="F29" s="12">
        <f t="shared" si="2"/>
        <v>11.115954122550384</v>
      </c>
      <c r="G29" s="12">
        <f t="shared" si="2"/>
        <v>8.6770273350482512</v>
      </c>
      <c r="H29" s="12">
        <f t="shared" si="2"/>
        <v>6.5692393878004696</v>
      </c>
      <c r="I29" s="12">
        <f t="shared" si="2"/>
        <v>5.205026680644802</v>
      </c>
      <c r="J29" s="12">
        <f t="shared" si="2"/>
        <v>8.1297559583404535</v>
      </c>
      <c r="K29" s="12">
        <f t="shared" si="2"/>
        <v>5.3537417286632261</v>
      </c>
      <c r="L29" s="12">
        <f t="shared" si="2"/>
        <v>4.0272035003388922</v>
      </c>
      <c r="M29" s="12">
        <f t="shared" si="2"/>
        <v>5.7146235785212642</v>
      </c>
      <c r="N29" s="9">
        <v>145.29658478130617</v>
      </c>
    </row>
    <row r="30" spans="1:14">
      <c r="A30" s="5" t="s">
        <v>60</v>
      </c>
      <c r="B30" s="10">
        <v>738.46614739364884</v>
      </c>
      <c r="C30" s="10">
        <v>339.96405032953862</v>
      </c>
      <c r="D30" s="10">
        <v>274.71539844218091</v>
      </c>
      <c r="E30" s="10">
        <v>1381.6057519472738</v>
      </c>
      <c r="F30" s="10">
        <v>335.88975434391847</v>
      </c>
      <c r="G30" s="10">
        <v>262.19292989814261</v>
      </c>
      <c r="H30" s="10">
        <v>198.50209706411027</v>
      </c>
      <c r="I30" s="10">
        <v>157.27980826842418</v>
      </c>
      <c r="J30" s="10">
        <v>245.65608148591971</v>
      </c>
      <c r="K30" s="10">
        <v>161.7735170760935</v>
      </c>
      <c r="L30" s="10">
        <v>121.68963451168364</v>
      </c>
      <c r="M30" s="10">
        <v>172.67825044937086</v>
      </c>
      <c r="N30" s="9">
        <v>4390.4134212103072</v>
      </c>
    </row>
    <row r="31" spans="1:14">
      <c r="N3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FDBE-87FB-6142-9A0F-DD26B9B8EB5F}">
  <dimension ref="A1:M29"/>
  <sheetViews>
    <sheetView workbookViewId="0"/>
  </sheetViews>
  <sheetFormatPr defaultColWidth="11.19921875" defaultRowHeight="15.6"/>
  <cols>
    <col min="1" max="1" width="120.59765625" bestFit="1" customWidth="1"/>
    <col min="2" max="13" width="7.796875" bestFit="1" customWidth="1"/>
  </cols>
  <sheetData>
    <row r="1" spans="1:13">
      <c r="A1" s="1"/>
      <c r="B1" s="18" t="s">
        <v>102</v>
      </c>
      <c r="C1" s="18" t="s">
        <v>102</v>
      </c>
      <c r="D1" s="18" t="s">
        <v>102</v>
      </c>
      <c r="E1" s="18" t="s">
        <v>102</v>
      </c>
      <c r="F1" s="18" t="s">
        <v>102</v>
      </c>
      <c r="G1" s="18" t="s">
        <v>102</v>
      </c>
      <c r="H1" s="18" t="s">
        <v>102</v>
      </c>
      <c r="I1" s="18" t="s">
        <v>102</v>
      </c>
      <c r="J1" s="18" t="s">
        <v>102</v>
      </c>
      <c r="K1" s="18" t="s">
        <v>102</v>
      </c>
      <c r="L1" s="18" t="s">
        <v>102</v>
      </c>
      <c r="M1" s="18" t="s">
        <v>102</v>
      </c>
    </row>
    <row r="2" spans="1:13">
      <c r="A2" s="5" t="s">
        <v>31</v>
      </c>
      <c r="B2" s="11">
        <f>'CEP-%'!B2-'CEP - Expected %'!B2</f>
        <v>-0.25382827489300297</v>
      </c>
      <c r="C2" s="11">
        <f>'CEP-%'!C2-'CEP - Expected %'!C2</f>
        <v>-3.0644155336303882</v>
      </c>
      <c r="D2" s="11">
        <f>'CEP-%'!D2-'CEP - Expected %'!D2</f>
        <v>-1.3365735810904056</v>
      </c>
      <c r="E2" s="11">
        <f>'CEP-%'!E2-'CEP - Expected %'!E2</f>
        <v>16.405455856533116</v>
      </c>
      <c r="F2" s="11">
        <f>'CEP-%'!F2-'CEP - Expected %'!F2</f>
        <v>-3.3422655304790574</v>
      </c>
      <c r="G2" s="11">
        <f>'CEP-%'!G2-'CEP - Expected %'!G2</f>
        <v>0.89600744884341665</v>
      </c>
      <c r="H2" s="11">
        <f>'CEP-%'!H2-'CEP - Expected %'!H2</f>
        <v>-1.2649090770710174</v>
      </c>
      <c r="I2" s="11">
        <f>'CEP-%'!I2-'CEP - Expected %'!I2</f>
        <v>-1.4503615458037737</v>
      </c>
      <c r="J2" s="11">
        <f>'CEP-%'!J2-'CEP - Expected %'!J2</f>
        <v>-3.1429550678833982</v>
      </c>
      <c r="K2" s="11">
        <f>'CEP-%'!K2-'CEP - Expected %'!K2</f>
        <v>-2.2056581891307721</v>
      </c>
      <c r="L2" s="11">
        <f>'CEP-%'!L2-'CEP - Expected %'!L2</f>
        <v>-0.33360086642388431</v>
      </c>
      <c r="M2" s="11">
        <f>'CEP-%'!M2-'CEP - Expected %'!M2</f>
        <v>-0.90689563897076919</v>
      </c>
    </row>
    <row r="3" spans="1:13">
      <c r="A3" s="5" t="s">
        <v>32</v>
      </c>
      <c r="B3" s="11">
        <f>'CEP-%'!B3-'CEP - Expected %'!B3</f>
        <v>-3.1741265596252859</v>
      </c>
      <c r="C3" s="11">
        <f>'CEP-%'!C3-'CEP - Expected %'!C3</f>
        <v>0.27870692259616092</v>
      </c>
      <c r="D3" s="11">
        <f>'CEP-%'!D3-'CEP - Expected %'!D3</f>
        <v>-1.084935045846013</v>
      </c>
      <c r="E3" s="11">
        <f>'CEP-%'!E3-'CEP - Expected %'!E3</f>
        <v>7.041713738982601</v>
      </c>
      <c r="F3" s="11">
        <f>'CEP-%'!F3-'CEP - Expected %'!F3</f>
        <v>2.136842472615422</v>
      </c>
      <c r="G3" s="11">
        <f>'CEP-%'!G3-'CEP - Expected %'!G3</f>
        <v>0.78794322480979595</v>
      </c>
      <c r="H3" s="11">
        <f>'CEP-%'!H3-'CEP - Expected %'!H3</f>
        <v>-2.3822748376084801</v>
      </c>
      <c r="I3" s="11">
        <f>'CEP-%'!I3-'CEP - Expected %'!I3</f>
        <v>-7.6869837328997548E-2</v>
      </c>
      <c r="J3" s="11">
        <f>'CEP-%'!J3-'CEP - Expected %'!J3</f>
        <v>-4.2314502804322185</v>
      </c>
      <c r="K3" s="11">
        <f>'CEP-%'!K3-'CEP - Expected %'!K3</f>
        <v>-9.6185009091424689E-2</v>
      </c>
      <c r="L3" s="11">
        <f>'CEP-%'!L3-'CEP - Expected %'!L3</f>
        <v>0.4811392768940026</v>
      </c>
      <c r="M3" s="11">
        <f>'CEP-%'!M3-'CEP - Expected %'!M3</f>
        <v>0.3194959340345136</v>
      </c>
    </row>
    <row r="4" spans="1:13">
      <c r="A4" s="5" t="s">
        <v>33</v>
      </c>
      <c r="B4" s="11">
        <f>'CEP-%'!B4-'CEP - Expected %'!B4</f>
        <v>-2.8504547479262889</v>
      </c>
      <c r="C4" s="11">
        <f>'CEP-%'!C4-'CEP - Expected %'!C4</f>
        <v>-1.5950053788444176</v>
      </c>
      <c r="D4" s="11">
        <f>'CEP-%'!D4-'CEP - Expected %'!D4</f>
        <v>-0.71261143836916041</v>
      </c>
      <c r="E4" s="11">
        <f>'CEP-%'!E4-'CEP - Expected %'!E4</f>
        <v>-7.8325310992908328</v>
      </c>
      <c r="F4" s="11">
        <f>'CEP-%'!F4-'CEP - Expected %'!F4</f>
        <v>-2.0343106527873882</v>
      </c>
      <c r="G4" s="11">
        <f>'CEP-%'!G4-'CEP - Expected %'!G4</f>
        <v>1.1567810742126845</v>
      </c>
      <c r="H4" s="11">
        <f>'CEP-%'!H4-'CEP - Expected %'!H4</f>
        <v>2.9966276374056733</v>
      </c>
      <c r="I4" s="11">
        <f>'CEP-%'!I4-'CEP - Expected %'!I4</f>
        <v>-0.7185412337133803</v>
      </c>
      <c r="J4" s="11">
        <f>'CEP-%'!J4-'CEP - Expected %'!J4</f>
        <v>12.35084463278786</v>
      </c>
      <c r="K4" s="11">
        <f>'CEP-%'!K4-'CEP - Expected %'!K4</f>
        <v>-1.3741818280653071</v>
      </c>
      <c r="L4" s="11">
        <f>'CEP-%'!L4-'CEP - Expected %'!L4</f>
        <v>0.13860201591455112</v>
      </c>
      <c r="M4" s="11">
        <f>'CEP-%'!M4-'CEP - Expected %'!M4</f>
        <v>0.47478101867604483</v>
      </c>
    </row>
    <row r="5" spans="1:13">
      <c r="A5" s="5" t="s">
        <v>54</v>
      </c>
      <c r="B5" s="11">
        <f>'CEP-%'!B5-'CEP - Expected %'!B5</f>
        <v>-1.5582025439508733</v>
      </c>
      <c r="C5" s="11">
        <f>'CEP-%'!C5-'CEP - Expected %'!C5</f>
        <v>0.93128695103890102</v>
      </c>
      <c r="D5" s="11">
        <f>'CEP-%'!D5-'CEP - Expected %'!D5</f>
        <v>-0.75126958292016965</v>
      </c>
      <c r="E5" s="11">
        <f>'CEP-%'!E5-'CEP - Expected %'!E5</f>
        <v>4.8851611564978512</v>
      </c>
      <c r="F5" s="11">
        <f>'CEP-%'!F5-'CEP - Expected %'!F5</f>
        <v>-2.787725003107985</v>
      </c>
      <c r="G5" s="11">
        <f>'CEP-%'!G5-'CEP - Expected %'!G5</f>
        <v>2.7908959554450163E-2</v>
      </c>
      <c r="H5" s="11">
        <f>'CEP-%'!H5-'CEP - Expected %'!H5</f>
        <v>-0.34369345659675865</v>
      </c>
      <c r="I5" s="11">
        <f>'CEP-%'!I5-'CEP - Expected %'!I5</f>
        <v>1.1327340042625877</v>
      </c>
      <c r="J5" s="11">
        <f>'CEP-%'!J5-'CEP - Expected %'!J5</f>
        <v>2.138389517953776E-2</v>
      </c>
      <c r="K5" s="11">
        <f>'CEP-%'!K5-'CEP - Expected %'!K5</f>
        <v>-0.25919387294165475</v>
      </c>
      <c r="L5" s="11">
        <f>'CEP-%'!L5-'CEP - Expected %'!L5</f>
        <v>-0.86896113877712722</v>
      </c>
      <c r="M5" s="11">
        <f>'CEP-%'!M5-'CEP - Expected %'!M5</f>
        <v>-0.42942936823868383</v>
      </c>
    </row>
    <row r="6" spans="1:13">
      <c r="A6" s="5" t="s">
        <v>56</v>
      </c>
      <c r="B6" s="11">
        <f>'CEP-%'!B6-'CEP - Expected %'!B6</f>
        <v>3.1078521839717688</v>
      </c>
      <c r="C6" s="11">
        <f>'CEP-%'!C6-'CEP - Expected %'!C6</f>
        <v>0.74264717642476086</v>
      </c>
      <c r="D6" s="11">
        <f>'CEP-%'!D6-'CEP - Expected %'!D6</f>
        <v>-1.771600767713883</v>
      </c>
      <c r="E6" s="11">
        <f>'CEP-%'!E6-'CEP - Expected %'!E6</f>
        <v>7.8629953002201916</v>
      </c>
      <c r="F6" s="11">
        <f>'CEP-%'!F6-'CEP - Expected %'!F6</f>
        <v>-2.3430312361536512</v>
      </c>
      <c r="G6" s="11">
        <f>'CEP-%'!G6-'CEP - Expected %'!G6</f>
        <v>1.2052660638335801</v>
      </c>
      <c r="H6" s="11">
        <f>'CEP-%'!H6-'CEP - Expected %'!H6</f>
        <v>-1.7856680869502259</v>
      </c>
      <c r="I6" s="11">
        <f>'CEP-%'!I6-'CEP - Expected %'!I6</f>
        <v>-0.21021010020437991</v>
      </c>
      <c r="J6" s="11">
        <f>'CEP-%'!J6-'CEP - Expected %'!J6</f>
        <v>-3.6990377345290444</v>
      </c>
      <c r="K6" s="11">
        <f>'CEP-%'!K6-'CEP - Expected %'!K6</f>
        <v>-0.67500237371702543</v>
      </c>
      <c r="L6" s="11">
        <f>'CEP-%'!L6-'CEP - Expected %'!L6</f>
        <v>-0.93888153724367518</v>
      </c>
      <c r="M6" s="11">
        <f>'CEP-%'!M6-'CEP - Expected %'!M6</f>
        <v>-1.4953288879383448</v>
      </c>
    </row>
    <row r="7" spans="1:13">
      <c r="A7" s="5" t="s">
        <v>55</v>
      </c>
      <c r="B7" s="11">
        <f>'CEP-%'!B7-'CEP - Expected %'!B7</f>
        <v>-1.3763298661746788</v>
      </c>
      <c r="C7" s="11">
        <f>'CEP-%'!C7-'CEP - Expected %'!C7</f>
        <v>-1.3776144371186678</v>
      </c>
      <c r="D7" s="11">
        <f>'CEP-%'!D7-'CEP - Expected %'!D7</f>
        <v>-0.53210755229266127</v>
      </c>
      <c r="E7" s="11">
        <f>'CEP-%'!E7-'CEP - Expected %'!E7</f>
        <v>13.820249063833174</v>
      </c>
      <c r="F7" s="11">
        <f>'CEP-%'!F7-'CEP - Expected %'!F7</f>
        <v>-2.9651119035457381</v>
      </c>
      <c r="G7" s="11">
        <f>'CEP-%'!G7-'CEP - Expected %'!G7</f>
        <v>1.7266203427434821</v>
      </c>
      <c r="H7" s="11">
        <f>'CEP-%'!H7-'CEP - Expected %'!H7</f>
        <v>-1.679380675559047</v>
      </c>
      <c r="I7" s="11">
        <f>'CEP-%'!I7-'CEP - Expected %'!I7</f>
        <v>-1.1196838755127585</v>
      </c>
      <c r="J7" s="11">
        <f>'CEP-%'!J7-'CEP - Expected %'!J7</f>
        <v>-3.296387295899172</v>
      </c>
      <c r="K7" s="11">
        <f>'CEP-%'!K7-'CEP - Expected %'!K7</f>
        <v>-0.92570548619889781</v>
      </c>
      <c r="L7" s="11">
        <f>'CEP-%'!L7-'CEP - Expected %'!L7</f>
        <v>-1.2467656367934592</v>
      </c>
      <c r="M7" s="11">
        <f>'CEP-%'!M7-'CEP - Expected %'!M7</f>
        <v>-1.0277826774815031</v>
      </c>
    </row>
    <row r="8" spans="1:13">
      <c r="A8" s="5" t="s">
        <v>52</v>
      </c>
      <c r="B8" s="11">
        <f>'CEP-%'!B8-'CEP - Expected %'!B8</f>
        <v>-1.2300441372361917</v>
      </c>
      <c r="C8" s="11">
        <f>'CEP-%'!C8-'CEP - Expected %'!C8</f>
        <v>-1.5992573004922281</v>
      </c>
      <c r="D8" s="11">
        <f>'CEP-%'!D8-'CEP - Expected %'!D8</f>
        <v>0.248038302356834</v>
      </c>
      <c r="E8" s="11">
        <f>'CEP-%'!E8-'CEP - Expected %'!E8</f>
        <v>4.7507366536022744</v>
      </c>
      <c r="F8" s="11">
        <f>'CEP-%'!F8-'CEP - Expected %'!F8</f>
        <v>-8.7130051336060887E-2</v>
      </c>
      <c r="G8" s="11">
        <f>'CEP-%'!G8-'CEP - Expected %'!G8</f>
        <v>1.2592262202532734</v>
      </c>
      <c r="H8" s="11">
        <f>'CEP-%'!H8-'CEP - Expected %'!H8</f>
        <v>-0.47978602106185964</v>
      </c>
      <c r="I8" s="11">
        <f>'CEP-%'!I8-'CEP - Expected %'!I8</f>
        <v>-0.6213521169712779</v>
      </c>
      <c r="J8" s="11">
        <f>'CEP-%'!J8-'CEP - Expected %'!J8</f>
        <v>-1.3123000145448414</v>
      </c>
      <c r="K8" s="11">
        <f>'CEP-%'!K8-'CEP - Expected %'!K8</f>
        <v>-5.0215194660657048E-2</v>
      </c>
      <c r="L8" s="11">
        <f>'CEP-%'!L8-'CEP - Expected %'!L8</f>
        <v>-0.10940603238439994</v>
      </c>
      <c r="M8" s="11">
        <f>'CEP-%'!M8-'CEP - Expected %'!M8</f>
        <v>-0.76851030752481009</v>
      </c>
    </row>
    <row r="9" spans="1:13">
      <c r="A9" s="5" t="s">
        <v>51</v>
      </c>
      <c r="B9" s="11">
        <f>'CEP-%'!B9-'CEP - Expected %'!B9</f>
        <v>-0.23422609841935582</v>
      </c>
      <c r="C9" s="11">
        <f>'CEP-%'!C9-'CEP - Expected %'!C9</f>
        <v>-1.0502164702371486</v>
      </c>
      <c r="D9" s="11">
        <f>'CEP-%'!D9-'CEP - Expected %'!D9</f>
        <v>3.5544429621259255E-3</v>
      </c>
      <c r="E9" s="11">
        <f>'CEP-%'!E9-'CEP - Expected %'!E9</f>
        <v>2.4580628879490263</v>
      </c>
      <c r="F9" s="11">
        <f>'CEP-%'!F9-'CEP - Expected %'!F9</f>
        <v>-0.95074439864106619</v>
      </c>
      <c r="G9" s="11">
        <f>'CEP-%'!G9-'CEP - Expected %'!G9</f>
        <v>1.4476910119380566</v>
      </c>
      <c r="H9" s="11">
        <f>'CEP-%'!H9-'CEP - Expected %'!H9</f>
        <v>-0.11296456373272346</v>
      </c>
      <c r="I9" s="11">
        <f>'CEP-%'!I9-'CEP - Expected %'!I9</f>
        <v>0.17446533965936606</v>
      </c>
      <c r="J9" s="11">
        <f>'CEP-%'!J9-'CEP - Expected %'!J9</f>
        <v>-1.4439558623058977</v>
      </c>
      <c r="K9" s="11">
        <f>'CEP-%'!K9-'CEP - Expected %'!K9</f>
        <v>0.12466961342280758</v>
      </c>
      <c r="L9" s="11">
        <f>'CEP-%'!L9-'CEP - Expected %'!L9</f>
        <v>-0.33468755947579654</v>
      </c>
      <c r="M9" s="11">
        <f>'CEP-%'!M9-'CEP - Expected %'!M9</f>
        <v>-8.1648343119346656E-2</v>
      </c>
    </row>
    <row r="10" spans="1:13">
      <c r="A10" s="5" t="s">
        <v>46</v>
      </c>
      <c r="B10" s="11">
        <f>'CEP-%'!B10-'CEP - Expected %'!B10</f>
        <v>-1.8654210542273297</v>
      </c>
      <c r="C10" s="11">
        <f>'CEP-%'!C10-'CEP - Expected %'!C10</f>
        <v>-1.0569524953399725</v>
      </c>
      <c r="D10" s="11">
        <f>'CEP-%'!D10-'CEP - Expected %'!D10</f>
        <v>0.81882689416323018</v>
      </c>
      <c r="E10" s="11">
        <f>'CEP-%'!E10-'CEP - Expected %'!E10</f>
        <v>-13.480990688585933</v>
      </c>
      <c r="F10" s="11">
        <f>'CEP-%'!F10-'CEP - Expected %'!F10</f>
        <v>-1.793669876420509</v>
      </c>
      <c r="G10" s="11">
        <f>'CEP-%'!G10-'CEP - Expected %'!G10</f>
        <v>-2.0984051009191926</v>
      </c>
      <c r="H10" s="11">
        <f>'CEP-%'!H10-'CEP - Expected %'!H10</f>
        <v>4.1492164804090601</v>
      </c>
      <c r="I10" s="11">
        <f>'CEP-%'!I10-'CEP - Expected %'!I10</f>
        <v>-0.32292200166995588</v>
      </c>
      <c r="J10" s="11">
        <f>'CEP-%'!J10-'CEP - Expected %'!J10</f>
        <v>15.09607167902597</v>
      </c>
      <c r="K10" s="11">
        <f>'CEP-%'!K10-'CEP - Expected %'!K10</f>
        <v>-2.229642297933232E-2</v>
      </c>
      <c r="L10" s="11">
        <f>'CEP-%'!L10-'CEP - Expected %'!L10</f>
        <v>-4.5997615456924379E-2</v>
      </c>
      <c r="M10" s="11">
        <f>'CEP-%'!M10-'CEP - Expected %'!M10</f>
        <v>0.62254020200095095</v>
      </c>
    </row>
    <row r="11" spans="1:13">
      <c r="A11" s="5" t="s">
        <v>57</v>
      </c>
      <c r="B11" s="11">
        <f>'CEP-%'!B11-'CEP - Expected %'!B11</f>
        <v>1.7620568389690359</v>
      </c>
      <c r="C11" s="11">
        <f>'CEP-%'!C11-'CEP - Expected %'!C11</f>
        <v>9.7319945100498018E-2</v>
      </c>
      <c r="D11" s="11">
        <f>'CEP-%'!D11-'CEP - Expected %'!D11</f>
        <v>0.96169146152971141</v>
      </c>
      <c r="E11" s="11">
        <f>'CEP-%'!E11-'CEP - Expected %'!E11</f>
        <v>-0.75764174165120224</v>
      </c>
      <c r="F11" s="11">
        <f>'CEP-%'!F11-'CEP - Expected %'!F11</f>
        <v>-1.1032035907412876</v>
      </c>
      <c r="G11" s="11">
        <f>'CEP-%'!G11-'CEP - Expected %'!G11</f>
        <v>0.42008658809486255</v>
      </c>
      <c r="H11" s="11">
        <f>'CEP-%'!H11-'CEP - Expected %'!H11</f>
        <v>-0.29542842215341381</v>
      </c>
      <c r="I11" s="11">
        <f>'CEP-%'!I11-'CEP - Expected %'!I11</f>
        <v>-0.49039865395935101</v>
      </c>
      <c r="J11" s="11">
        <f>'CEP-%'!J11-'CEP - Expected %'!J11</f>
        <v>-0.30431657375182031</v>
      </c>
      <c r="K11" s="11">
        <f>'CEP-%'!K11-'CEP - Expected %'!K11</f>
        <v>-0.134642005041405</v>
      </c>
      <c r="L11" s="11">
        <f>'CEP-%'!L11-'CEP - Expected %'!L11</f>
        <v>-0.28582234993831857</v>
      </c>
      <c r="M11" s="11">
        <f>'CEP-%'!M11-'CEP - Expected %'!M11</f>
        <v>0.13029850354271844</v>
      </c>
    </row>
    <row r="12" spans="1:13">
      <c r="A12" s="5" t="s">
        <v>58</v>
      </c>
      <c r="B12" s="11">
        <f>'CEP-%'!B12-'CEP - Expected %'!B12</f>
        <v>-2.5657542511611915</v>
      </c>
      <c r="C12" s="11">
        <f>'CEP-%'!C12-'CEP - Expected %'!C12</f>
        <v>0.82894973839398745</v>
      </c>
      <c r="D12" s="11">
        <f>'CEP-%'!D12-'CEP - Expected %'!D12</f>
        <v>-1.2600414444615069</v>
      </c>
      <c r="E12" s="11">
        <f>'CEP-%'!E12-'CEP - Expected %'!E12</f>
        <v>1.8751211593250545</v>
      </c>
      <c r="F12" s="11">
        <f>'CEP-%'!F12-'CEP - Expected %'!F12</f>
        <v>3.0349611640924259</v>
      </c>
      <c r="G12" s="11">
        <f>'CEP-%'!G12-'CEP - Expected %'!G12</f>
        <v>-0.14187354255164308</v>
      </c>
      <c r="H12" s="11">
        <f>'CEP-%'!H12-'CEP - Expected %'!H12</f>
        <v>-0.55786274999704499</v>
      </c>
      <c r="I12" s="11">
        <f>'CEP-%'!I12-'CEP - Expected %'!I12</f>
        <v>0.19197998613939316</v>
      </c>
      <c r="J12" s="11">
        <f>'CEP-%'!J12-'CEP - Expected %'!J12</f>
        <v>-1.7932152478750893</v>
      </c>
      <c r="K12" s="11">
        <f>'CEP-%'!K12-'CEP - Expected %'!K12</f>
        <v>0.42514637485575779</v>
      </c>
      <c r="L12" s="11">
        <f>'CEP-%'!L12-'CEP - Expected %'!L12</f>
        <v>-0.43001237211078003</v>
      </c>
      <c r="M12" s="11">
        <f>'CEP-%'!M12-'CEP - Expected %'!M12</f>
        <v>0.39260118535072053</v>
      </c>
    </row>
    <row r="13" spans="1:13">
      <c r="A13" s="5" t="s">
        <v>53</v>
      </c>
      <c r="B13" s="11">
        <f>'CEP-%'!B13-'CEP - Expected %'!B13</f>
        <v>5.070985668374778</v>
      </c>
      <c r="C13" s="11">
        <f>'CEP-%'!C13-'CEP - Expected %'!C13</f>
        <v>1.7497867743061359</v>
      </c>
      <c r="D13" s="11">
        <f>'CEP-%'!D13-'CEP - Expected %'!D13</f>
        <v>-0.25939992760612629</v>
      </c>
      <c r="E13" s="11">
        <f>'CEP-%'!E13-'CEP - Expected %'!E13</f>
        <v>-4.7737043895955935</v>
      </c>
      <c r="F13" s="11">
        <f>'CEP-%'!F13-'CEP - Expected %'!F13</f>
        <v>-1.0046636711987658</v>
      </c>
      <c r="G13" s="11">
        <f>'CEP-%'!G13-'CEP - Expected %'!G13</f>
        <v>-1.9274484142965158</v>
      </c>
      <c r="H13" s="11">
        <f>'CEP-%'!H13-'CEP - Expected %'!H13</f>
        <v>0.53351804553160598</v>
      </c>
      <c r="I13" s="11">
        <f>'CEP-%'!I13-'CEP - Expected %'!I13</f>
        <v>-0.58073072936711578</v>
      </c>
      <c r="J13" s="11">
        <f>'CEP-%'!J13-'CEP - Expected %'!J13</f>
        <v>2.0374031081089359</v>
      </c>
      <c r="K13" s="11">
        <f>'CEP-%'!K13-'CEP - Expected %'!K13</f>
        <v>0.2500620535257414</v>
      </c>
      <c r="L13" s="11">
        <f>'CEP-%'!L13-'CEP - Expected %'!L13</f>
        <v>-0.2223231708372071</v>
      </c>
      <c r="M13" s="11">
        <f>'CEP-%'!M13-'CEP - Expected %'!M13</f>
        <v>-0.87348534694584856</v>
      </c>
    </row>
    <row r="14" spans="1:13">
      <c r="A14" s="5" t="s">
        <v>50</v>
      </c>
      <c r="B14" s="11">
        <f>'CEP-%'!B14-'CEP - Expected %'!B14</f>
        <v>0.76781446419361288</v>
      </c>
      <c r="C14" s="11">
        <f>'CEP-%'!C14-'CEP - Expected %'!C14</f>
        <v>1.4699759874360332</v>
      </c>
      <c r="D14" s="11">
        <f>'CEP-%'!D14-'CEP - Expected %'!D14</f>
        <v>1.3059572921944467</v>
      </c>
      <c r="E14" s="11">
        <f>'CEP-%'!E14-'CEP - Expected %'!E14</f>
        <v>-6.9873324787842819</v>
      </c>
      <c r="F14" s="11">
        <f>'CEP-%'!F14-'CEP - Expected %'!F14</f>
        <v>0.56088243204423982</v>
      </c>
      <c r="G14" s="11">
        <f>'CEP-%'!G14-'CEP - Expected %'!G14</f>
        <v>-1.1136927543755428</v>
      </c>
      <c r="H14" s="11">
        <f>'CEP-%'!H14-'CEP - Expected %'!H14</f>
        <v>0.8374086094414066</v>
      </c>
      <c r="I14" s="11">
        <f>'CEP-%'!I14-'CEP - Expected %'!I14</f>
        <v>0.62693848787471662</v>
      </c>
      <c r="J14" s="11">
        <f>'CEP-%'!J14-'CEP - Expected %'!J14</f>
        <v>4.9662444846447329E-2</v>
      </c>
      <c r="K14" s="11">
        <f>'CEP-%'!K14-'CEP - Expected %'!K14</f>
        <v>0.9855169409477762</v>
      </c>
      <c r="L14" s="11">
        <f>'CEP-%'!L14-'CEP - Expected %'!L14</f>
        <v>0.98412116589915799</v>
      </c>
      <c r="M14" s="11">
        <f>'CEP-%'!M14-'CEP - Expected %'!M14</f>
        <v>0.51274740828204646</v>
      </c>
    </row>
    <row r="15" spans="1:13">
      <c r="A15" s="5" t="s">
        <v>47</v>
      </c>
      <c r="B15" s="11">
        <f>'CEP-%'!B15-'CEP - Expected %'!B15</f>
        <v>0.53185243699380536</v>
      </c>
      <c r="C15" s="11">
        <f>'CEP-%'!C15-'CEP - Expected %'!C15</f>
        <v>-0.71032112442002138</v>
      </c>
      <c r="D15" s="11">
        <f>'CEP-%'!D15-'CEP - Expected %'!D15</f>
        <v>0.56935765663646443</v>
      </c>
      <c r="E15" s="11">
        <f>'CEP-%'!E15-'CEP - Expected %'!E15</f>
        <v>-5.5246845147728081</v>
      </c>
      <c r="F15" s="11">
        <f>'CEP-%'!F15-'CEP - Expected %'!F15</f>
        <v>0.93109070850130848</v>
      </c>
      <c r="G15" s="11">
        <f>'CEP-%'!G15-'CEP - Expected %'!G15</f>
        <v>0.53110753302819447</v>
      </c>
      <c r="H15" s="11">
        <f>'CEP-%'!H15-'CEP - Expected %'!H15</f>
        <v>0.91708962112140302</v>
      </c>
      <c r="I15" s="11">
        <f>'CEP-%'!I15-'CEP - Expected %'!I15</f>
        <v>0.15216564597107318</v>
      </c>
      <c r="J15" s="11">
        <f>'CEP-%'!J15-'CEP - Expected %'!J15</f>
        <v>2.1321588173849069</v>
      </c>
      <c r="K15" s="11">
        <f>'CEP-%'!K15-'CEP - Expected %'!K15</f>
        <v>0.35338047885861368</v>
      </c>
      <c r="L15" s="11">
        <f>'CEP-%'!L15-'CEP - Expected %'!L15</f>
        <v>2.7687369022416419E-2</v>
      </c>
      <c r="M15" s="11">
        <f>'CEP-%'!M15-'CEP - Expected %'!M15</f>
        <v>8.9115371674700405E-2</v>
      </c>
    </row>
    <row r="16" spans="1:13">
      <c r="A16" s="5" t="s">
        <v>49</v>
      </c>
      <c r="B16" s="11">
        <f>'CEP-%'!B16-'CEP - Expected %'!B16</f>
        <v>9.3373147891548989</v>
      </c>
      <c r="C16" s="11">
        <f>'CEP-%'!C16-'CEP - Expected %'!C16</f>
        <v>1.7503329827024334</v>
      </c>
      <c r="D16" s="11">
        <f>'CEP-%'!D16-'CEP - Expected %'!D16</f>
        <v>-0.62205613707488627</v>
      </c>
      <c r="E16" s="11">
        <f>'CEP-%'!E16-'CEP - Expected %'!E16</f>
        <v>-5.589137923212963</v>
      </c>
      <c r="F16" s="11">
        <f>'CEP-%'!F16-'CEP - Expected %'!F16</f>
        <v>-2.1615167010085612</v>
      </c>
      <c r="G16" s="11">
        <f>'CEP-%'!G16-'CEP - Expected %'!G16</f>
        <v>-2.6436551794898007</v>
      </c>
      <c r="H16" s="11">
        <f>'CEP-%'!H16-'CEP - Expected %'!H16</f>
        <v>-0.9809510312398162</v>
      </c>
      <c r="I16" s="11">
        <f>'CEP-%'!I16-'CEP - Expected %'!I16</f>
        <v>-0.6026641036519047</v>
      </c>
      <c r="J16" s="11">
        <f>'CEP-%'!J16-'CEP - Expected %'!J16</f>
        <v>3.6442762544141916</v>
      </c>
      <c r="K16" s="11">
        <f>'CEP-%'!K16-'CEP - Expected %'!K16</f>
        <v>-0.23641992645418375</v>
      </c>
      <c r="L16" s="11">
        <f>'CEP-%'!L16-'CEP - Expected %'!L16</f>
        <v>-0.78552290017949833</v>
      </c>
      <c r="M16" s="11">
        <f>'CEP-%'!M16-'CEP - Expected %'!M16</f>
        <v>-1.110000123959868</v>
      </c>
    </row>
    <row r="17" spans="1:13">
      <c r="A17" s="5" t="s">
        <v>48</v>
      </c>
      <c r="B17" s="11">
        <f>'CEP-%'!B17-'CEP - Expected %'!B17</f>
        <v>1.418625039089072</v>
      </c>
      <c r="C17" s="11">
        <f>'CEP-%'!C17-'CEP - Expected %'!C17</f>
        <v>-1.1045592996051443</v>
      </c>
      <c r="D17" s="11">
        <f>'CEP-%'!D17-'CEP - Expected %'!D17</f>
        <v>-1.4880180357358279</v>
      </c>
      <c r="E17" s="11">
        <f>'CEP-%'!E17-'CEP - Expected %'!E17</f>
        <v>7.5530015933913077</v>
      </c>
      <c r="F17" s="11">
        <f>'CEP-%'!F17-'CEP - Expected %'!F17</f>
        <v>-2.3681453749019008</v>
      </c>
      <c r="G17" s="11">
        <f>'CEP-%'!G17-'CEP - Expected %'!G17</f>
        <v>2.6385692270572312</v>
      </c>
      <c r="H17" s="11">
        <f>'CEP-%'!H17-'CEP - Expected %'!H17</f>
        <v>-1.5034623234442659</v>
      </c>
      <c r="I17" s="11">
        <f>'CEP-%'!I17-'CEP - Expected %'!I17</f>
        <v>-0.22531505185823253</v>
      </c>
      <c r="J17" s="11">
        <f>'CEP-%'!J17-'CEP - Expected %'!J17</f>
        <v>-2.828453506430586</v>
      </c>
      <c r="K17" s="11">
        <f>'CEP-%'!K17-'CEP - Expected %'!K17</f>
        <v>-0.95074603399555135</v>
      </c>
      <c r="L17" s="11">
        <f>'CEP-%'!L17-'CEP - Expected %'!L17</f>
        <v>-0.66324499268358572</v>
      </c>
      <c r="M17" s="11">
        <f>'CEP-%'!M17-'CEP - Expected %'!M17</f>
        <v>-0.47825124088244575</v>
      </c>
    </row>
    <row r="18" spans="1:13">
      <c r="A18" s="5" t="s">
        <v>45</v>
      </c>
      <c r="B18" s="11">
        <f>'CEP-%'!B18-'CEP - Expected %'!B18</f>
        <v>-1.5283646837873555</v>
      </c>
      <c r="C18" s="11">
        <f>'CEP-%'!C18-'CEP - Expected %'!C18</f>
        <v>-2.1598420980211142</v>
      </c>
      <c r="D18" s="11">
        <f>'CEP-%'!D18-'CEP - Expected %'!D18</f>
        <v>-1.186611575281038</v>
      </c>
      <c r="E18" s="11">
        <f>'CEP-%'!E18-'CEP - Expected %'!E18</f>
        <v>14.103926646371058</v>
      </c>
      <c r="F18" s="11">
        <f>'CEP-%'!F18-'CEP - Expected %'!F18</f>
        <v>-2.9192451164472093</v>
      </c>
      <c r="G18" s="11">
        <f>'CEP-%'!G18-'CEP - Expected %'!G18</f>
        <v>3.7952750749638362</v>
      </c>
      <c r="H18" s="11">
        <f>'CEP-%'!H18-'CEP - Expected %'!H18</f>
        <v>-2.1152083682004523</v>
      </c>
      <c r="I18" s="11">
        <f>'CEP-%'!I18-'CEP - Expected %'!I18</f>
        <v>-1.2446732007363908</v>
      </c>
      <c r="J18" s="11">
        <f>'CEP-%'!J18-'CEP - Expected %'!J18</f>
        <v>-3.3683527051428692</v>
      </c>
      <c r="K18" s="11">
        <f>'CEP-%'!K18-'CEP - Expected %'!K18</f>
        <v>-0.91902669850287477</v>
      </c>
      <c r="L18" s="11">
        <f>'CEP-%'!L18-'CEP - Expected %'!L18</f>
        <v>-0.80641782436953413</v>
      </c>
      <c r="M18" s="11">
        <f>'CEP-%'!M18-'CEP - Expected %'!M18</f>
        <v>-1.6514594508460005</v>
      </c>
    </row>
    <row r="19" spans="1:13">
      <c r="A19" s="5" t="s">
        <v>44</v>
      </c>
      <c r="B19" s="11">
        <f>'CEP-%'!B19-'CEP - Expected %'!B19</f>
        <v>-2.646219415314313</v>
      </c>
      <c r="C19" s="11">
        <f>'CEP-%'!C19-'CEP - Expected %'!C19</f>
        <v>-1.1425796559089818</v>
      </c>
      <c r="D19" s="11">
        <f>'CEP-%'!D19-'CEP - Expected %'!D19</f>
        <v>-1.3530922966914716E-2</v>
      </c>
      <c r="E19" s="11">
        <f>'CEP-%'!E19-'CEP - Expected %'!E19</f>
        <v>8.1549894779657706</v>
      </c>
      <c r="F19" s="11">
        <f>'CEP-%'!F19-'CEP - Expected %'!F19</f>
        <v>-8.6641080346492316E-3</v>
      </c>
      <c r="G19" s="11">
        <f>'CEP-%'!G19-'CEP - Expected %'!G19</f>
        <v>2.742025022166418</v>
      </c>
      <c r="H19" s="11">
        <f>'CEP-%'!H19-'CEP - Expected %'!H19</f>
        <v>-0.98922592490824979</v>
      </c>
      <c r="I19" s="11">
        <f>'CEP-%'!I19-'CEP - Expected %'!I19</f>
        <v>-1.373010914257673</v>
      </c>
      <c r="J19" s="11">
        <f>'CEP-%'!J19-'CEP - Expected %'!J19</f>
        <v>-3.1374079454874817</v>
      </c>
      <c r="K19" s="11">
        <f>'CEP-%'!K19-'CEP - Expected %'!K19</f>
        <v>-0.24815523020214325</v>
      </c>
      <c r="L19" s="11">
        <f>'CEP-%'!L19-'CEP - Expected %'!L19</f>
        <v>-0.68090927409852409</v>
      </c>
      <c r="M19" s="11">
        <f>'CEP-%'!M19-'CEP - Expected %'!M19</f>
        <v>-0.65731110895316558</v>
      </c>
    </row>
    <row r="20" spans="1:13">
      <c r="A20" s="5" t="s">
        <v>40</v>
      </c>
      <c r="B20" s="11">
        <f>'CEP-%'!B20-'CEP - Expected %'!B20</f>
        <v>0.53082543438040553</v>
      </c>
      <c r="C20" s="11">
        <f>'CEP-%'!C20-'CEP - Expected %'!C20</f>
        <v>-3.2178870101536639E-2</v>
      </c>
      <c r="D20" s="11">
        <f>'CEP-%'!D20-'CEP - Expected %'!D20</f>
        <v>-0.30978601680993822</v>
      </c>
      <c r="E20" s="11">
        <f>'CEP-%'!E20-'CEP - Expected %'!E20</f>
        <v>1.2819748187463098</v>
      </c>
      <c r="F20" s="11">
        <f>'CEP-%'!F20-'CEP - Expected %'!F20</f>
        <v>-0.42782672084835749</v>
      </c>
      <c r="G20" s="11">
        <f>'CEP-%'!G20-'CEP - Expected %'!G20</f>
        <v>0.66640367986156956</v>
      </c>
      <c r="H20" s="11">
        <f>'CEP-%'!H20-'CEP - Expected %'!H20</f>
        <v>5.7220235575428546E-2</v>
      </c>
      <c r="I20" s="11">
        <f>'CEP-%'!I20-'CEP - Expected %'!I20</f>
        <v>-0.1146980394814463</v>
      </c>
      <c r="J20" s="11">
        <f>'CEP-%'!J20-'CEP - Expected %'!J20</f>
        <v>-0.97118142357672799</v>
      </c>
      <c r="K20" s="11">
        <f>'CEP-%'!K20-'CEP - Expected %'!K20</f>
        <v>-8.7161123071185731E-2</v>
      </c>
      <c r="L20" s="11">
        <f>'CEP-%'!L20-'CEP - Expected %'!L20</f>
        <v>-0.22254476136923751</v>
      </c>
      <c r="M20" s="11">
        <f>'CEP-%'!M20-'CEP - Expected %'!M20</f>
        <v>-0.37104721330526935</v>
      </c>
    </row>
    <row r="21" spans="1:13">
      <c r="A21" s="5" t="s">
        <v>43</v>
      </c>
      <c r="B21" s="11">
        <f>'CEP-%'!B21-'CEP - Expected %'!B21</f>
        <v>-4.8410580992047869E-2</v>
      </c>
      <c r="C21" s="11">
        <f>'CEP-%'!C21-'CEP - Expected %'!C21</f>
        <v>2.1407460637590106</v>
      </c>
      <c r="D21" s="11">
        <f>'CEP-%'!D21-'CEP - Expected %'!D21</f>
        <v>1.0757942319804688</v>
      </c>
      <c r="E21" s="11">
        <f>'CEP-%'!E21-'CEP - Expected %'!E21</f>
        <v>-13.550575839384102</v>
      </c>
      <c r="F21" s="11">
        <f>'CEP-%'!F21-'CEP - Expected %'!F21</f>
        <v>11.248676221432367</v>
      </c>
      <c r="G21" s="11">
        <f>'CEP-%'!G21-'CEP - Expected %'!G21</f>
        <v>-3.5224390749506149</v>
      </c>
      <c r="H21" s="11">
        <f>'CEP-%'!H21-'CEP - Expected %'!H21</f>
        <v>-0.1626695277956447</v>
      </c>
      <c r="I21" s="11">
        <f>'CEP-%'!I21-'CEP - Expected %'!I21</f>
        <v>1.3632633838800743</v>
      </c>
      <c r="J21" s="11">
        <f>'CEP-%'!J21-'CEP - Expected %'!J21</f>
        <v>-1.1723758145332663</v>
      </c>
      <c r="K21" s="11">
        <f>'CEP-%'!K21-'CEP - Expected %'!K21</f>
        <v>0.32543554150560894</v>
      </c>
      <c r="L21" s="11">
        <f>'CEP-%'!L21-'CEP - Expected %'!L21</f>
        <v>0.66254833167514082</v>
      </c>
      <c r="M21" s="11">
        <f>'CEP-%'!M21-'CEP - Expected %'!M21</f>
        <v>1.6400070634230737</v>
      </c>
    </row>
    <row r="22" spans="1:13">
      <c r="A22" s="5" t="s">
        <v>42</v>
      </c>
      <c r="B22" s="11">
        <f>'CEP-%'!B22-'CEP - Expected %'!B22</f>
        <v>-1.4803326873573894</v>
      </c>
      <c r="C22" s="11">
        <f>'CEP-%'!C22-'CEP - Expected %'!C22</f>
        <v>-5.2167807909597741E-3</v>
      </c>
      <c r="D22" s="11">
        <f>'CEP-%'!D22-'CEP - Expected %'!D22</f>
        <v>0.98668131333749365</v>
      </c>
      <c r="E22" s="11">
        <f>'CEP-%'!E22-'CEP - Expected %'!E22</f>
        <v>-14.551619653441527</v>
      </c>
      <c r="F22" s="11">
        <f>'CEP-%'!F22-'CEP - Expected %'!F22</f>
        <v>2.2510032981502199</v>
      </c>
      <c r="G22" s="11">
        <f>'CEP-%'!G22-'CEP - Expected %'!G22</f>
        <v>-0.55689053175872338</v>
      </c>
      <c r="H22" s="11">
        <f>'CEP-%'!H22-'CEP - Expected %'!H22</f>
        <v>2.0288959941043565</v>
      </c>
      <c r="I22" s="11">
        <f>'CEP-%'!I22-'CEP - Expected %'!I22</f>
        <v>0.8900874656260811</v>
      </c>
      <c r="J22" s="11">
        <f>'CEP-%'!J22-'CEP - Expected %'!J22</f>
        <v>4.3466642742520953</v>
      </c>
      <c r="K22" s="11">
        <f>'CEP-%'!K22-'CEP - Expected %'!K22</f>
        <v>0.9480444283947147</v>
      </c>
      <c r="L22" s="11">
        <f>'CEP-%'!L22-'CEP - Expected %'!L22</f>
        <v>2.9834949232546162</v>
      </c>
      <c r="M22" s="11">
        <f>'CEP-%'!M22-'CEP - Expected %'!M22</f>
        <v>2.1591879562291556</v>
      </c>
    </row>
    <row r="23" spans="1:13">
      <c r="A23" s="5" t="s">
        <v>41</v>
      </c>
      <c r="B23" s="11">
        <f>'CEP-%'!B23-'CEP - Expected %'!B23</f>
        <v>-1.4096346778356406</v>
      </c>
      <c r="C23" s="11">
        <f>'CEP-%'!C23-'CEP - Expected %'!C23</f>
        <v>-2.6948450454204931</v>
      </c>
      <c r="D23" s="11">
        <f>'CEP-%'!D23-'CEP - Expected %'!D23</f>
        <v>-1.6510129990729787</v>
      </c>
      <c r="E23" s="11">
        <f>'CEP-%'!E23-'CEP - Expected %'!E23</f>
        <v>19.989112791085347</v>
      </c>
      <c r="F23" s="11">
        <f>'CEP-%'!F23-'CEP - Expected %'!F23</f>
        <v>-3.213916369476415</v>
      </c>
      <c r="G23" s="11">
        <f>'CEP-%'!G23-'CEP - Expected %'!G23</f>
        <v>1.5953569800576073</v>
      </c>
      <c r="H23" s="11">
        <f>'CEP-%'!H23-'CEP - Expected %'!H23</f>
        <v>-1.8481353573745043</v>
      </c>
      <c r="I23" s="11">
        <f>'CEP-%'!I23-'CEP - Expected %'!I23</f>
        <v>-2.0493395604579234</v>
      </c>
      <c r="J23" s="11">
        <f>'CEP-%'!J23-'CEP - Expected %'!J23</f>
        <v>-3.8279952473982206</v>
      </c>
      <c r="K23" s="11">
        <f>'CEP-%'!K23-'CEP - Expected %'!K23</f>
        <v>-1.724428967740375</v>
      </c>
      <c r="L23" s="11">
        <f>'CEP-%'!L23-'CEP - Expected %'!L23</f>
        <v>-1.3655913109822433</v>
      </c>
      <c r="M23" s="11">
        <f>'CEP-%'!M23-'CEP - Expected %'!M23</f>
        <v>-1.7995702353840901</v>
      </c>
    </row>
    <row r="24" spans="1:13">
      <c r="A24" s="5" t="s">
        <v>39</v>
      </c>
      <c r="B24" s="11">
        <f>'CEP-%'!B24-'CEP - Expected %'!B24</f>
        <v>-1.2285486055642956</v>
      </c>
      <c r="C24" s="11">
        <f>'CEP-%'!C24-'CEP - Expected %'!C24</f>
        <v>-0.24041019138519992</v>
      </c>
      <c r="D24" s="11">
        <f>'CEP-%'!D24-'CEP - Expected %'!D24</f>
        <v>-0.66140113050746407</v>
      </c>
      <c r="E24" s="11">
        <f>'CEP-%'!E24-'CEP - Expected %'!E24</f>
        <v>7.5270019101921761</v>
      </c>
      <c r="F24" s="11">
        <f>'CEP-%'!F24-'CEP - Expected %'!F24</f>
        <v>-1.7310390705482366</v>
      </c>
      <c r="G24" s="11">
        <f>'CEP-%'!G24-'CEP - Expected %'!G24</f>
        <v>0.26850885205933039</v>
      </c>
      <c r="H24" s="11">
        <f>'CEP-%'!H24-'CEP - Expected %'!H24</f>
        <v>-0.38082990380419446</v>
      </c>
      <c r="I24" s="11">
        <f>'CEP-%'!I24-'CEP - Expected %'!I24</f>
        <v>-0.41296789004373302</v>
      </c>
      <c r="J24" s="11">
        <f>'CEP-%'!J24-'CEP - Expected %'!J24</f>
        <v>-2.6308078346954868</v>
      </c>
      <c r="K24" s="11">
        <f>'CEP-%'!K24-'CEP - Expected %'!K24</f>
        <v>-0.49324253539994345</v>
      </c>
      <c r="L24" s="11">
        <f>'CEP-%'!L24-'CEP - Expected %'!L24</f>
        <v>-2.1650457959760505E-2</v>
      </c>
      <c r="M24" s="11">
        <f>'CEP-%'!M24-'CEP - Expected %'!M24</f>
        <v>5.3868576568856241E-3</v>
      </c>
    </row>
    <row r="25" spans="1:13">
      <c r="A25" s="5" t="s">
        <v>38</v>
      </c>
      <c r="B25" s="11">
        <f>'CEP-%'!B25-'CEP - Expected %'!B25</f>
        <v>2.2769800863866294</v>
      </c>
      <c r="C25" s="11">
        <f>'CEP-%'!C25-'CEP - Expected %'!C25</f>
        <v>2.2173624211436191</v>
      </c>
      <c r="D25" s="11">
        <f>'CEP-%'!D25-'CEP - Expected %'!D25</f>
        <v>1.1286243584545304</v>
      </c>
      <c r="E25" s="11">
        <f>'CEP-%'!E25-'CEP - Expected %'!E25</f>
        <v>-5.7866110650504297</v>
      </c>
      <c r="F25" s="11">
        <f>'CEP-%'!F25-'CEP - Expected %'!F25</f>
        <v>-0.66315750121890638</v>
      </c>
      <c r="G25" s="11">
        <f>'CEP-%'!G25-'CEP - Expected %'!G25</f>
        <v>-1.8080217473363565</v>
      </c>
      <c r="H25" s="11">
        <f>'CEP-%'!H25-'CEP - Expected %'!H25</f>
        <v>0.39155374080632477</v>
      </c>
      <c r="I25" s="11">
        <f>'CEP-%'!I25-'CEP - Expected %'!I25</f>
        <v>1.2654446556631971</v>
      </c>
      <c r="J25" s="11">
        <f>'CEP-%'!J25-'CEP - Expected %'!J25</f>
        <v>-0.55766241907325309</v>
      </c>
      <c r="K25" s="11">
        <f>'CEP-%'!K25-'CEP - Expected %'!K25</f>
        <v>1.3118715516711026</v>
      </c>
      <c r="L25" s="11">
        <f>'CEP-%'!L25-'CEP - Expected %'!L25</f>
        <v>-2.0171279832665867E-2</v>
      </c>
      <c r="M25" s="11">
        <f>'CEP-%'!M25-'CEP - Expected %'!M25</f>
        <v>0.24378719838626139</v>
      </c>
    </row>
    <row r="26" spans="1:13">
      <c r="A26" s="5" t="s">
        <v>37</v>
      </c>
      <c r="B26" s="11">
        <f>'CEP-%'!B26-'CEP - Expected %'!B26</f>
        <v>-0.84920687433682218</v>
      </c>
      <c r="C26" s="11">
        <f>'CEP-%'!C26-'CEP - Expected %'!C26</f>
        <v>2.1485745056544268</v>
      </c>
      <c r="D26" s="11">
        <f>'CEP-%'!D26-'CEP - Expected %'!D26</f>
        <v>1.1529445326027794</v>
      </c>
      <c r="E26" s="11">
        <f>'CEP-%'!E26-'CEP - Expected %'!E26</f>
        <v>-15.000328215644096</v>
      </c>
      <c r="F26" s="11">
        <f>'CEP-%'!F26-'CEP - Expected %'!F26</f>
        <v>5.2841868319229555</v>
      </c>
      <c r="G26" s="11">
        <f>'CEP-%'!G26-'CEP - Expected %'!G26</f>
        <v>-2.0678337842714232</v>
      </c>
      <c r="H26" s="11">
        <f>'CEP-%'!H26-'CEP - Expected %'!H26</f>
        <v>1.593545007293848</v>
      </c>
      <c r="I26" s="11">
        <f>'CEP-%'!I26-'CEP - Expected %'!I26</f>
        <v>2.9551902079160302</v>
      </c>
      <c r="J26" s="11">
        <f>'CEP-%'!J26-'CEP - Expected %'!J26</f>
        <v>-0.8377822879400636</v>
      </c>
      <c r="K26" s="11">
        <f>'CEP-%'!K26-'CEP - Expected %'!K26</f>
        <v>1.7762500805003274</v>
      </c>
      <c r="L26" s="11">
        <f>'CEP-%'!L26-'CEP - Expected %'!L26</f>
        <v>2.0635164484444211</v>
      </c>
      <c r="M26" s="11">
        <f>'CEP-%'!M26-'CEP - Expected %'!M26</f>
        <v>1.7809435478577207</v>
      </c>
    </row>
    <row r="27" spans="1:13">
      <c r="A27" s="5" t="s">
        <v>34</v>
      </c>
      <c r="B27" s="11">
        <f>'CEP-%'!B27-'CEP - Expected %'!B27</f>
        <v>-1.699212619337132</v>
      </c>
      <c r="C27" s="11">
        <f>'CEP-%'!C27-'CEP - Expected %'!C27</f>
        <v>2.0283448796446137</v>
      </c>
      <c r="D27" s="11">
        <f>'CEP-%'!D27-'CEP - Expected %'!D27</f>
        <v>0.20546511918087518</v>
      </c>
      <c r="E27" s="11">
        <f>'CEP-%'!E27-'CEP - Expected %'!E27</f>
        <v>-13.927286285253373</v>
      </c>
      <c r="F27" s="11">
        <f>'CEP-%'!F27-'CEP - Expected %'!F27</f>
        <v>4.6254349756729596</v>
      </c>
      <c r="G27" s="11">
        <f>'CEP-%'!G27-'CEP - Expected %'!G27</f>
        <v>-1.9346014547917214</v>
      </c>
      <c r="H27" s="11">
        <f>'CEP-%'!H27-'CEP - Expected %'!H27</f>
        <v>1.1988317616323005</v>
      </c>
      <c r="I27" s="11">
        <f>'CEP-%'!I27-'CEP - Expected %'!I27</f>
        <v>2.6876225023598996</v>
      </c>
      <c r="J27" s="11">
        <f>'CEP-%'!J27-'CEP - Expected %'!J27</f>
        <v>1.8747769172070061</v>
      </c>
      <c r="K27" s="11">
        <f>'CEP-%'!K27-'CEP - Expected %'!K27</f>
        <v>1.5678012570708209</v>
      </c>
      <c r="L27" s="11">
        <f>'CEP-%'!L27-'CEP - Expected %'!L27</f>
        <v>1.5625983767929332</v>
      </c>
      <c r="M27" s="11">
        <f>'CEP-%'!M27-'CEP - Expected %'!M27</f>
        <v>1.8102245698208232</v>
      </c>
    </row>
    <row r="28" spans="1:13">
      <c r="A28" s="5" t="s">
        <v>35</v>
      </c>
      <c r="B28" s="11">
        <f>'CEP-%'!B28-'CEP - Expected %'!B28</f>
        <v>-0.13108020298410139</v>
      </c>
      <c r="C28" s="11">
        <f>'CEP-%'!C28-'CEP - Expected %'!C28</f>
        <v>1.6756038243876628</v>
      </c>
      <c r="D28" s="11">
        <f>'CEP-%'!D28-'CEP - Expected %'!D28</f>
        <v>0.85425684897086818</v>
      </c>
      <c r="E28" s="11">
        <f>'CEP-%'!E28-'CEP - Expected %'!E28</f>
        <v>-9.5207067112429087</v>
      </c>
      <c r="F28" s="11">
        <f>'CEP-%'!F28-'CEP - Expected %'!F28</f>
        <v>4.3203219842894232</v>
      </c>
      <c r="G28" s="11">
        <f>'CEP-%'!G28-'CEP - Expected %'!G28</f>
        <v>-2.1624030631366828</v>
      </c>
      <c r="H28" s="11">
        <f>'CEP-%'!H28-'CEP - Expected %'!H28</f>
        <v>1.0785195502212659</v>
      </c>
      <c r="I28" s="11">
        <f>'CEP-%'!I28-'CEP - Expected %'!I28</f>
        <v>1.1248295183838595</v>
      </c>
      <c r="J28" s="11">
        <f>'CEP-%'!J28-'CEP - Expected %'!J28</f>
        <v>-1.0991250166683457</v>
      </c>
      <c r="K28" s="11">
        <f>'CEP-%'!K28-'CEP - Expected %'!K28</f>
        <v>0.9173030348810336</v>
      </c>
      <c r="L28" s="11">
        <f>'CEP-%'!L28-'CEP - Expected %'!L28</f>
        <v>1.0907879795296829</v>
      </c>
      <c r="M28" s="11">
        <f>'CEP-%'!M28-'CEP - Expected %'!M28</f>
        <v>1.8516922533683537</v>
      </c>
    </row>
    <row r="29" spans="1:13">
      <c r="A29" s="5" t="s">
        <v>36</v>
      </c>
      <c r="B29" s="11">
        <f>'CEP-%'!B29-'CEP - Expected %'!B29</f>
        <v>1.3250909396096127</v>
      </c>
      <c r="C29" s="11">
        <f>'CEP-%'!C29-'CEP - Expected %'!C29</f>
        <v>-0.22622349127183128</v>
      </c>
      <c r="D29" s="11">
        <f>'CEP-%'!D29-'CEP - Expected %'!D29</f>
        <v>4.3297637033792782</v>
      </c>
      <c r="E29" s="11">
        <f>'CEP-%'!E29-'CEP - Expected %'!E29</f>
        <v>-0.4263524487846837</v>
      </c>
      <c r="F29" s="11">
        <f>'CEP-%'!F29-'CEP - Expected %'!F29</f>
        <v>-2.4880332118253996</v>
      </c>
      <c r="G29" s="11">
        <f>'CEP-%'!G29-'CEP - Expected %'!G29</f>
        <v>-1.1875126555994786</v>
      </c>
      <c r="H29" s="11">
        <f>'CEP-%'!H29-'CEP - Expected %'!H29</f>
        <v>1.1000236439550726</v>
      </c>
      <c r="I29" s="11">
        <f>'CEP-%'!I29-'CEP - Expected %'!I29</f>
        <v>-0.95098234271790005</v>
      </c>
      <c r="J29" s="11">
        <f>'CEP-%'!J29-'CEP - Expected %'!J29</f>
        <v>-1.8984797450390758</v>
      </c>
      <c r="K29" s="11">
        <f>'CEP-%'!K29-'CEP - Expected %'!K29</f>
        <v>1.4167795415584639</v>
      </c>
      <c r="L29" s="11">
        <f>'CEP-%'!L29-'CEP - Expected %'!L29</f>
        <v>-0.611984806510252</v>
      </c>
      <c r="M29" s="11">
        <f>'CEP-%'!M29-'CEP - Expected %'!M29</f>
        <v>-0.38208912675373874</v>
      </c>
    </row>
  </sheetData>
  <conditionalFormatting sqref="B2:M29">
    <cfRule type="cellIs" dxfId="7" priority="1" operator="greaterThan">
      <formula>4.5</formula>
    </cfRule>
    <cfRule type="cellIs" dxfId="6" priority="2" operator="lessThan">
      <formula>-4.5</formula>
    </cfRule>
    <cfRule type="expression" dxfId="5" priority="3">
      <formula>$B$2&lt;-4.5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3209-8F90-3044-B489-0444C1334ADF}">
  <dimension ref="A1:N29"/>
  <sheetViews>
    <sheetView workbookViewId="0">
      <selection activeCell="A2" sqref="A2"/>
    </sheetView>
  </sheetViews>
  <sheetFormatPr defaultColWidth="11.19921875" defaultRowHeight="15.6"/>
  <cols>
    <col min="1" max="1" width="113.296875" bestFit="1" customWidth="1"/>
    <col min="2" max="2" width="11.796875" bestFit="1" customWidth="1"/>
    <col min="3" max="14" width="7.796875" bestFit="1" customWidth="1"/>
  </cols>
  <sheetData>
    <row r="1" spans="1:14">
      <c r="A1" s="1"/>
      <c r="B1" s="18" t="s">
        <v>61</v>
      </c>
      <c r="C1" s="18" t="s">
        <v>102</v>
      </c>
      <c r="D1" s="18" t="s">
        <v>102</v>
      </c>
      <c r="E1" s="18" t="s">
        <v>102</v>
      </c>
      <c r="F1" s="18" t="s">
        <v>102</v>
      </c>
      <c r="G1" s="18" t="s">
        <v>102</v>
      </c>
      <c r="H1" s="18" t="s">
        <v>102</v>
      </c>
      <c r="I1" s="18" t="s">
        <v>102</v>
      </c>
      <c r="J1" s="18" t="s">
        <v>102</v>
      </c>
      <c r="K1" s="18" t="s">
        <v>102</v>
      </c>
      <c r="L1" s="18" t="s">
        <v>102</v>
      </c>
      <c r="M1" s="18" t="s">
        <v>102</v>
      </c>
      <c r="N1" s="18" t="s">
        <v>102</v>
      </c>
    </row>
    <row r="2" spans="1:14">
      <c r="A2" s="15" t="s">
        <v>73</v>
      </c>
      <c r="B2" s="14">
        <v>0.40600000000000003</v>
      </c>
      <c r="C2" s="13">
        <v>-14.551619653441527</v>
      </c>
      <c r="D2" s="13">
        <v>-1.4803326873573894</v>
      </c>
      <c r="E2" s="13">
        <v>-5.2167807909597741E-3</v>
      </c>
      <c r="F2" s="13">
        <v>0.98668131333749365</v>
      </c>
      <c r="G2" s="13">
        <v>2.2510032981502199</v>
      </c>
      <c r="H2" s="13">
        <v>-0.55689053175872338</v>
      </c>
      <c r="I2" s="13">
        <v>2.0288959941043565</v>
      </c>
      <c r="J2" s="13">
        <v>0.8900874656260811</v>
      </c>
      <c r="K2" s="13">
        <v>4.3466642742520953</v>
      </c>
      <c r="L2" s="13">
        <v>0.9480444283947147</v>
      </c>
      <c r="M2" s="13">
        <v>2.9834949232546162</v>
      </c>
      <c r="N2" s="13">
        <v>2.1591879562291556</v>
      </c>
    </row>
    <row r="3" spans="1:14">
      <c r="A3" s="15" t="s">
        <v>74</v>
      </c>
      <c r="B3" s="14">
        <v>0.29199999999999998</v>
      </c>
      <c r="C3" s="13">
        <v>2.4580628879490263</v>
      </c>
      <c r="D3" s="13">
        <v>-0.23422609841935582</v>
      </c>
      <c r="E3" s="13">
        <v>-1.0502164702371486</v>
      </c>
      <c r="F3" s="13">
        <v>3.5544429621259255E-3</v>
      </c>
      <c r="G3" s="13">
        <v>-0.95074439864106619</v>
      </c>
      <c r="H3" s="13">
        <v>1.4476910119380566</v>
      </c>
      <c r="I3" s="13">
        <v>-0.11296456373272346</v>
      </c>
      <c r="J3" s="13">
        <v>0.17446533965936606</v>
      </c>
      <c r="K3" s="13">
        <v>-1.4439558623058977</v>
      </c>
      <c r="L3" s="13">
        <v>0.12466961342280758</v>
      </c>
      <c r="M3" s="13">
        <v>-0.33468755947579654</v>
      </c>
      <c r="N3" s="13">
        <v>-8.1648343119346656E-2</v>
      </c>
    </row>
    <row r="4" spans="1:14">
      <c r="A4" s="15" t="s">
        <v>75</v>
      </c>
      <c r="B4" s="14">
        <v>0.27800000000000002</v>
      </c>
      <c r="C4" s="13">
        <v>-5.5246845147728081</v>
      </c>
      <c r="D4" s="13">
        <v>0.53185243699380536</v>
      </c>
      <c r="E4" s="13">
        <v>-0.71032112442002138</v>
      </c>
      <c r="F4" s="13">
        <v>0.56935765663646443</v>
      </c>
      <c r="G4" s="13">
        <v>0.93109070850130848</v>
      </c>
      <c r="H4" s="13">
        <v>0.53110753302819447</v>
      </c>
      <c r="I4" s="13">
        <v>0.91708962112140302</v>
      </c>
      <c r="J4" s="13">
        <v>0.15216564597107318</v>
      </c>
      <c r="K4" s="13">
        <v>2.1321588173849069</v>
      </c>
      <c r="L4" s="13">
        <v>0.35338047885861368</v>
      </c>
      <c r="M4" s="13">
        <v>2.7687369022416419E-2</v>
      </c>
      <c r="N4" s="13">
        <v>8.9115371674700405E-2</v>
      </c>
    </row>
    <row r="5" spans="1:14">
      <c r="A5" s="15" t="s">
        <v>76</v>
      </c>
      <c r="B5" s="14">
        <v>0.26900000000000002</v>
      </c>
      <c r="C5" s="13">
        <v>1.8751211593250545</v>
      </c>
      <c r="D5" s="13">
        <v>-2.5657542511611915</v>
      </c>
      <c r="E5" s="13">
        <v>0.82894973839398745</v>
      </c>
      <c r="F5" s="13">
        <v>-1.2600414444615069</v>
      </c>
      <c r="G5" s="13">
        <v>3.0349611640924259</v>
      </c>
      <c r="H5" s="13">
        <v>-0.14187354255164308</v>
      </c>
      <c r="I5" s="13">
        <v>-0.55786274999704499</v>
      </c>
      <c r="J5" s="13">
        <v>0.19197998613939316</v>
      </c>
      <c r="K5" s="13">
        <v>-1.7932152478750893</v>
      </c>
      <c r="L5" s="13">
        <v>0.42514637485575779</v>
      </c>
      <c r="M5" s="13">
        <v>-0.43001237211078003</v>
      </c>
      <c r="N5" s="13">
        <v>0.39260118535072053</v>
      </c>
    </row>
    <row r="6" spans="1:14">
      <c r="A6" s="15" t="s">
        <v>77</v>
      </c>
      <c r="B6" s="14">
        <v>0.25900000000000001</v>
      </c>
      <c r="C6" s="13">
        <v>-5.7866110650504297</v>
      </c>
      <c r="D6" s="13">
        <v>2.2769800863866294</v>
      </c>
      <c r="E6" s="13">
        <v>2.2173624211436191</v>
      </c>
      <c r="F6" s="13">
        <v>1.1286243584545304</v>
      </c>
      <c r="G6" s="13">
        <v>-0.66315750121890638</v>
      </c>
      <c r="H6" s="13">
        <v>-1.8080217473363565</v>
      </c>
      <c r="I6" s="13">
        <v>0.39155374080632477</v>
      </c>
      <c r="J6" s="13">
        <v>1.2654446556631971</v>
      </c>
      <c r="K6" s="13">
        <v>-0.55766241907325309</v>
      </c>
      <c r="L6" s="13">
        <v>1.3118715516711026</v>
      </c>
      <c r="M6" s="13">
        <v>-2.0171279832665867E-2</v>
      </c>
      <c r="N6" s="13">
        <v>0.24378719838626139</v>
      </c>
    </row>
    <row r="7" spans="1:14">
      <c r="A7" s="15" t="s">
        <v>78</v>
      </c>
      <c r="B7" s="14">
        <v>0.187</v>
      </c>
      <c r="C7" s="13">
        <v>-0.4263524487846837</v>
      </c>
      <c r="D7" s="13">
        <v>1.3250909396096127</v>
      </c>
      <c r="E7" s="13">
        <v>-0.22622349127183128</v>
      </c>
      <c r="F7" s="13">
        <v>4.3297637033792782</v>
      </c>
      <c r="G7" s="13">
        <v>-2.4880332118253996</v>
      </c>
      <c r="H7" s="13">
        <v>-1.1875126555994786</v>
      </c>
      <c r="I7" s="13">
        <v>1.1000236439550726</v>
      </c>
      <c r="J7" s="13">
        <v>-0.95098234271790005</v>
      </c>
      <c r="K7" s="13">
        <v>-1.8984797450390758</v>
      </c>
      <c r="L7" s="13">
        <v>1.4167795415584639</v>
      </c>
      <c r="M7" s="13">
        <v>-0.611984806510252</v>
      </c>
      <c r="N7" s="13">
        <v>-0.38208912675373874</v>
      </c>
    </row>
    <row r="8" spans="1:14">
      <c r="A8" s="15" t="s">
        <v>79</v>
      </c>
      <c r="B8" s="14">
        <v>0.126</v>
      </c>
      <c r="C8" s="13">
        <v>-9.5207067112429087</v>
      </c>
      <c r="D8" s="13">
        <v>-0.13108020298410139</v>
      </c>
      <c r="E8" s="13">
        <v>1.6756038243876628</v>
      </c>
      <c r="F8" s="13">
        <v>0.85425684897086818</v>
      </c>
      <c r="G8" s="13">
        <v>4.3203219842894232</v>
      </c>
      <c r="H8" s="13">
        <v>-2.1624030631366828</v>
      </c>
      <c r="I8" s="13">
        <v>1.0785195502212659</v>
      </c>
      <c r="J8" s="13">
        <v>1.1248295183838595</v>
      </c>
      <c r="K8" s="13">
        <v>-1.0991250166683457</v>
      </c>
      <c r="L8" s="13">
        <v>0.9173030348810336</v>
      </c>
      <c r="M8" s="13">
        <v>1.0907879795296829</v>
      </c>
      <c r="N8" s="13">
        <v>1.8516922533683537</v>
      </c>
    </row>
    <row r="9" spans="1:14">
      <c r="A9" s="15" t="s">
        <v>80</v>
      </c>
      <c r="B9" s="14">
        <v>8.5000000000000006E-2</v>
      </c>
      <c r="C9" s="13">
        <v>-0.75764174165120224</v>
      </c>
      <c r="D9" s="13">
        <v>1.7620568389690359</v>
      </c>
      <c r="E9" s="13">
        <v>9.7319945100498018E-2</v>
      </c>
      <c r="F9" s="13">
        <v>0.96169146152971141</v>
      </c>
      <c r="G9" s="13">
        <v>-1.1032035907412876</v>
      </c>
      <c r="H9" s="13">
        <v>0.42008658809486255</v>
      </c>
      <c r="I9" s="13">
        <v>-0.29542842215341381</v>
      </c>
      <c r="J9" s="13">
        <v>-0.49039865395935101</v>
      </c>
      <c r="K9" s="13">
        <v>-0.30431657375182031</v>
      </c>
      <c r="L9" s="13">
        <v>-0.134642005041405</v>
      </c>
      <c r="M9" s="13">
        <v>-0.28582234993831857</v>
      </c>
      <c r="N9" s="13">
        <v>0.13029850354271844</v>
      </c>
    </row>
    <row r="10" spans="1:14">
      <c r="A10" s="15" t="s">
        <v>81</v>
      </c>
      <c r="B10" s="14">
        <v>6.9000000000000006E-2</v>
      </c>
      <c r="C10" s="13">
        <v>-6.9873324787842819</v>
      </c>
      <c r="D10" s="13">
        <v>0.76781446419361288</v>
      </c>
      <c r="E10" s="13">
        <v>1.4699759874360332</v>
      </c>
      <c r="F10" s="13">
        <v>1.3059572921944467</v>
      </c>
      <c r="G10" s="13">
        <v>0.56088243204423982</v>
      </c>
      <c r="H10" s="13">
        <v>-1.1136927543755428</v>
      </c>
      <c r="I10" s="13">
        <v>0.8374086094414066</v>
      </c>
      <c r="J10" s="13">
        <v>0.62693848787471662</v>
      </c>
      <c r="K10" s="13">
        <v>4.9662444846447329E-2</v>
      </c>
      <c r="L10" s="13">
        <v>0.9855169409477762</v>
      </c>
      <c r="M10" s="13">
        <v>0.98412116589915799</v>
      </c>
      <c r="N10" s="13">
        <v>0.51274740828204646</v>
      </c>
    </row>
    <row r="11" spans="1:14">
      <c r="A11" s="15" t="s">
        <v>82</v>
      </c>
      <c r="B11" s="14">
        <v>6.3E-2</v>
      </c>
      <c r="C11" s="13">
        <v>1.2819748187463098</v>
      </c>
      <c r="D11" s="13">
        <v>0.53082543438040553</v>
      </c>
      <c r="E11" s="13">
        <v>-3.2178870101536639E-2</v>
      </c>
      <c r="F11" s="13">
        <v>-0.30978601680993822</v>
      </c>
      <c r="G11" s="13">
        <v>-0.42782672084835749</v>
      </c>
      <c r="H11" s="13">
        <v>0.66640367986156956</v>
      </c>
      <c r="I11" s="13">
        <v>5.7220235575428546E-2</v>
      </c>
      <c r="J11" s="13">
        <v>-0.1146980394814463</v>
      </c>
      <c r="K11" s="13">
        <v>-0.97118142357672799</v>
      </c>
      <c r="L11" s="13">
        <v>-8.7161123071185731E-2</v>
      </c>
      <c r="M11" s="13">
        <v>-0.22254476136923751</v>
      </c>
      <c r="N11" s="13">
        <v>-0.37104721330526935</v>
      </c>
    </row>
    <row r="12" spans="1:14">
      <c r="A12" s="16" t="s">
        <v>83</v>
      </c>
      <c r="B12" s="14">
        <v>0.41099999999999998</v>
      </c>
      <c r="C12" s="13">
        <v>-13.550575839384102</v>
      </c>
      <c r="D12" s="13">
        <v>-4.8410580992047869E-2</v>
      </c>
      <c r="E12" s="13">
        <v>2.1407460637590106</v>
      </c>
      <c r="F12" s="13">
        <v>1.0757942319804688</v>
      </c>
      <c r="G12" s="13">
        <v>11.248676221432367</v>
      </c>
      <c r="H12" s="13">
        <v>-3.5224390749506149</v>
      </c>
      <c r="I12" s="13">
        <v>-0.1626695277956447</v>
      </c>
      <c r="J12" s="13">
        <v>1.3632633838800743</v>
      </c>
      <c r="K12" s="13">
        <v>-1.1723758145332663</v>
      </c>
      <c r="L12" s="13">
        <v>0.32543554150560894</v>
      </c>
      <c r="M12" s="13">
        <v>0.66254833167514082</v>
      </c>
      <c r="N12" s="13">
        <v>1.6400070634230737</v>
      </c>
    </row>
    <row r="13" spans="1:14">
      <c r="A13" s="16" t="s">
        <v>84</v>
      </c>
      <c r="B13" s="14">
        <v>0.33300000000000002</v>
      </c>
      <c r="C13" s="13">
        <v>8.1549894779657706</v>
      </c>
      <c r="D13" s="13">
        <v>-2.646219415314313</v>
      </c>
      <c r="E13" s="13">
        <v>-1.1425796559089818</v>
      </c>
      <c r="F13" s="13">
        <v>-1.3530922966914716E-2</v>
      </c>
      <c r="G13" s="13">
        <v>-8.6641080346492316E-3</v>
      </c>
      <c r="H13" s="13">
        <v>2.742025022166418</v>
      </c>
      <c r="I13" s="13">
        <v>-0.98922592490824979</v>
      </c>
      <c r="J13" s="13">
        <v>-1.373010914257673</v>
      </c>
      <c r="K13" s="13">
        <v>-3.1374079454874817</v>
      </c>
      <c r="L13" s="13">
        <v>-0.24815523020214325</v>
      </c>
      <c r="M13" s="13">
        <v>-0.68090927409852409</v>
      </c>
      <c r="N13" s="13">
        <v>-0.65731110895316558</v>
      </c>
    </row>
    <row r="14" spans="1:14">
      <c r="A14" s="16" t="s">
        <v>85</v>
      </c>
      <c r="B14" s="14">
        <v>0.28899999999999998</v>
      </c>
      <c r="C14" s="13">
        <v>-15.000328215644096</v>
      </c>
      <c r="D14" s="13">
        <v>-0.84920687433682218</v>
      </c>
      <c r="E14" s="13">
        <v>2.1485745056544268</v>
      </c>
      <c r="F14" s="13">
        <v>1.1529445326027794</v>
      </c>
      <c r="G14" s="13">
        <v>5.2841868319229555</v>
      </c>
      <c r="H14" s="13">
        <v>-2.0678337842714232</v>
      </c>
      <c r="I14" s="13">
        <v>1.593545007293848</v>
      </c>
      <c r="J14" s="13">
        <v>2.9551902079160302</v>
      </c>
      <c r="K14" s="13">
        <v>-0.8377822879400636</v>
      </c>
      <c r="L14" s="13">
        <v>1.7762500805003274</v>
      </c>
      <c r="M14" s="13">
        <v>2.0635164484444211</v>
      </c>
      <c r="N14" s="13">
        <v>1.7809435478577207</v>
      </c>
    </row>
    <row r="15" spans="1:14">
      <c r="A15" s="16" t="s">
        <v>86</v>
      </c>
      <c r="B15" s="14">
        <v>0.28599999999999998</v>
      </c>
      <c r="C15" s="13">
        <v>-13.927286285253373</v>
      </c>
      <c r="D15" s="13">
        <v>-1.699212619337132</v>
      </c>
      <c r="E15" s="13">
        <v>2.0283448796446137</v>
      </c>
      <c r="F15" s="13">
        <v>0.20546511918087518</v>
      </c>
      <c r="G15" s="13">
        <v>4.6254349756729596</v>
      </c>
      <c r="H15" s="13">
        <v>-1.9346014547917214</v>
      </c>
      <c r="I15" s="13">
        <v>1.1988317616323005</v>
      </c>
      <c r="J15" s="13">
        <v>2.6876225023598996</v>
      </c>
      <c r="K15" s="13">
        <v>1.8747769172070061</v>
      </c>
      <c r="L15" s="13">
        <v>1.5678012570708209</v>
      </c>
      <c r="M15" s="13">
        <v>1.5625983767929332</v>
      </c>
      <c r="N15" s="13">
        <v>1.8102245698208232</v>
      </c>
    </row>
    <row r="16" spans="1:14">
      <c r="A16" s="16" t="s">
        <v>87</v>
      </c>
      <c r="B16" s="14">
        <v>0.28399999999999997</v>
      </c>
      <c r="C16" s="13">
        <v>7.041713738982601</v>
      </c>
      <c r="D16" s="13">
        <v>-3.1741265596252859</v>
      </c>
      <c r="E16" s="13">
        <v>0.27870692259616092</v>
      </c>
      <c r="F16" s="13">
        <v>-1.084935045846013</v>
      </c>
      <c r="G16" s="13">
        <v>2.136842472615422</v>
      </c>
      <c r="H16" s="13">
        <v>0.78794322480979595</v>
      </c>
      <c r="I16" s="13">
        <v>-2.3822748376084801</v>
      </c>
      <c r="J16" s="13">
        <v>-7.6869837328997548E-2</v>
      </c>
      <c r="K16" s="13">
        <v>-4.2314502804322185</v>
      </c>
      <c r="L16" s="13">
        <v>-9.6185009091424689E-2</v>
      </c>
      <c r="M16" s="13">
        <v>0.4811392768940026</v>
      </c>
      <c r="N16" s="13">
        <v>0.3194959340345136</v>
      </c>
    </row>
    <row r="17" spans="1:14">
      <c r="A17" s="16" t="s">
        <v>88</v>
      </c>
      <c r="B17" s="14">
        <v>0.19700000000000001</v>
      </c>
      <c r="C17" s="13">
        <v>13.820249063833174</v>
      </c>
      <c r="D17" s="13">
        <v>-1.3763298661746788</v>
      </c>
      <c r="E17" s="13">
        <v>-1.3776144371186678</v>
      </c>
      <c r="F17" s="13">
        <v>-0.53210755229266127</v>
      </c>
      <c r="G17" s="13">
        <v>-2.9651119035457381</v>
      </c>
      <c r="H17" s="13">
        <v>1.7266203427434821</v>
      </c>
      <c r="I17" s="13">
        <v>-1.679380675559047</v>
      </c>
      <c r="J17" s="13">
        <v>-1.1196838755127585</v>
      </c>
      <c r="K17" s="13">
        <v>-3.296387295899172</v>
      </c>
      <c r="L17" s="13">
        <v>-0.92570548619889781</v>
      </c>
      <c r="M17" s="13">
        <v>-1.2467656367934592</v>
      </c>
      <c r="N17" s="13">
        <v>-1.0277826774815031</v>
      </c>
    </row>
    <row r="18" spans="1:14">
      <c r="A18" s="16" t="s">
        <v>89</v>
      </c>
      <c r="B18" s="14">
        <v>0.18</v>
      </c>
      <c r="C18" s="13">
        <v>-13.480990688585933</v>
      </c>
      <c r="D18" s="13">
        <v>-1.8654210542273297</v>
      </c>
      <c r="E18" s="13">
        <v>-1.0569524953399725</v>
      </c>
      <c r="F18" s="13">
        <v>0.81882689416323018</v>
      </c>
      <c r="G18" s="13">
        <v>-1.793669876420509</v>
      </c>
      <c r="H18" s="13">
        <v>-2.0984051009191926</v>
      </c>
      <c r="I18" s="13">
        <v>4.1492164804090601</v>
      </c>
      <c r="J18" s="13">
        <v>-0.32292200166995588</v>
      </c>
      <c r="K18" s="13">
        <v>15.09607167902597</v>
      </c>
      <c r="L18" s="13">
        <v>-2.229642297933232E-2</v>
      </c>
      <c r="M18" s="13">
        <v>-4.5997615456924379E-2</v>
      </c>
      <c r="N18" s="13">
        <v>0.62254020200095095</v>
      </c>
    </row>
    <row r="19" spans="1:14">
      <c r="A19" s="16" t="s">
        <v>90</v>
      </c>
      <c r="B19" s="14">
        <v>0.17799999999999999</v>
      </c>
      <c r="C19" s="13">
        <v>16.405455856533116</v>
      </c>
      <c r="D19" s="13">
        <v>-0.25382827489300297</v>
      </c>
      <c r="E19" s="13">
        <v>-3.0644155336303882</v>
      </c>
      <c r="F19" s="13">
        <v>-1.3365735810904056</v>
      </c>
      <c r="G19" s="13">
        <v>-3.3422655304790574</v>
      </c>
      <c r="H19" s="13">
        <v>0.89600744884341665</v>
      </c>
      <c r="I19" s="13">
        <v>-1.2649090770710174</v>
      </c>
      <c r="J19" s="13">
        <v>-1.4503615458037737</v>
      </c>
      <c r="K19" s="13">
        <v>-3.1429550678833982</v>
      </c>
      <c r="L19" s="13">
        <v>-2.2056581891307721</v>
      </c>
      <c r="M19" s="13">
        <v>-0.33360086642388431</v>
      </c>
      <c r="N19" s="13">
        <v>-0.90689563897076919</v>
      </c>
    </row>
    <row r="20" spans="1:14">
      <c r="A20" s="16" t="s">
        <v>91</v>
      </c>
      <c r="B20" s="14">
        <v>0.17699999999999999</v>
      </c>
      <c r="C20" s="13">
        <v>19.989112791085347</v>
      </c>
      <c r="D20" s="13">
        <v>-1.4096346778356406</v>
      </c>
      <c r="E20" s="13">
        <v>-2.6948450454204931</v>
      </c>
      <c r="F20" s="13">
        <v>-1.6510129990729787</v>
      </c>
      <c r="G20" s="13">
        <v>-3.213916369476415</v>
      </c>
      <c r="H20" s="13">
        <v>1.5953569800576073</v>
      </c>
      <c r="I20" s="13">
        <v>-1.8481353573745043</v>
      </c>
      <c r="J20" s="13">
        <v>-2.0493395604579234</v>
      </c>
      <c r="K20" s="13">
        <v>-3.8279952473982206</v>
      </c>
      <c r="L20" s="13">
        <v>-1.724428967740375</v>
      </c>
      <c r="M20" s="13">
        <v>-1.3655913109822433</v>
      </c>
      <c r="N20" s="13">
        <v>-1.7995702353840901</v>
      </c>
    </row>
    <row r="21" spans="1:14">
      <c r="A21" s="16" t="s">
        <v>92</v>
      </c>
      <c r="B21" s="14">
        <v>0.16200000000000001</v>
      </c>
      <c r="C21" s="13">
        <v>4.7507366536022744</v>
      </c>
      <c r="D21" s="13">
        <v>-1.2300441372361917</v>
      </c>
      <c r="E21" s="13">
        <v>-1.5992573004922281</v>
      </c>
      <c r="F21" s="13">
        <v>0.248038302356834</v>
      </c>
      <c r="G21" s="13">
        <v>-8.7130051336060887E-2</v>
      </c>
      <c r="H21" s="13">
        <v>1.2592262202532734</v>
      </c>
      <c r="I21" s="13">
        <v>-0.47978602106185964</v>
      </c>
      <c r="J21" s="13">
        <v>-0.6213521169712779</v>
      </c>
      <c r="K21" s="13">
        <v>-1.3123000145448414</v>
      </c>
      <c r="L21" s="13">
        <v>-5.0215194660657048E-2</v>
      </c>
      <c r="M21" s="13">
        <v>-0.10940603238439994</v>
      </c>
      <c r="N21" s="13">
        <v>-0.76851030752481009</v>
      </c>
    </row>
    <row r="22" spans="1:14">
      <c r="A22" s="16" t="s">
        <v>93</v>
      </c>
      <c r="B22" s="14">
        <v>0.14399999999999999</v>
      </c>
      <c r="C22" s="13">
        <v>-7.8325310992908328</v>
      </c>
      <c r="D22" s="13">
        <v>-2.8504547479262889</v>
      </c>
      <c r="E22" s="13">
        <v>-1.5950053788444176</v>
      </c>
      <c r="F22" s="13">
        <v>-0.71261143836916041</v>
      </c>
      <c r="G22" s="13">
        <v>-2.0343106527873882</v>
      </c>
      <c r="H22" s="13">
        <v>1.1567810742126845</v>
      </c>
      <c r="I22" s="13">
        <v>2.9966276374056733</v>
      </c>
      <c r="J22" s="13">
        <v>-0.7185412337133803</v>
      </c>
      <c r="K22" s="13">
        <v>12.35084463278786</v>
      </c>
      <c r="L22" s="13">
        <v>-1.3741818280653071</v>
      </c>
      <c r="M22" s="13">
        <v>0.13860201591455112</v>
      </c>
      <c r="N22" s="13">
        <v>0.47478101867604483</v>
      </c>
    </row>
    <row r="23" spans="1:14">
      <c r="A23" s="16" t="s">
        <v>94</v>
      </c>
      <c r="B23" s="14">
        <v>0.126</v>
      </c>
      <c r="C23" s="13">
        <v>4.8851611564978512</v>
      </c>
      <c r="D23" s="13">
        <v>-1.5582025439508733</v>
      </c>
      <c r="E23" s="13">
        <v>0.93128695103890102</v>
      </c>
      <c r="F23" s="13">
        <v>-0.75126958292016965</v>
      </c>
      <c r="G23" s="13">
        <v>-2.787725003107985</v>
      </c>
      <c r="H23" s="13">
        <v>2.7908959554450163E-2</v>
      </c>
      <c r="I23" s="13">
        <v>-0.34369345659675865</v>
      </c>
      <c r="J23" s="13">
        <v>1.1327340042625877</v>
      </c>
      <c r="K23" s="13">
        <v>2.138389517953776E-2</v>
      </c>
      <c r="L23" s="13">
        <v>-0.25919387294165475</v>
      </c>
      <c r="M23" s="13">
        <v>-0.86896113877712722</v>
      </c>
      <c r="N23" s="13">
        <v>-0.42942936823868383</v>
      </c>
    </row>
    <row r="24" spans="1:14">
      <c r="A24" s="16" t="s">
        <v>95</v>
      </c>
      <c r="B24" s="14">
        <v>0.122</v>
      </c>
      <c r="C24" s="13">
        <v>14.103926646371058</v>
      </c>
      <c r="D24" s="13">
        <v>-1.5283646837873555</v>
      </c>
      <c r="E24" s="13">
        <v>-2.1598420980211142</v>
      </c>
      <c r="F24" s="13">
        <v>-1.186611575281038</v>
      </c>
      <c r="G24" s="13">
        <v>-2.9192451164472093</v>
      </c>
      <c r="H24" s="13">
        <v>3.7952750749638362</v>
      </c>
      <c r="I24" s="13">
        <v>-2.1152083682004523</v>
      </c>
      <c r="J24" s="13">
        <v>-1.2446732007363908</v>
      </c>
      <c r="K24" s="13">
        <v>-3.3683527051428692</v>
      </c>
      <c r="L24" s="13">
        <v>-0.91902669850287477</v>
      </c>
      <c r="M24" s="13">
        <v>-0.80641782436953413</v>
      </c>
      <c r="N24" s="13">
        <v>-1.6514594508460005</v>
      </c>
    </row>
    <row r="25" spans="1:14">
      <c r="A25" s="16" t="s">
        <v>96</v>
      </c>
      <c r="B25" s="14">
        <v>9.5000000000000001E-2</v>
      </c>
      <c r="C25" s="13">
        <v>7.8629953002201916</v>
      </c>
      <c r="D25" s="13">
        <v>3.1078521839717688</v>
      </c>
      <c r="E25" s="13">
        <v>0.74264717642476086</v>
      </c>
      <c r="F25" s="13">
        <v>-1.771600767713883</v>
      </c>
      <c r="G25" s="13">
        <v>-2.3430312361536512</v>
      </c>
      <c r="H25" s="13">
        <v>1.2052660638335801</v>
      </c>
      <c r="I25" s="13">
        <v>-1.7856680869502259</v>
      </c>
      <c r="J25" s="13">
        <v>-0.21021010020437991</v>
      </c>
      <c r="K25" s="13">
        <v>-3.6990377345290444</v>
      </c>
      <c r="L25" s="13">
        <v>-0.67500237371702543</v>
      </c>
      <c r="M25" s="13">
        <v>-0.93888153724367518</v>
      </c>
      <c r="N25" s="13">
        <v>-1.4953288879383448</v>
      </c>
    </row>
    <row r="26" spans="1:14">
      <c r="A26" s="16" t="s">
        <v>97</v>
      </c>
      <c r="B26" s="14">
        <v>8.1000000000000003E-2</v>
      </c>
      <c r="C26" s="13">
        <v>7.5270019101921761</v>
      </c>
      <c r="D26" s="13">
        <v>-1.2285486055642956</v>
      </c>
      <c r="E26" s="13">
        <v>-0.24041019138519992</v>
      </c>
      <c r="F26" s="13">
        <v>-0.66140113050746407</v>
      </c>
      <c r="G26" s="13">
        <v>-1.7310390705482366</v>
      </c>
      <c r="H26" s="13">
        <v>0.26850885205933039</v>
      </c>
      <c r="I26" s="13">
        <v>-0.38082990380419446</v>
      </c>
      <c r="J26" s="13">
        <v>-0.41296789004373302</v>
      </c>
      <c r="K26" s="13">
        <v>-2.6308078346954868</v>
      </c>
      <c r="L26" s="13">
        <v>-0.49324253539994345</v>
      </c>
      <c r="M26" s="13">
        <v>-2.1650457959760505E-2</v>
      </c>
      <c r="N26" s="13">
        <v>5.3868576568856241E-3</v>
      </c>
    </row>
    <row r="27" spans="1:14">
      <c r="A27" s="16" t="s">
        <v>98</v>
      </c>
      <c r="B27" s="14">
        <v>7.8E-2</v>
      </c>
      <c r="C27" s="13">
        <v>-5.589137923212963</v>
      </c>
      <c r="D27" s="13">
        <v>9.3373147891548989</v>
      </c>
      <c r="E27" s="13">
        <v>1.7503329827024334</v>
      </c>
      <c r="F27" s="13">
        <v>-0.62205613707488627</v>
      </c>
      <c r="G27" s="13">
        <v>-2.1615167010085612</v>
      </c>
      <c r="H27" s="13">
        <v>-2.6436551794898007</v>
      </c>
      <c r="I27" s="13">
        <v>-0.9809510312398162</v>
      </c>
      <c r="J27" s="13">
        <v>-0.6026641036519047</v>
      </c>
      <c r="K27" s="13">
        <v>3.6442762544141916</v>
      </c>
      <c r="L27" s="13">
        <v>-0.23641992645418375</v>
      </c>
      <c r="M27" s="13">
        <v>-0.78552290017949833</v>
      </c>
      <c r="N27" s="13">
        <v>-1.110000123959868</v>
      </c>
    </row>
    <row r="28" spans="1:14">
      <c r="A28" s="16" t="s">
        <v>99</v>
      </c>
      <c r="B28" s="14">
        <v>4.5999999999999999E-2</v>
      </c>
      <c r="C28" s="13">
        <v>-4.7737043895955935</v>
      </c>
      <c r="D28" s="13">
        <v>5.070985668374778</v>
      </c>
      <c r="E28" s="13">
        <v>1.7497867743061359</v>
      </c>
      <c r="F28" s="13">
        <v>-0.25939992760612629</v>
      </c>
      <c r="G28" s="13">
        <v>-1.0046636711987658</v>
      </c>
      <c r="H28" s="13">
        <v>-1.9274484142965158</v>
      </c>
      <c r="I28" s="13">
        <v>0.53351804553160598</v>
      </c>
      <c r="J28" s="13">
        <v>-0.58073072936711578</v>
      </c>
      <c r="K28" s="13">
        <v>2.0374031081089359</v>
      </c>
      <c r="L28" s="13">
        <v>0.2500620535257414</v>
      </c>
      <c r="M28" s="13">
        <v>-0.2223231708372071</v>
      </c>
      <c r="N28" s="13">
        <v>-0.87348534694584856</v>
      </c>
    </row>
    <row r="29" spans="1:14">
      <c r="A29" s="16" t="s">
        <v>100</v>
      </c>
      <c r="B29" s="14">
        <v>3.5999999999999997E-2</v>
      </c>
      <c r="C29" s="13">
        <v>7.5530015933913077</v>
      </c>
      <c r="D29" s="13">
        <v>1.418625039089072</v>
      </c>
      <c r="E29" s="13">
        <v>-1.1045592996051443</v>
      </c>
      <c r="F29" s="13">
        <v>-1.4880180357358279</v>
      </c>
      <c r="G29" s="13">
        <v>-2.3681453749019008</v>
      </c>
      <c r="H29" s="13">
        <v>2.6385692270572312</v>
      </c>
      <c r="I29" s="13">
        <v>-1.5034623234442659</v>
      </c>
      <c r="J29" s="13">
        <v>-0.22531505185823253</v>
      </c>
      <c r="K29" s="13">
        <v>-2.828453506430586</v>
      </c>
      <c r="L29" s="13">
        <v>-0.95074603399555135</v>
      </c>
      <c r="M29" s="13">
        <v>-0.66324499268358572</v>
      </c>
      <c r="N29" s="13">
        <v>-0.47825124088244575</v>
      </c>
    </row>
  </sheetData>
  <sortState xmlns:xlrd2="http://schemas.microsoft.com/office/spreadsheetml/2017/richdata2" ref="A12:N29">
    <sortCondition descending="1" ref="B12:B29"/>
  </sortState>
  <conditionalFormatting sqref="C2:N29">
    <cfRule type="cellIs" dxfId="4" priority="4" operator="greaterThan">
      <formula>4.5</formula>
    </cfRule>
    <cfRule type="cellIs" dxfId="3" priority="5" operator="lessThan">
      <formula>-4.5</formula>
    </cfRule>
    <cfRule type="expression" dxfId="2" priority="6">
      <formula>$D$12&lt;-4.5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B218-C3A0-B343-912A-135537A23819}">
  <dimension ref="A1:E60"/>
  <sheetViews>
    <sheetView zoomScale="81" workbookViewId="0">
      <selection activeCell="C33" sqref="C33"/>
    </sheetView>
  </sheetViews>
  <sheetFormatPr defaultColWidth="11.19921875" defaultRowHeight="15.6"/>
  <cols>
    <col min="1" max="1" width="127.796875" bestFit="1" customWidth="1"/>
    <col min="2" max="2" width="13.69921875" bestFit="1" customWidth="1"/>
    <col min="4" max="4" width="11.19921875" bestFit="1" customWidth="1"/>
    <col min="5" max="5" width="20.69921875" bestFit="1" customWidth="1"/>
  </cols>
  <sheetData>
    <row r="1" spans="1:5">
      <c r="A1" s="1" t="s">
        <v>70</v>
      </c>
      <c r="B1" s="5" t="s">
        <v>61</v>
      </c>
      <c r="C1" s="5" t="s">
        <v>102</v>
      </c>
      <c r="D1" s="17" t="s">
        <v>62</v>
      </c>
      <c r="E1" s="17" t="s">
        <v>72</v>
      </c>
    </row>
    <row r="2" spans="1:5">
      <c r="A2" s="16" t="s">
        <v>43</v>
      </c>
      <c r="B2" s="14">
        <v>0.41099999999999998</v>
      </c>
      <c r="C2" s="13">
        <v>-13.550575839384102</v>
      </c>
      <c r="D2" s="1" t="s">
        <v>63</v>
      </c>
      <c r="E2" s="1" t="s">
        <v>66</v>
      </c>
    </row>
    <row r="3" spans="1:5">
      <c r="A3" s="15" t="s">
        <v>42</v>
      </c>
      <c r="B3" s="14">
        <v>0.40600000000000003</v>
      </c>
      <c r="C3" s="13">
        <v>-14.551619653441527</v>
      </c>
      <c r="D3" s="1" t="s">
        <v>63</v>
      </c>
      <c r="E3" s="1" t="s">
        <v>66</v>
      </c>
    </row>
    <row r="4" spans="1:5">
      <c r="A4" s="16" t="s">
        <v>44</v>
      </c>
      <c r="B4" s="14">
        <v>0.33300000000000002</v>
      </c>
      <c r="C4" s="13">
        <v>8.1549894779657706</v>
      </c>
      <c r="D4" s="1" t="s">
        <v>63</v>
      </c>
      <c r="E4" s="1" t="s">
        <v>67</v>
      </c>
    </row>
    <row r="5" spans="1:5">
      <c r="A5" s="15" t="s">
        <v>51</v>
      </c>
      <c r="B5" s="14">
        <v>0.29199999999999998</v>
      </c>
      <c r="C5" s="13">
        <v>2.4580628879490263</v>
      </c>
      <c r="D5" s="1" t="s">
        <v>63</v>
      </c>
      <c r="E5" s="1" t="s">
        <v>68</v>
      </c>
    </row>
    <row r="6" spans="1:5">
      <c r="A6" s="16" t="s">
        <v>37</v>
      </c>
      <c r="B6" s="14">
        <v>0.28899999999999998</v>
      </c>
      <c r="C6" s="13">
        <v>-15.000328215644096</v>
      </c>
      <c r="D6" s="1" t="s">
        <v>63</v>
      </c>
      <c r="E6" s="1" t="s">
        <v>66</v>
      </c>
    </row>
    <row r="7" spans="1:5">
      <c r="A7" s="16" t="s">
        <v>34</v>
      </c>
      <c r="B7" s="14">
        <v>0.28599999999999998</v>
      </c>
      <c r="C7" s="13">
        <v>-13.927286285253373</v>
      </c>
      <c r="D7" s="1" t="s">
        <v>63</v>
      </c>
      <c r="E7" s="1" t="s">
        <v>66</v>
      </c>
    </row>
    <row r="8" spans="1:5">
      <c r="A8" s="16" t="s">
        <v>32</v>
      </c>
      <c r="B8" s="14">
        <v>0.28399999999999997</v>
      </c>
      <c r="C8" s="13">
        <v>7.041713738982601</v>
      </c>
      <c r="D8" s="1" t="s">
        <v>63</v>
      </c>
      <c r="E8" s="1" t="s">
        <v>67</v>
      </c>
    </row>
    <row r="9" spans="1:5">
      <c r="A9" s="15" t="s">
        <v>47</v>
      </c>
      <c r="B9" s="14">
        <v>0.27800000000000002</v>
      </c>
      <c r="C9" s="13">
        <v>-5.5246845147728081</v>
      </c>
      <c r="D9" s="1" t="s">
        <v>63</v>
      </c>
      <c r="E9" s="1" t="s">
        <v>66</v>
      </c>
    </row>
    <row r="10" spans="1:5">
      <c r="A10" s="15" t="s">
        <v>58</v>
      </c>
      <c r="B10" s="14">
        <v>0.26900000000000002</v>
      </c>
      <c r="C10" s="13">
        <v>1.8751211593250545</v>
      </c>
      <c r="D10" s="1" t="s">
        <v>63</v>
      </c>
      <c r="E10" s="1" t="s">
        <v>68</v>
      </c>
    </row>
    <row r="11" spans="1:5">
      <c r="A11" s="15" t="s">
        <v>38</v>
      </c>
      <c r="B11" s="14">
        <v>0.25900000000000001</v>
      </c>
      <c r="C11" s="13">
        <v>-5.7866110650504297</v>
      </c>
      <c r="D11" s="1" t="s">
        <v>63</v>
      </c>
      <c r="E11" s="1" t="s">
        <v>66</v>
      </c>
    </row>
    <row r="12" spans="1:5">
      <c r="A12" s="16" t="s">
        <v>55</v>
      </c>
      <c r="B12" s="14">
        <v>0.19700000000000001</v>
      </c>
      <c r="C12" s="13">
        <v>13.820249063833174</v>
      </c>
      <c r="D12" s="1" t="s">
        <v>64</v>
      </c>
      <c r="E12" s="1" t="s">
        <v>67</v>
      </c>
    </row>
    <row r="13" spans="1:5">
      <c r="A13" s="15" t="s">
        <v>36</v>
      </c>
      <c r="B13" s="14">
        <v>0.187</v>
      </c>
      <c r="C13" s="13">
        <v>-0.4263524487846837</v>
      </c>
      <c r="D13" s="1" t="s">
        <v>64</v>
      </c>
      <c r="E13" s="1" t="s">
        <v>69</v>
      </c>
    </row>
    <row r="14" spans="1:5">
      <c r="A14" s="16" t="s">
        <v>46</v>
      </c>
      <c r="B14" s="14">
        <v>0.18</v>
      </c>
      <c r="C14" s="13">
        <v>-13.480990688585933</v>
      </c>
      <c r="D14" s="1" t="s">
        <v>64</v>
      </c>
      <c r="E14" s="1" t="s">
        <v>66</v>
      </c>
    </row>
    <row r="15" spans="1:5">
      <c r="A15" s="16" t="s">
        <v>31</v>
      </c>
      <c r="B15" s="14">
        <v>0.17799999999999999</v>
      </c>
      <c r="C15" s="13">
        <v>16.405455856533116</v>
      </c>
      <c r="D15" s="1" t="s">
        <v>64</v>
      </c>
      <c r="E15" s="1" t="s">
        <v>67</v>
      </c>
    </row>
    <row r="16" spans="1:5">
      <c r="A16" s="16" t="s">
        <v>41</v>
      </c>
      <c r="B16" s="14">
        <v>0.17699999999999999</v>
      </c>
      <c r="C16" s="13">
        <v>19.989112791085347</v>
      </c>
      <c r="D16" s="1" t="s">
        <v>64</v>
      </c>
      <c r="E16" s="1" t="s">
        <v>67</v>
      </c>
    </row>
    <row r="17" spans="1:5">
      <c r="A17" s="16" t="s">
        <v>52</v>
      </c>
      <c r="B17" s="14">
        <v>0.16200000000000001</v>
      </c>
      <c r="C17" s="13">
        <v>4.7507366536022744</v>
      </c>
      <c r="D17" s="1" t="s">
        <v>64</v>
      </c>
      <c r="E17" s="1" t="s">
        <v>67</v>
      </c>
    </row>
    <row r="18" spans="1:5">
      <c r="A18" s="16" t="s">
        <v>33</v>
      </c>
      <c r="B18" s="14">
        <v>0.14399999999999999</v>
      </c>
      <c r="C18" s="13">
        <v>-7.8325310992908328</v>
      </c>
      <c r="D18" s="1" t="s">
        <v>64</v>
      </c>
      <c r="E18" s="1" t="s">
        <v>66</v>
      </c>
    </row>
    <row r="19" spans="1:5">
      <c r="A19" s="15" t="s">
        <v>35</v>
      </c>
      <c r="B19" s="14">
        <v>0.126</v>
      </c>
      <c r="C19" s="13">
        <v>-9.5207067112429087</v>
      </c>
      <c r="D19" s="1" t="s">
        <v>64</v>
      </c>
      <c r="E19" s="1" t="s">
        <v>66</v>
      </c>
    </row>
    <row r="20" spans="1:5">
      <c r="A20" s="16" t="s">
        <v>54</v>
      </c>
      <c r="B20" s="14">
        <v>0.126</v>
      </c>
      <c r="C20" s="13">
        <v>4.8851611564978512</v>
      </c>
      <c r="D20" s="1" t="s">
        <v>64</v>
      </c>
      <c r="E20" s="1" t="s">
        <v>67</v>
      </c>
    </row>
    <row r="21" spans="1:5">
      <c r="A21" s="16" t="s">
        <v>45</v>
      </c>
      <c r="B21" s="14">
        <v>0.122</v>
      </c>
      <c r="C21" s="13">
        <v>14.103926646371058</v>
      </c>
      <c r="D21" s="1" t="s">
        <v>64</v>
      </c>
      <c r="E21" s="1" t="s">
        <v>67</v>
      </c>
    </row>
    <row r="22" spans="1:5">
      <c r="A22" s="16" t="s">
        <v>56</v>
      </c>
      <c r="B22" s="14">
        <v>9.5000000000000001E-2</v>
      </c>
      <c r="C22" s="13">
        <v>7.8629953002201916</v>
      </c>
      <c r="D22" s="1" t="s">
        <v>64</v>
      </c>
      <c r="E22" s="1" t="s">
        <v>67</v>
      </c>
    </row>
    <row r="23" spans="1:5">
      <c r="A23" s="15" t="s">
        <v>57</v>
      </c>
      <c r="B23" s="14">
        <v>8.5000000000000006E-2</v>
      </c>
      <c r="C23" s="13">
        <v>-0.75764174165120224</v>
      </c>
      <c r="D23" s="1" t="s">
        <v>65</v>
      </c>
      <c r="E23" s="1" t="s">
        <v>69</v>
      </c>
    </row>
    <row r="24" spans="1:5">
      <c r="A24" s="16" t="s">
        <v>39</v>
      </c>
      <c r="B24" s="14">
        <v>8.1000000000000003E-2</v>
      </c>
      <c r="C24" s="13">
        <v>7.5270019101921761</v>
      </c>
      <c r="D24" s="1" t="s">
        <v>65</v>
      </c>
      <c r="E24" s="1" t="s">
        <v>67</v>
      </c>
    </row>
    <row r="25" spans="1:5">
      <c r="A25" s="16" t="s">
        <v>49</v>
      </c>
      <c r="B25" s="14">
        <v>7.8E-2</v>
      </c>
      <c r="C25" s="13">
        <v>-5.589137923212963</v>
      </c>
      <c r="D25" s="1" t="s">
        <v>65</v>
      </c>
      <c r="E25" s="1" t="s">
        <v>69</v>
      </c>
    </row>
    <row r="26" spans="1:5">
      <c r="A26" s="15" t="s">
        <v>50</v>
      </c>
      <c r="B26" s="14">
        <v>6.9000000000000006E-2</v>
      </c>
      <c r="C26" s="13">
        <v>-6.9873324787842819</v>
      </c>
      <c r="D26" s="1" t="s">
        <v>65</v>
      </c>
      <c r="E26" s="1" t="s">
        <v>69</v>
      </c>
    </row>
    <row r="27" spans="1:5">
      <c r="A27" s="15" t="s">
        <v>40</v>
      </c>
      <c r="B27" s="14">
        <v>6.3E-2</v>
      </c>
      <c r="C27" s="13">
        <v>1.2819748187463098</v>
      </c>
      <c r="D27" s="1" t="s">
        <v>65</v>
      </c>
      <c r="E27" s="1" t="s">
        <v>69</v>
      </c>
    </row>
    <row r="28" spans="1:5">
      <c r="A28" s="16" t="s">
        <v>53</v>
      </c>
      <c r="B28" s="14">
        <v>4.5999999999999999E-2</v>
      </c>
      <c r="C28" s="13">
        <v>-4.7737043895955935</v>
      </c>
      <c r="D28" s="1" t="s">
        <v>65</v>
      </c>
      <c r="E28" s="1" t="s">
        <v>69</v>
      </c>
    </row>
    <row r="29" spans="1:5">
      <c r="A29" s="16" t="s">
        <v>48</v>
      </c>
      <c r="B29" s="14">
        <v>3.5999999999999997E-2</v>
      </c>
      <c r="C29" s="13">
        <v>7.5530015933913077</v>
      </c>
      <c r="D29" s="1" t="s">
        <v>65</v>
      </c>
      <c r="E29" s="1" t="s">
        <v>67</v>
      </c>
    </row>
    <row r="32" spans="1:5">
      <c r="A32" s="1" t="s">
        <v>71</v>
      </c>
      <c r="B32" s="5" t="s">
        <v>61</v>
      </c>
      <c r="C32" s="5" t="s">
        <v>102</v>
      </c>
      <c r="D32" s="17" t="s">
        <v>62</v>
      </c>
      <c r="E32" s="17" t="s">
        <v>72</v>
      </c>
    </row>
    <row r="33" spans="1:5">
      <c r="A33" s="16" t="s">
        <v>43</v>
      </c>
      <c r="B33" s="14">
        <v>0.41099999999999998</v>
      </c>
      <c r="C33" s="13">
        <v>-13.550575839384102</v>
      </c>
      <c r="D33" s="1" t="s">
        <v>63</v>
      </c>
      <c r="E33" t="s">
        <v>66</v>
      </c>
    </row>
    <row r="34" spans="1:5">
      <c r="A34" s="15" t="s">
        <v>42</v>
      </c>
      <c r="B34" s="14">
        <v>0.40600000000000003</v>
      </c>
      <c r="C34" s="13">
        <v>-14.551619653441527</v>
      </c>
      <c r="D34" s="1" t="s">
        <v>63</v>
      </c>
      <c r="E34" t="s">
        <v>66</v>
      </c>
    </row>
    <row r="35" spans="1:5">
      <c r="A35" s="16" t="s">
        <v>37</v>
      </c>
      <c r="B35" s="14">
        <v>0.28899999999999998</v>
      </c>
      <c r="C35" s="13">
        <v>-15.000328215644096</v>
      </c>
      <c r="D35" s="1" t="s">
        <v>63</v>
      </c>
      <c r="E35" t="s">
        <v>66</v>
      </c>
    </row>
    <row r="36" spans="1:5">
      <c r="A36" s="16" t="s">
        <v>34</v>
      </c>
      <c r="B36" s="14">
        <v>0.28599999999999998</v>
      </c>
      <c r="C36" s="13">
        <v>-13.927286285253373</v>
      </c>
      <c r="D36" s="1" t="s">
        <v>63</v>
      </c>
      <c r="E36" t="s">
        <v>66</v>
      </c>
    </row>
    <row r="37" spans="1:5">
      <c r="A37" s="15" t="s">
        <v>47</v>
      </c>
      <c r="B37" s="14">
        <v>0.27800000000000002</v>
      </c>
      <c r="C37" s="13">
        <v>-5.5246845147728081</v>
      </c>
      <c r="D37" s="1" t="s">
        <v>63</v>
      </c>
      <c r="E37" t="s">
        <v>66</v>
      </c>
    </row>
    <row r="38" spans="1:5">
      <c r="A38" s="15" t="s">
        <v>38</v>
      </c>
      <c r="B38" s="14">
        <v>0.25900000000000001</v>
      </c>
      <c r="C38" s="13">
        <v>-5.7866110650504297</v>
      </c>
      <c r="D38" s="1" t="s">
        <v>63</v>
      </c>
      <c r="E38" t="s">
        <v>66</v>
      </c>
    </row>
    <row r="39" spans="1:5">
      <c r="A39" s="16" t="s">
        <v>46</v>
      </c>
      <c r="B39" s="14">
        <v>0.18</v>
      </c>
      <c r="C39" s="13">
        <v>-13.480990688585933</v>
      </c>
      <c r="D39" s="1" t="s">
        <v>64</v>
      </c>
      <c r="E39" t="s">
        <v>66</v>
      </c>
    </row>
    <row r="40" spans="1:5">
      <c r="A40" s="16" t="s">
        <v>33</v>
      </c>
      <c r="B40" s="14">
        <v>0.14399999999999999</v>
      </c>
      <c r="C40" s="13">
        <v>-7.8325310992908328</v>
      </c>
      <c r="D40" s="1" t="s">
        <v>64</v>
      </c>
      <c r="E40" t="s">
        <v>66</v>
      </c>
    </row>
    <row r="41" spans="1:5">
      <c r="A41" s="15" t="s">
        <v>35</v>
      </c>
      <c r="B41" s="14">
        <v>0.126</v>
      </c>
      <c r="C41" s="13">
        <v>-9.5207067112429087</v>
      </c>
      <c r="D41" s="1" t="s">
        <v>64</v>
      </c>
      <c r="E41" t="s">
        <v>66</v>
      </c>
    </row>
    <row r="42" spans="1:5">
      <c r="A42" s="15" t="s">
        <v>51</v>
      </c>
      <c r="B42" s="14">
        <v>0.29199999999999998</v>
      </c>
      <c r="C42" s="13">
        <v>2.4580628879490263</v>
      </c>
      <c r="D42" s="1" t="s">
        <v>63</v>
      </c>
      <c r="E42" t="s">
        <v>68</v>
      </c>
    </row>
    <row r="43" spans="1:5">
      <c r="A43" s="15" t="s">
        <v>58</v>
      </c>
      <c r="B43" s="14">
        <v>0.26900000000000002</v>
      </c>
      <c r="C43" s="13">
        <v>1.8751211593250545</v>
      </c>
      <c r="D43" s="1" t="s">
        <v>63</v>
      </c>
      <c r="E43" t="s">
        <v>68</v>
      </c>
    </row>
    <row r="44" spans="1:5">
      <c r="A44" s="16" t="s">
        <v>44</v>
      </c>
      <c r="B44" s="14">
        <v>0.33300000000000002</v>
      </c>
      <c r="C44" s="13">
        <v>8.1549894779657706</v>
      </c>
      <c r="D44" s="1" t="s">
        <v>63</v>
      </c>
      <c r="E44" t="s">
        <v>67</v>
      </c>
    </row>
    <row r="45" spans="1:5">
      <c r="A45" s="16" t="s">
        <v>32</v>
      </c>
      <c r="B45" s="14">
        <v>0.28399999999999997</v>
      </c>
      <c r="C45" s="13">
        <v>7.041713738982601</v>
      </c>
      <c r="D45" s="1" t="s">
        <v>63</v>
      </c>
      <c r="E45" t="s">
        <v>67</v>
      </c>
    </row>
    <row r="46" spans="1:5">
      <c r="A46" s="16" t="s">
        <v>55</v>
      </c>
      <c r="B46" s="14">
        <v>0.19700000000000001</v>
      </c>
      <c r="C46" s="13">
        <v>13.820249063833174</v>
      </c>
      <c r="D46" s="1" t="s">
        <v>64</v>
      </c>
      <c r="E46" t="s">
        <v>67</v>
      </c>
    </row>
    <row r="47" spans="1:5">
      <c r="A47" s="16" t="s">
        <v>31</v>
      </c>
      <c r="B47" s="14">
        <v>0.17799999999999999</v>
      </c>
      <c r="C47" s="13">
        <v>16.405455856533116</v>
      </c>
      <c r="D47" s="1" t="s">
        <v>64</v>
      </c>
      <c r="E47" t="s">
        <v>67</v>
      </c>
    </row>
    <row r="48" spans="1:5">
      <c r="A48" s="16" t="s">
        <v>41</v>
      </c>
      <c r="B48" s="14">
        <v>0.17699999999999999</v>
      </c>
      <c r="C48" s="13">
        <v>19.989112791085347</v>
      </c>
      <c r="D48" s="1" t="s">
        <v>64</v>
      </c>
      <c r="E48" t="s">
        <v>67</v>
      </c>
    </row>
    <row r="49" spans="1:5">
      <c r="A49" s="16" t="s">
        <v>52</v>
      </c>
      <c r="B49" s="14">
        <v>0.16200000000000001</v>
      </c>
      <c r="C49" s="13">
        <v>4.7507366536022744</v>
      </c>
      <c r="D49" s="1" t="s">
        <v>64</v>
      </c>
      <c r="E49" t="s">
        <v>67</v>
      </c>
    </row>
    <row r="50" spans="1:5">
      <c r="A50" s="16" t="s">
        <v>54</v>
      </c>
      <c r="B50" s="14">
        <v>0.126</v>
      </c>
      <c r="C50" s="13">
        <v>4.8851611564978512</v>
      </c>
      <c r="D50" s="1" t="s">
        <v>64</v>
      </c>
      <c r="E50" t="s">
        <v>67</v>
      </c>
    </row>
    <row r="51" spans="1:5">
      <c r="A51" s="16" t="s">
        <v>45</v>
      </c>
      <c r="B51" s="14">
        <v>0.122</v>
      </c>
      <c r="C51" s="13">
        <v>14.103926646371058</v>
      </c>
      <c r="D51" s="1" t="s">
        <v>64</v>
      </c>
      <c r="E51" t="s">
        <v>67</v>
      </c>
    </row>
    <row r="52" spans="1:5">
      <c r="A52" s="16" t="s">
        <v>56</v>
      </c>
      <c r="B52" s="14">
        <v>9.5000000000000001E-2</v>
      </c>
      <c r="C52" s="13">
        <v>7.8629953002201916</v>
      </c>
      <c r="D52" s="1" t="s">
        <v>64</v>
      </c>
      <c r="E52" t="s">
        <v>67</v>
      </c>
    </row>
    <row r="53" spans="1:5">
      <c r="A53" s="16" t="s">
        <v>39</v>
      </c>
      <c r="B53" s="14">
        <v>8.1000000000000003E-2</v>
      </c>
      <c r="C53" s="13">
        <v>7.5270019101921761</v>
      </c>
      <c r="D53" s="1" t="s">
        <v>65</v>
      </c>
      <c r="E53" t="s">
        <v>67</v>
      </c>
    </row>
    <row r="54" spans="1:5">
      <c r="A54" s="16" t="s">
        <v>48</v>
      </c>
      <c r="B54" s="14">
        <v>3.5999999999999997E-2</v>
      </c>
      <c r="C54" s="13">
        <v>7.5530015933913077</v>
      </c>
      <c r="D54" s="1" t="s">
        <v>65</v>
      </c>
      <c r="E54" t="s">
        <v>67</v>
      </c>
    </row>
    <row r="55" spans="1:5">
      <c r="A55" s="15" t="s">
        <v>36</v>
      </c>
      <c r="B55" s="14">
        <v>0.187</v>
      </c>
      <c r="C55" s="13">
        <v>-0.4263524487846837</v>
      </c>
      <c r="D55" s="1" t="s">
        <v>64</v>
      </c>
      <c r="E55" t="s">
        <v>69</v>
      </c>
    </row>
    <row r="56" spans="1:5">
      <c r="A56" s="15" t="s">
        <v>57</v>
      </c>
      <c r="B56" s="14">
        <v>8.5000000000000006E-2</v>
      </c>
      <c r="C56" s="13">
        <v>-0.75764174165120224</v>
      </c>
      <c r="D56" s="1" t="s">
        <v>65</v>
      </c>
      <c r="E56" t="s">
        <v>69</v>
      </c>
    </row>
    <row r="57" spans="1:5">
      <c r="A57" s="16" t="s">
        <v>49</v>
      </c>
      <c r="B57" s="14">
        <v>7.8E-2</v>
      </c>
      <c r="C57" s="13">
        <v>-5.589137923212963</v>
      </c>
      <c r="D57" s="1" t="s">
        <v>65</v>
      </c>
      <c r="E57" t="s">
        <v>69</v>
      </c>
    </row>
    <row r="58" spans="1:5">
      <c r="A58" s="15" t="s">
        <v>50</v>
      </c>
      <c r="B58" s="14">
        <v>6.9000000000000006E-2</v>
      </c>
      <c r="C58" s="13">
        <v>-6.9873324787842819</v>
      </c>
      <c r="D58" s="1" t="s">
        <v>65</v>
      </c>
      <c r="E58" t="s">
        <v>69</v>
      </c>
    </row>
    <row r="59" spans="1:5">
      <c r="A59" s="15" t="s">
        <v>40</v>
      </c>
      <c r="B59" s="14">
        <v>6.3E-2</v>
      </c>
      <c r="C59" s="13">
        <v>1.2819748187463098</v>
      </c>
      <c r="D59" s="1" t="s">
        <v>65</v>
      </c>
      <c r="E59" t="s">
        <v>69</v>
      </c>
    </row>
    <row r="60" spans="1:5">
      <c r="A60" s="16" t="s">
        <v>53</v>
      </c>
      <c r="B60" s="14">
        <v>4.5999999999999999E-2</v>
      </c>
      <c r="C60" s="13">
        <v>-4.7737043895955935</v>
      </c>
      <c r="D60" s="1" t="s">
        <v>65</v>
      </c>
      <c r="E60" t="s">
        <v>69</v>
      </c>
    </row>
  </sheetData>
  <sortState xmlns:xlrd2="http://schemas.microsoft.com/office/spreadsheetml/2017/richdata2" ref="A33:E54">
    <sortCondition ref="E42:E54"/>
    <sortCondition descending="1" ref="B42:B54"/>
  </sortState>
  <phoneticPr fontId="5" type="noConversion"/>
  <conditionalFormatting sqref="C2:C29 C33:C60">
    <cfRule type="cellIs" dxfId="1" priority="5" operator="lessThan">
      <formula>-4.5</formula>
    </cfRule>
    <cfRule type="cellIs" dxfId="0" priority="6" operator="greaterThan">
      <formula>4.5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9BA9-B06B-754A-8894-268D033506B4}">
  <dimension ref="A1:Q31"/>
  <sheetViews>
    <sheetView workbookViewId="0"/>
  </sheetViews>
  <sheetFormatPr defaultColWidth="11.19921875" defaultRowHeight="15.6"/>
  <cols>
    <col min="1" max="1" width="120.59765625" bestFit="1" customWidth="1"/>
    <col min="2" max="13" width="7.796875" bestFit="1" customWidth="1"/>
    <col min="14" max="14" width="5.8984375" bestFit="1" customWidth="1"/>
    <col min="16" max="16" width="17.8984375" bestFit="1" customWidth="1"/>
    <col min="17" max="17" width="4.296875" bestFit="1" customWidth="1"/>
  </cols>
  <sheetData>
    <row r="1" spans="1:17">
      <c r="A1" s="1"/>
      <c r="B1" s="5" t="s">
        <v>102</v>
      </c>
      <c r="C1" s="5" t="s">
        <v>102</v>
      </c>
      <c r="D1" s="5" t="s">
        <v>102</v>
      </c>
      <c r="E1" s="5" t="s">
        <v>102</v>
      </c>
      <c r="F1" s="5" t="s">
        <v>102</v>
      </c>
      <c r="G1" s="5" t="s">
        <v>102</v>
      </c>
      <c r="H1" s="5" t="s">
        <v>102</v>
      </c>
      <c r="I1" s="5" t="s">
        <v>102</v>
      </c>
      <c r="J1" s="5" t="s">
        <v>102</v>
      </c>
      <c r="K1" s="5" t="s">
        <v>102</v>
      </c>
      <c r="L1" s="5" t="s">
        <v>102</v>
      </c>
      <c r="M1" s="5" t="s">
        <v>102</v>
      </c>
    </row>
    <row r="2" spans="1:17">
      <c r="A2" s="5" t="s">
        <v>31</v>
      </c>
      <c r="B2" s="1">
        <v>424</v>
      </c>
      <c r="C2" s="1">
        <v>146</v>
      </c>
      <c r="D2" s="1">
        <v>137</v>
      </c>
      <c r="E2" s="1">
        <v>1075</v>
      </c>
      <c r="F2" s="1">
        <v>139</v>
      </c>
      <c r="G2" s="1">
        <v>167</v>
      </c>
      <c r="H2" s="1">
        <v>94</v>
      </c>
      <c r="I2" s="1">
        <v>67</v>
      </c>
      <c r="J2" s="1">
        <v>90</v>
      </c>
      <c r="K2" s="1">
        <v>57</v>
      </c>
      <c r="L2" s="1">
        <v>65</v>
      </c>
      <c r="M2" s="1">
        <v>85</v>
      </c>
      <c r="P2" s="5" t="s">
        <v>102</v>
      </c>
      <c r="Q2" s="19">
        <v>0.31468693705988315</v>
      </c>
    </row>
    <row r="3" spans="1:17">
      <c r="A3" s="5" t="s">
        <v>32</v>
      </c>
      <c r="B3" s="1">
        <v>493</v>
      </c>
      <c r="C3" s="1">
        <v>256</v>
      </c>
      <c r="D3" s="1">
        <v>185</v>
      </c>
      <c r="E3" s="1">
        <v>1139</v>
      </c>
      <c r="F3" s="1">
        <v>284</v>
      </c>
      <c r="G3" s="1">
        <v>207</v>
      </c>
      <c r="H3" s="1">
        <v>107</v>
      </c>
      <c r="I3" s="1">
        <v>115</v>
      </c>
      <c r="J3" s="1">
        <v>111</v>
      </c>
      <c r="K3" s="1">
        <v>118</v>
      </c>
      <c r="L3" s="1">
        <v>98</v>
      </c>
      <c r="M3" s="1">
        <v>133</v>
      </c>
      <c r="P3" s="5" t="s">
        <v>102</v>
      </c>
      <c r="Q3" s="19">
        <v>0.16819968338883126</v>
      </c>
    </row>
    <row r="4" spans="1:17">
      <c r="A4" s="5" t="s">
        <v>33</v>
      </c>
      <c r="B4" s="1">
        <v>436</v>
      </c>
      <c r="C4" s="1">
        <v>196</v>
      </c>
      <c r="D4" s="1">
        <v>168</v>
      </c>
      <c r="E4" s="1">
        <v>774</v>
      </c>
      <c r="F4" s="1">
        <v>186</v>
      </c>
      <c r="G4" s="1">
        <v>191</v>
      </c>
      <c r="H4" s="1">
        <v>180</v>
      </c>
      <c r="I4" s="1">
        <v>91</v>
      </c>
      <c r="J4" s="1">
        <v>367</v>
      </c>
      <c r="K4" s="1">
        <v>83</v>
      </c>
      <c r="L4" s="1">
        <v>82</v>
      </c>
      <c r="M4" s="1">
        <v>121</v>
      </c>
      <c r="P4" s="5" t="s">
        <v>102</v>
      </c>
      <c r="Q4" s="19">
        <v>7.7433266007969861E-2</v>
      </c>
    </row>
    <row r="5" spans="1:17">
      <c r="A5" s="5" t="s">
        <v>54</v>
      </c>
      <c r="B5" s="1">
        <v>505</v>
      </c>
      <c r="C5" s="1">
        <v>260</v>
      </c>
      <c r="D5" s="1">
        <v>185</v>
      </c>
      <c r="E5" s="1">
        <v>1075</v>
      </c>
      <c r="F5" s="1">
        <v>195</v>
      </c>
      <c r="G5" s="1">
        <v>189</v>
      </c>
      <c r="H5" s="1">
        <v>137</v>
      </c>
      <c r="I5" s="1">
        <v>132</v>
      </c>
      <c r="J5" s="1">
        <v>177</v>
      </c>
      <c r="K5" s="1">
        <v>112</v>
      </c>
      <c r="L5" s="1">
        <v>73</v>
      </c>
      <c r="M5" s="1">
        <v>117</v>
      </c>
      <c r="P5" s="5" t="s">
        <v>102</v>
      </c>
      <c r="Q5" s="19">
        <v>7.6505267754790107E-2</v>
      </c>
    </row>
    <row r="6" spans="1:17">
      <c r="A6" s="5" t="s">
        <v>56</v>
      </c>
      <c r="B6" s="1">
        <v>505</v>
      </c>
      <c r="C6" s="1">
        <v>221</v>
      </c>
      <c r="D6" s="1">
        <v>139</v>
      </c>
      <c r="E6" s="1">
        <v>979</v>
      </c>
      <c r="F6" s="1">
        <v>167</v>
      </c>
      <c r="G6" s="1">
        <v>181</v>
      </c>
      <c r="H6" s="1">
        <v>92</v>
      </c>
      <c r="I6" s="1">
        <v>93</v>
      </c>
      <c r="J6" s="1">
        <v>89</v>
      </c>
      <c r="K6" s="1">
        <v>88</v>
      </c>
      <c r="L6" s="1">
        <v>59</v>
      </c>
      <c r="M6" s="1">
        <v>81</v>
      </c>
      <c r="P6" s="5" t="s">
        <v>102</v>
      </c>
      <c r="Q6" s="19">
        <v>6.2571646923958738E-2</v>
      </c>
    </row>
    <row r="7" spans="1:17">
      <c r="A7" s="5" t="s">
        <v>55</v>
      </c>
      <c r="B7" s="1">
        <v>431</v>
      </c>
      <c r="C7" s="1">
        <v>186</v>
      </c>
      <c r="D7" s="1">
        <v>160</v>
      </c>
      <c r="E7" s="1">
        <v>1080</v>
      </c>
      <c r="F7" s="1">
        <v>157</v>
      </c>
      <c r="G7" s="1">
        <v>190</v>
      </c>
      <c r="H7" s="1">
        <v>94</v>
      </c>
      <c r="I7" s="1">
        <v>78</v>
      </c>
      <c r="J7" s="1">
        <v>96</v>
      </c>
      <c r="K7" s="1">
        <v>84</v>
      </c>
      <c r="L7" s="1">
        <v>54</v>
      </c>
      <c r="M7" s="1">
        <v>89</v>
      </c>
      <c r="P7" s="5" t="s">
        <v>102</v>
      </c>
      <c r="Q7" s="19">
        <v>5.9719416998744473E-2</v>
      </c>
    </row>
    <row r="8" spans="1:17">
      <c r="A8" s="5" t="s">
        <v>52</v>
      </c>
      <c r="B8" s="1">
        <v>385</v>
      </c>
      <c r="C8" s="1">
        <v>160</v>
      </c>
      <c r="D8" s="1">
        <v>155</v>
      </c>
      <c r="E8" s="1">
        <v>838</v>
      </c>
      <c r="F8" s="1">
        <v>183</v>
      </c>
      <c r="G8" s="1">
        <v>165</v>
      </c>
      <c r="H8" s="1">
        <v>101</v>
      </c>
      <c r="I8" s="1">
        <v>76</v>
      </c>
      <c r="J8" s="1">
        <v>113</v>
      </c>
      <c r="K8" s="1">
        <v>88</v>
      </c>
      <c r="L8" s="1">
        <v>65</v>
      </c>
      <c r="M8" s="1">
        <v>82</v>
      </c>
      <c r="P8" s="5" t="s">
        <v>102</v>
      </c>
      <c r="Q8" s="19">
        <v>5.5952835853485455E-2</v>
      </c>
    </row>
    <row r="9" spans="1:17">
      <c r="A9" s="5" t="s">
        <v>51</v>
      </c>
      <c r="B9" s="1">
        <v>297</v>
      </c>
      <c r="C9" s="1">
        <v>121</v>
      </c>
      <c r="D9" s="1">
        <v>112</v>
      </c>
      <c r="E9" s="1">
        <v>604</v>
      </c>
      <c r="F9" s="1">
        <v>121</v>
      </c>
      <c r="G9" s="1">
        <v>131</v>
      </c>
      <c r="H9" s="1">
        <v>79</v>
      </c>
      <c r="I9" s="1">
        <v>67</v>
      </c>
      <c r="J9" s="1">
        <v>76</v>
      </c>
      <c r="K9" s="1">
        <v>68</v>
      </c>
      <c r="L9" s="1">
        <v>44</v>
      </c>
      <c r="M9" s="1">
        <v>69</v>
      </c>
      <c r="P9" s="5" t="s">
        <v>102</v>
      </c>
      <c r="Q9" s="19">
        <v>4.5212620776243245E-2</v>
      </c>
    </row>
    <row r="10" spans="1:17">
      <c r="A10" s="5" t="s">
        <v>46</v>
      </c>
      <c r="B10" s="1">
        <v>459</v>
      </c>
      <c r="C10" s="1">
        <v>208</v>
      </c>
      <c r="D10" s="1">
        <v>196</v>
      </c>
      <c r="E10" s="1">
        <v>692</v>
      </c>
      <c r="F10" s="1">
        <v>193</v>
      </c>
      <c r="G10" s="1">
        <v>139</v>
      </c>
      <c r="H10" s="1">
        <v>201</v>
      </c>
      <c r="I10" s="1">
        <v>99</v>
      </c>
      <c r="J10" s="1">
        <v>415</v>
      </c>
      <c r="K10" s="1">
        <v>107</v>
      </c>
      <c r="L10" s="1">
        <v>80</v>
      </c>
      <c r="M10" s="1">
        <v>125</v>
      </c>
      <c r="P10" s="5" t="s">
        <v>102</v>
      </c>
      <c r="Q10" s="19">
        <v>3.9330749495059776E-2</v>
      </c>
    </row>
    <row r="11" spans="1:17">
      <c r="A11" s="5" t="s">
        <v>57</v>
      </c>
      <c r="B11" s="1">
        <v>204</v>
      </c>
      <c r="C11" s="1">
        <v>82</v>
      </c>
      <c r="D11" s="1">
        <v>81</v>
      </c>
      <c r="E11" s="1">
        <v>314</v>
      </c>
      <c r="F11" s="1">
        <v>61</v>
      </c>
      <c r="G11" s="1">
        <v>69</v>
      </c>
      <c r="H11" s="1">
        <v>42</v>
      </c>
      <c r="I11" s="1">
        <v>29</v>
      </c>
      <c r="J11" s="1">
        <v>53</v>
      </c>
      <c r="K11" s="1">
        <v>36</v>
      </c>
      <c r="L11" s="1">
        <v>24</v>
      </c>
      <c r="M11" s="1">
        <v>43</v>
      </c>
      <c r="P11" s="5" t="s">
        <v>102</v>
      </c>
      <c r="Q11" s="19">
        <v>3.6846989464490422E-2</v>
      </c>
    </row>
    <row r="12" spans="1:17">
      <c r="A12" s="5" t="s">
        <v>58</v>
      </c>
      <c r="B12" s="1">
        <v>468</v>
      </c>
      <c r="C12" s="1">
        <v>249</v>
      </c>
      <c r="D12" s="1">
        <v>169</v>
      </c>
      <c r="E12" s="1">
        <v>987</v>
      </c>
      <c r="F12" s="1">
        <v>283</v>
      </c>
      <c r="G12" s="1">
        <v>179</v>
      </c>
      <c r="H12" s="1">
        <v>128</v>
      </c>
      <c r="I12" s="1">
        <v>112</v>
      </c>
      <c r="J12" s="1">
        <v>140</v>
      </c>
      <c r="K12" s="1">
        <v>119</v>
      </c>
      <c r="L12" s="1">
        <v>77</v>
      </c>
      <c r="M12" s="1">
        <v>126</v>
      </c>
      <c r="P12" s="5" t="s">
        <v>102</v>
      </c>
      <c r="Q12" s="19">
        <v>3.5823461979365687E-2</v>
      </c>
    </row>
    <row r="13" spans="1:17">
      <c r="A13" s="5" t="s">
        <v>53</v>
      </c>
      <c r="B13" s="1">
        <v>271</v>
      </c>
      <c r="C13" s="1">
        <v>115</v>
      </c>
      <c r="D13" s="1">
        <v>65</v>
      </c>
      <c r="E13" s="1">
        <v>269</v>
      </c>
      <c r="F13" s="1">
        <v>68</v>
      </c>
      <c r="G13" s="1">
        <v>34</v>
      </c>
      <c r="H13" s="1">
        <v>59</v>
      </c>
      <c r="I13" s="1">
        <v>30</v>
      </c>
      <c r="J13" s="1">
        <v>96</v>
      </c>
      <c r="K13" s="1">
        <v>45</v>
      </c>
      <c r="L13" s="1">
        <v>27</v>
      </c>
      <c r="M13" s="1">
        <v>29</v>
      </c>
      <c r="P13" s="5" t="s">
        <v>102</v>
      </c>
      <c r="Q13" s="19">
        <v>2.7717124297177792E-2</v>
      </c>
    </row>
    <row r="14" spans="1:17">
      <c r="A14" s="5" t="s">
        <v>50</v>
      </c>
      <c r="B14" s="1">
        <v>344</v>
      </c>
      <c r="C14" s="1">
        <v>177</v>
      </c>
      <c r="D14" s="1">
        <v>145</v>
      </c>
      <c r="E14" s="1">
        <v>503</v>
      </c>
      <c r="F14" s="1">
        <v>160</v>
      </c>
      <c r="G14" s="1">
        <v>99</v>
      </c>
      <c r="H14" s="1">
        <v>103</v>
      </c>
      <c r="I14" s="1">
        <v>81</v>
      </c>
      <c r="J14" s="1">
        <v>111</v>
      </c>
      <c r="K14" s="1">
        <v>89</v>
      </c>
      <c r="L14" s="1">
        <v>71</v>
      </c>
      <c r="M14" s="1">
        <v>86</v>
      </c>
    </row>
    <row r="15" spans="1:17">
      <c r="A15" s="5" t="s">
        <v>47</v>
      </c>
      <c r="B15" s="1">
        <v>443</v>
      </c>
      <c r="C15" s="1">
        <v>188</v>
      </c>
      <c r="D15" s="1">
        <v>171</v>
      </c>
      <c r="E15" s="1">
        <v>720</v>
      </c>
      <c r="F15" s="1">
        <v>213</v>
      </c>
      <c r="G15" s="1">
        <v>163</v>
      </c>
      <c r="H15" s="1">
        <v>132</v>
      </c>
      <c r="I15" s="1">
        <v>95</v>
      </c>
      <c r="J15" s="1">
        <v>180</v>
      </c>
      <c r="K15" s="1">
        <v>101</v>
      </c>
      <c r="L15" s="1">
        <v>72</v>
      </c>
      <c r="M15" s="1">
        <v>103</v>
      </c>
    </row>
    <row r="16" spans="1:17">
      <c r="A16" s="5" t="s">
        <v>49</v>
      </c>
      <c r="B16" s="1">
        <v>466</v>
      </c>
      <c r="C16" s="1">
        <v>172</v>
      </c>
      <c r="D16" s="1">
        <v>105</v>
      </c>
      <c r="E16" s="1">
        <v>487</v>
      </c>
      <c r="F16" s="1">
        <v>105</v>
      </c>
      <c r="G16" s="1">
        <v>66</v>
      </c>
      <c r="H16" s="1">
        <v>67</v>
      </c>
      <c r="I16" s="1">
        <v>56</v>
      </c>
      <c r="J16" s="1">
        <v>164</v>
      </c>
      <c r="K16" s="1">
        <v>64</v>
      </c>
      <c r="L16" s="1">
        <v>38</v>
      </c>
      <c r="M16" s="1">
        <v>54</v>
      </c>
    </row>
    <row r="17" spans="1:14">
      <c r="A17" s="5" t="s">
        <v>48</v>
      </c>
      <c r="B17" s="1">
        <v>370</v>
      </c>
      <c r="C17" s="1">
        <v>141</v>
      </c>
      <c r="D17" s="1">
        <v>104</v>
      </c>
      <c r="E17" s="1">
        <v>774</v>
      </c>
      <c r="F17" s="1">
        <v>118</v>
      </c>
      <c r="G17" s="1">
        <v>167</v>
      </c>
      <c r="H17" s="1">
        <v>68</v>
      </c>
      <c r="I17" s="1">
        <v>70</v>
      </c>
      <c r="J17" s="1">
        <v>68</v>
      </c>
      <c r="K17" s="1">
        <v>60</v>
      </c>
      <c r="L17" s="1">
        <v>46</v>
      </c>
      <c r="M17" s="1">
        <v>73</v>
      </c>
    </row>
    <row r="18" spans="1:14">
      <c r="A18" s="5" t="s">
        <v>45</v>
      </c>
      <c r="B18" s="1">
        <v>396</v>
      </c>
      <c r="C18" s="1">
        <v>158</v>
      </c>
      <c r="D18" s="1">
        <v>137</v>
      </c>
      <c r="E18" s="1">
        <v>1024</v>
      </c>
      <c r="F18" s="1">
        <v>143</v>
      </c>
      <c r="G18" s="1">
        <v>213</v>
      </c>
      <c r="H18" s="1">
        <v>78</v>
      </c>
      <c r="I18" s="1">
        <v>69</v>
      </c>
      <c r="J18" s="1">
        <v>84</v>
      </c>
      <c r="K18" s="1">
        <v>77</v>
      </c>
      <c r="L18" s="1">
        <v>56</v>
      </c>
      <c r="M18" s="1">
        <v>71</v>
      </c>
    </row>
    <row r="19" spans="1:14">
      <c r="A19" s="5" t="s">
        <v>44</v>
      </c>
      <c r="B19" s="1">
        <v>486</v>
      </c>
      <c r="C19" s="1">
        <v>225</v>
      </c>
      <c r="D19" s="1">
        <v>197</v>
      </c>
      <c r="E19" s="1">
        <v>1128</v>
      </c>
      <c r="F19" s="1">
        <v>241</v>
      </c>
      <c r="G19" s="1">
        <v>234</v>
      </c>
      <c r="H19" s="1">
        <v>126</v>
      </c>
      <c r="I19" s="1">
        <v>90</v>
      </c>
      <c r="J19" s="1">
        <v>124</v>
      </c>
      <c r="K19" s="1">
        <v>112</v>
      </c>
      <c r="L19" s="1">
        <v>76</v>
      </c>
      <c r="M19" s="1">
        <v>113</v>
      </c>
    </row>
    <row r="20" spans="1:14">
      <c r="A20" s="5" t="s">
        <v>40</v>
      </c>
      <c r="B20" s="1">
        <v>262</v>
      </c>
      <c r="C20" s="1">
        <v>116</v>
      </c>
      <c r="D20" s="1">
        <v>89</v>
      </c>
      <c r="E20" s="1">
        <v>495</v>
      </c>
      <c r="F20" s="1">
        <v>108</v>
      </c>
      <c r="G20" s="1">
        <v>101</v>
      </c>
      <c r="H20" s="1">
        <v>69</v>
      </c>
      <c r="I20" s="1">
        <v>52</v>
      </c>
      <c r="J20" s="1">
        <v>68</v>
      </c>
      <c r="K20" s="1">
        <v>54</v>
      </c>
      <c r="L20" s="1">
        <v>38</v>
      </c>
      <c r="M20" s="1">
        <v>53</v>
      </c>
    </row>
    <row r="21" spans="1:14">
      <c r="A21" s="5" t="s">
        <v>43</v>
      </c>
      <c r="B21" s="1">
        <v>545</v>
      </c>
      <c r="C21" s="1">
        <v>287</v>
      </c>
      <c r="D21" s="1">
        <v>221</v>
      </c>
      <c r="E21" s="1">
        <v>795</v>
      </c>
      <c r="F21" s="1">
        <v>436</v>
      </c>
      <c r="G21" s="1">
        <v>135</v>
      </c>
      <c r="H21" s="1">
        <v>144</v>
      </c>
      <c r="I21" s="1">
        <v>139</v>
      </c>
      <c r="J21" s="1">
        <v>162</v>
      </c>
      <c r="K21" s="1">
        <v>125</v>
      </c>
      <c r="L21" s="1">
        <v>101</v>
      </c>
      <c r="M21" s="1">
        <v>155</v>
      </c>
    </row>
    <row r="22" spans="1:14">
      <c r="A22" s="5" t="s">
        <v>42</v>
      </c>
      <c r="B22" s="1">
        <v>638</v>
      </c>
      <c r="C22" s="1">
        <v>305</v>
      </c>
      <c r="D22" s="1">
        <v>263</v>
      </c>
      <c r="E22" s="1">
        <v>997</v>
      </c>
      <c r="F22" s="1">
        <v>339</v>
      </c>
      <c r="G22" s="1">
        <v>226</v>
      </c>
      <c r="H22" s="1">
        <v>212</v>
      </c>
      <c r="I22" s="1">
        <v>156</v>
      </c>
      <c r="J22" s="1">
        <v>293</v>
      </c>
      <c r="K22" s="1">
        <v>161</v>
      </c>
      <c r="L22" s="1">
        <v>159</v>
      </c>
      <c r="M22" s="1">
        <v>191</v>
      </c>
    </row>
    <row r="23" spans="1:14">
      <c r="A23" s="5" t="s">
        <v>41</v>
      </c>
      <c r="B23" s="1">
        <v>400</v>
      </c>
      <c r="C23" s="1">
        <v>150</v>
      </c>
      <c r="D23" s="1">
        <v>130</v>
      </c>
      <c r="E23" s="1">
        <v>1126</v>
      </c>
      <c r="F23" s="1">
        <v>139</v>
      </c>
      <c r="G23" s="1">
        <v>177</v>
      </c>
      <c r="H23" s="1">
        <v>83</v>
      </c>
      <c r="I23" s="1">
        <v>56</v>
      </c>
      <c r="J23" s="1">
        <v>77</v>
      </c>
      <c r="K23" s="1">
        <v>64</v>
      </c>
      <c r="L23" s="1">
        <v>47</v>
      </c>
      <c r="M23" s="1">
        <v>69</v>
      </c>
    </row>
    <row r="24" spans="1:14">
      <c r="A24" s="5" t="s">
        <v>39</v>
      </c>
      <c r="B24" s="1">
        <v>364</v>
      </c>
      <c r="C24" s="1">
        <v>173</v>
      </c>
      <c r="D24" s="1">
        <v>132</v>
      </c>
      <c r="E24" s="1">
        <v>845</v>
      </c>
      <c r="F24" s="1">
        <v>146</v>
      </c>
      <c r="G24" s="1">
        <v>141</v>
      </c>
      <c r="H24" s="1">
        <v>97</v>
      </c>
      <c r="I24" s="1">
        <v>75</v>
      </c>
      <c r="J24" s="1">
        <v>84</v>
      </c>
      <c r="K24" s="1">
        <v>76</v>
      </c>
      <c r="L24" s="1">
        <v>63</v>
      </c>
      <c r="M24" s="1">
        <v>90</v>
      </c>
    </row>
    <row r="25" spans="1:14">
      <c r="A25" s="5" t="s">
        <v>38</v>
      </c>
      <c r="B25" s="1">
        <v>568</v>
      </c>
      <c r="C25" s="1">
        <v>281</v>
      </c>
      <c r="D25" s="1">
        <v>216</v>
      </c>
      <c r="E25" s="1">
        <v>895</v>
      </c>
      <c r="F25" s="1">
        <v>230</v>
      </c>
      <c r="G25" s="1">
        <v>158</v>
      </c>
      <c r="H25" s="1">
        <v>149</v>
      </c>
      <c r="I25" s="1">
        <v>134</v>
      </c>
      <c r="J25" s="1">
        <v>167</v>
      </c>
      <c r="K25" s="1">
        <v>138</v>
      </c>
      <c r="L25" s="1">
        <v>87</v>
      </c>
      <c r="M25" s="1">
        <v>128</v>
      </c>
    </row>
    <row r="26" spans="1:14">
      <c r="A26" s="5" t="s">
        <v>37</v>
      </c>
      <c r="B26" s="1">
        <v>590</v>
      </c>
      <c r="C26" s="1">
        <v>314</v>
      </c>
      <c r="D26" s="1">
        <v>244</v>
      </c>
      <c r="E26" s="1">
        <v>880</v>
      </c>
      <c r="F26" s="1">
        <v>363</v>
      </c>
      <c r="G26" s="1">
        <v>180</v>
      </c>
      <c r="H26" s="1">
        <v>189</v>
      </c>
      <c r="I26" s="1">
        <v>178</v>
      </c>
      <c r="J26" s="1">
        <v>187</v>
      </c>
      <c r="K26" s="1">
        <v>162</v>
      </c>
      <c r="L26" s="1">
        <v>134</v>
      </c>
      <c r="M26" s="1">
        <v>171</v>
      </c>
    </row>
    <row r="27" spans="1:14">
      <c r="A27" s="5" t="s">
        <v>34</v>
      </c>
      <c r="B27" s="1">
        <v>578</v>
      </c>
      <c r="C27" s="1">
        <v>313</v>
      </c>
      <c r="D27" s="1">
        <v>229</v>
      </c>
      <c r="E27" s="1">
        <v>902</v>
      </c>
      <c r="F27" s="1">
        <v>353</v>
      </c>
      <c r="G27" s="1">
        <v>183</v>
      </c>
      <c r="H27" s="1">
        <v>183</v>
      </c>
      <c r="I27" s="1">
        <v>174</v>
      </c>
      <c r="J27" s="1">
        <v>233</v>
      </c>
      <c r="K27" s="1">
        <v>159</v>
      </c>
      <c r="L27" s="1">
        <v>126</v>
      </c>
      <c r="M27" s="1">
        <v>172</v>
      </c>
    </row>
    <row r="28" spans="1:14">
      <c r="A28" s="5" t="s">
        <v>35</v>
      </c>
      <c r="B28" s="1">
        <v>567</v>
      </c>
      <c r="C28" s="1">
        <v>290</v>
      </c>
      <c r="D28" s="1">
        <v>226</v>
      </c>
      <c r="E28" s="1">
        <v>906</v>
      </c>
      <c r="F28" s="1">
        <v>331</v>
      </c>
      <c r="G28" s="1">
        <v>166</v>
      </c>
      <c r="H28" s="1">
        <v>171</v>
      </c>
      <c r="I28" s="1">
        <v>140</v>
      </c>
      <c r="J28" s="1">
        <v>171</v>
      </c>
      <c r="K28" s="1">
        <v>140</v>
      </c>
      <c r="L28" s="1">
        <v>112</v>
      </c>
      <c r="M28" s="1">
        <v>164</v>
      </c>
    </row>
    <row r="29" spans="1:14">
      <c r="A29" s="5" t="s">
        <v>36</v>
      </c>
      <c r="B29" s="1">
        <v>430</v>
      </c>
      <c r="C29" s="1">
        <v>184</v>
      </c>
      <c r="D29" s="1">
        <v>224</v>
      </c>
      <c r="E29" s="1">
        <v>756</v>
      </c>
      <c r="F29" s="1">
        <v>144</v>
      </c>
      <c r="G29" s="1">
        <v>125</v>
      </c>
      <c r="H29" s="1">
        <v>128</v>
      </c>
      <c r="I29" s="1">
        <v>71</v>
      </c>
      <c r="J29" s="1">
        <v>104</v>
      </c>
      <c r="K29" s="1">
        <v>113</v>
      </c>
      <c r="L29" s="1">
        <v>57</v>
      </c>
      <c r="M29" s="1">
        <v>89</v>
      </c>
    </row>
    <row r="30" spans="1:14">
      <c r="B30">
        <f>SUM(B2:B29)</f>
        <v>12325</v>
      </c>
      <c r="C30">
        <f t="shared" ref="C30:M30" si="0">SUM(C2:C29)</f>
        <v>5674</v>
      </c>
      <c r="D30">
        <f t="shared" si="0"/>
        <v>4585</v>
      </c>
      <c r="E30">
        <f t="shared" si="0"/>
        <v>23059</v>
      </c>
      <c r="F30">
        <f t="shared" si="0"/>
        <v>5606</v>
      </c>
      <c r="G30">
        <f t="shared" si="0"/>
        <v>4376</v>
      </c>
      <c r="H30">
        <f t="shared" si="0"/>
        <v>3313</v>
      </c>
      <c r="I30">
        <f t="shared" si="0"/>
        <v>2625</v>
      </c>
      <c r="J30">
        <f t="shared" si="0"/>
        <v>4100</v>
      </c>
      <c r="K30">
        <f t="shared" si="0"/>
        <v>2700</v>
      </c>
      <c r="L30">
        <f t="shared" si="0"/>
        <v>2031</v>
      </c>
      <c r="M30">
        <f t="shared" si="0"/>
        <v>2882</v>
      </c>
      <c r="N30">
        <f>SUM(B30:M30)</f>
        <v>73276</v>
      </c>
    </row>
    <row r="31" spans="1:14">
      <c r="A31" s="5" t="s">
        <v>101</v>
      </c>
      <c r="B31" s="19">
        <f>B30/$N$30</f>
        <v>0.16819968338883126</v>
      </c>
      <c r="C31" s="19">
        <f t="shared" ref="C31:M31" si="1">C30/$N$30</f>
        <v>7.7433266007969861E-2</v>
      </c>
      <c r="D31" s="19">
        <f t="shared" si="1"/>
        <v>6.2571646923958738E-2</v>
      </c>
      <c r="E31" s="19">
        <f t="shared" si="1"/>
        <v>0.31468693705988315</v>
      </c>
      <c r="F31" s="19">
        <f t="shared" si="1"/>
        <v>7.6505267754790107E-2</v>
      </c>
      <c r="G31" s="19">
        <f t="shared" si="1"/>
        <v>5.9719416998744473E-2</v>
      </c>
      <c r="H31" s="19">
        <f t="shared" si="1"/>
        <v>4.5212620776243245E-2</v>
      </c>
      <c r="I31" s="19">
        <f t="shared" si="1"/>
        <v>3.5823461979365687E-2</v>
      </c>
      <c r="J31" s="19">
        <f t="shared" si="1"/>
        <v>5.5952835853485455E-2</v>
      </c>
      <c r="K31" s="19">
        <f t="shared" si="1"/>
        <v>3.6846989464490422E-2</v>
      </c>
      <c r="L31" s="19">
        <f t="shared" si="1"/>
        <v>2.7717124297177792E-2</v>
      </c>
      <c r="M31" s="19">
        <f t="shared" si="1"/>
        <v>3.9330749495059776E-2</v>
      </c>
    </row>
  </sheetData>
  <sortState xmlns:xlrd2="http://schemas.microsoft.com/office/spreadsheetml/2017/richdata2" ref="P2:Q13">
    <sortCondition descending="1" ref="Q2:Q13"/>
  </sortState>
  <conditionalFormatting sqref="Q2:Q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{D3BA74D6-C901-CD48-A3E8-A6FAEFD35F1C}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BA74D6-C901-CD48-A3E8-A6FAEFD35F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Q2:Q13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CEP-PEN</vt:lpstr>
      <vt:lpstr>CEP-COUNTS</vt:lpstr>
      <vt:lpstr>CEP-%</vt:lpstr>
      <vt:lpstr>CEP - Expected %</vt:lpstr>
      <vt:lpstr>CEP - Resid %</vt:lpstr>
      <vt:lpstr>CEP - Analysis</vt:lpstr>
      <vt:lpstr>CEP - Vanish Recs</vt:lpstr>
      <vt:lpstr>Mental Market 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2024-10-17T06:47:12Z</dcterms:created>
  <dcterms:modified xsi:type="dcterms:W3CDTF">2025-11-05T18:17:28Z</dcterms:modified>
</cp:coreProperties>
</file>