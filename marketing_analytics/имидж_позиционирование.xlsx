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E:\дебренд\"/>
    </mc:Choice>
  </mc:AlternateContent>
  <xr:revisionPtr revIDLastSave="0" documentId="13_ncr:1_{B038A5D3-CC8A-4084-8168-FB84DDD92494}" xr6:coauthVersionLast="47" xr6:coauthVersionMax="47" xr10:uidLastSave="{00000000-0000-0000-0000-000000000000}"/>
  <bookViews>
    <workbookView xWindow="-108" yWindow="-108" windowWidth="23256" windowHeight="13896" xr2:uid="{3FE226A5-31A5-B344-B12B-EB641F5A3D51}"/>
  </bookViews>
  <sheets>
    <sheet name="Count" sheetId="1" r:id="rId1"/>
    <sheet name="Имиджевые профили" sheetId="2" r:id="rId2"/>
    <sheet name="Стандартизованные остатки" sheetId="4" r:id="rId3"/>
    <sheet name="Анализ соответствий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9" i="5" l="1"/>
  <c r="B150" i="5"/>
  <c r="B151" i="5"/>
  <c r="B152" i="5"/>
  <c r="B153" i="5"/>
  <c r="B154" i="5"/>
  <c r="B155" i="5"/>
  <c r="B156" i="5"/>
  <c r="B157" i="5"/>
  <c r="B148" i="5"/>
  <c r="B142" i="5"/>
  <c r="B135" i="5"/>
  <c r="B134" i="5"/>
  <c r="B136" i="5"/>
  <c r="B137" i="5"/>
  <c r="B138" i="5"/>
  <c r="B139" i="5"/>
  <c r="B140" i="5"/>
  <c r="B141" i="5"/>
  <c r="B143" i="5"/>
  <c r="B144" i="5"/>
  <c r="B145" i="5"/>
  <c r="B133" i="5"/>
  <c r="B33" i="2" l="1"/>
  <c r="C33" i="2"/>
  <c r="D33" i="2"/>
  <c r="E33" i="2"/>
  <c r="F33" i="2"/>
  <c r="G33" i="2"/>
  <c r="H33" i="2"/>
  <c r="I33" i="2"/>
  <c r="J33" i="2"/>
  <c r="K33" i="2"/>
  <c r="B19" i="2"/>
  <c r="C19" i="2"/>
  <c r="D19" i="2"/>
  <c r="E19" i="2"/>
  <c r="F19" i="2"/>
  <c r="G19" i="2"/>
  <c r="H19" i="2"/>
  <c r="I19" i="2"/>
  <c r="J19" i="2"/>
  <c r="K19" i="2"/>
  <c r="A33" i="2"/>
</calcChain>
</file>

<file path=xl/sharedStrings.xml><?xml version="1.0" encoding="utf-8"?>
<sst xmlns="http://schemas.openxmlformats.org/spreadsheetml/2006/main" count="286" uniqueCount="47">
  <si>
    <t>Повсеместно распространен</t>
  </si>
  <si>
    <t>Привлекательная упаковка</t>
  </si>
  <si>
    <t>Цена-качество</t>
  </si>
  <si>
    <t>Широкий ассортимент вкусов</t>
  </si>
  <si>
    <t>Из натуральных ингредиентов</t>
  </si>
  <si>
    <t>Удобная упаковка</t>
  </si>
  <si>
    <t>Богатая история</t>
  </si>
  <si>
    <t>Уникальность</t>
  </si>
  <si>
    <t>Надежность</t>
  </si>
  <si>
    <t>Стиль жизни</t>
  </si>
  <si>
    <t>Современный бренд</t>
  </si>
  <si>
    <t>Готов платить</t>
  </si>
  <si>
    <t>Нравится больше остальных</t>
  </si>
  <si>
    <t>База (подсказанное знание: A2)</t>
  </si>
  <si>
    <t>Count</t>
  </si>
  <si>
    <t>Имиджевые профили</t>
  </si>
  <si>
    <t>Standardized Residuals</t>
  </si>
  <si>
    <t>Критическое значение</t>
  </si>
  <si>
    <t>1,96</t>
  </si>
  <si>
    <t>Correspondence analysis (c) 1994-1998 Dr Thierry Fahmy</t>
  </si>
  <si>
    <t>Data range : Workbook = Имидж.xlsx / Sheet = Анализ соответствий / Range = 'Анализ соответствий'!$A$2:$K$15</t>
  </si>
  <si>
    <t>Testing hypothesis of independence between rows and columns :</t>
  </si>
  <si>
    <t>Chi2 distances on data = 985.9060  ~  degrees of freedom = 108</t>
  </si>
  <si>
    <t>Limit Chi2 for the chosen confidence range = 133.2569</t>
  </si>
  <si>
    <t>Using this test one should reject the hypothesis of independence</t>
  </si>
  <si>
    <t>Eigenvalues and corresponding inertia :</t>
  </si>
  <si>
    <t>Eigenvalues</t>
  </si>
  <si>
    <t>Values</t>
  </si>
  <si>
    <t>inertia %</t>
  </si>
  <si>
    <t>cumulative %</t>
  </si>
  <si>
    <t>Row-profiles coordinates on factorial axes :</t>
  </si>
  <si>
    <t>Column-profiles coordinates on factorial axes :</t>
  </si>
  <si>
    <t>Column Contributions</t>
  </si>
  <si>
    <t>to factorial axes inertia</t>
  </si>
  <si>
    <t>Row Contributions</t>
  </si>
  <si>
    <t>Squared cosines of angles</t>
  </si>
  <si>
    <t>between Column vectors and axes</t>
  </si>
  <si>
    <t>between Row vectors and axes</t>
  </si>
  <si>
    <t>Weight</t>
  </si>
  <si>
    <t>Inertia</t>
  </si>
  <si>
    <t>Rescaled Inertia</t>
  </si>
  <si>
    <t>Сумма косинусов по первым двум осям (Row vectors)</t>
  </si>
  <si>
    <t>Сумма косинусов по первым двум осям (Column vectors)</t>
  </si>
  <si>
    <t>Сosines of angles</t>
  </si>
  <si>
    <t>BRAND</t>
  </si>
  <si>
    <t>Среднее без BRAND</t>
  </si>
  <si>
    <t>Отклонение BRAND от среднего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</si>
</sst>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Gill Sans"/>
      <family val="2"/>
    </font>
    <font>
      <b/>
      <sz val="12"/>
      <color theme="1"/>
      <name val="Gill Sans"/>
      <family val="2"/>
      <charset val="204"/>
    </font>
    <font>
      <b/>
      <sz val="12"/>
      <color theme="1"/>
      <name val="Gill Sans"/>
      <family val="2"/>
    </font>
    <font>
      <b/>
      <sz val="12"/>
      <color indexed="12"/>
      <name val="Gill Sans"/>
      <family val="2"/>
    </font>
    <font>
      <b/>
      <sz val="12"/>
      <color indexed="10"/>
      <name val="Gill Sans"/>
      <family val="2"/>
    </font>
    <font>
      <b/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sz val="12"/>
      <color theme="2" tint="-9.9978637043366805E-2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23F5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AE0"/>
        <bgColor indexed="64"/>
      </patternFill>
    </fill>
    <fill>
      <patternFill patternType="solid">
        <fgColor rgb="FF48FFBD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4" fillId="2" borderId="0" xfId="0" applyFont="1" applyFill="1"/>
    <xf numFmtId="0" fontId="3" fillId="2" borderId="0" xfId="0" applyFont="1" applyFill="1"/>
    <xf numFmtId="9" fontId="3" fillId="0" borderId="0" xfId="1" applyFont="1"/>
    <xf numFmtId="0" fontId="5" fillId="0" borderId="0" xfId="0" applyFont="1"/>
    <xf numFmtId="0" fontId="5" fillId="2" borderId="0" xfId="0" applyFont="1" applyFill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2" fontId="6" fillId="0" borderId="0" xfId="0" applyNumberFormat="1" applyFont="1"/>
    <xf numFmtId="2" fontId="3" fillId="0" borderId="0" xfId="0" applyNumberFormat="1" applyFont="1"/>
    <xf numFmtId="2" fontId="7" fillId="0" borderId="0" xfId="0" applyNumberFormat="1" applyFont="1"/>
    <xf numFmtId="164" fontId="0" fillId="0" borderId="0" xfId="0" applyNumberFormat="1"/>
    <xf numFmtId="0" fontId="0" fillId="0" borderId="2" xfId="0" applyBorder="1"/>
    <xf numFmtId="0" fontId="8" fillId="0" borderId="3" xfId="0" applyFont="1" applyBorder="1" applyAlignment="1">
      <alignment horizontal="center"/>
    </xf>
    <xf numFmtId="164" fontId="0" fillId="0" borderId="2" xfId="0" applyNumberFormat="1" applyBorder="1"/>
    <xf numFmtId="9" fontId="0" fillId="0" borderId="0" xfId="0" applyNumberFormat="1"/>
    <xf numFmtId="9" fontId="0" fillId="0" borderId="2" xfId="0" applyNumberFormat="1" applyBorder="1"/>
    <xf numFmtId="0" fontId="9" fillId="0" borderId="1" xfId="0" applyFont="1" applyBorder="1" applyAlignment="1">
      <alignment horizontal="centerContinuous"/>
    </xf>
    <xf numFmtId="0" fontId="9" fillId="0" borderId="2" xfId="0" applyFont="1" applyBorder="1" applyAlignment="1">
      <alignment horizontal="centerContinuous"/>
    </xf>
    <xf numFmtId="0" fontId="9" fillId="0" borderId="0" xfId="0" applyFont="1"/>
    <xf numFmtId="0" fontId="0" fillId="3" borderId="0" xfId="0" applyFill="1"/>
    <xf numFmtId="164" fontId="0" fillId="3" borderId="0" xfId="0" applyNumberFormat="1" applyFill="1"/>
    <xf numFmtId="164" fontId="10" fillId="0" borderId="0" xfId="0" applyNumberFormat="1" applyFont="1"/>
    <xf numFmtId="164" fontId="10" fillId="0" borderId="2" xfId="0" applyNumberFormat="1" applyFont="1" applyBorder="1"/>
    <xf numFmtId="0" fontId="0" fillId="2" borderId="0" xfId="0" applyFill="1"/>
    <xf numFmtId="164" fontId="10" fillId="2" borderId="0" xfId="0" applyNumberFormat="1" applyFont="1" applyFill="1"/>
    <xf numFmtId="0" fontId="0" fillId="4" borderId="0" xfId="0" applyFill="1"/>
    <xf numFmtId="164" fontId="10" fillId="4" borderId="0" xfId="0" applyNumberFormat="1" applyFont="1" applyFill="1"/>
    <xf numFmtId="0" fontId="0" fillId="5" borderId="0" xfId="0" applyFill="1"/>
    <xf numFmtId="164" fontId="10" fillId="5" borderId="0" xfId="0" applyNumberFormat="1" applyFont="1" applyFill="1"/>
    <xf numFmtId="164" fontId="10" fillId="6" borderId="0" xfId="0" applyNumberFormat="1" applyFont="1" applyFill="1"/>
    <xf numFmtId="0" fontId="0" fillId="7" borderId="0" xfId="0" applyFill="1"/>
    <xf numFmtId="164" fontId="10" fillId="7" borderId="0" xfId="0" applyNumberFormat="1" applyFont="1" applyFill="1"/>
    <xf numFmtId="0" fontId="0" fillId="7" borderId="2" xfId="0" applyFill="1" applyBorder="1"/>
    <xf numFmtId="164" fontId="10" fillId="7" borderId="2" xfId="0" applyNumberFormat="1" applyFont="1" applyFill="1" applyBorder="1"/>
    <xf numFmtId="0" fontId="0" fillId="8" borderId="0" xfId="0" applyFill="1"/>
    <xf numFmtId="164" fontId="10" fillId="8" borderId="0" xfId="0" applyNumberFormat="1" applyFont="1" applyFill="1"/>
    <xf numFmtId="0" fontId="0" fillId="9" borderId="0" xfId="0" applyFill="1"/>
    <xf numFmtId="0" fontId="11" fillId="0" borderId="0" xfId="0" applyFont="1"/>
    <xf numFmtId="0" fontId="5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Обычный" xfId="0" builtinId="0"/>
    <cellStyle name="Процентный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3F5D"/>
      <color rgb="FF48FFBD"/>
      <color rgb="FFFFAAE0"/>
      <color rgb="FFFF7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330A-397B-304E-9134-A41977B52D87}">
  <sheetPr codeName="Лист1"/>
  <dimension ref="A1:K14"/>
  <sheetViews>
    <sheetView tabSelected="1" workbookViewId="0">
      <selection activeCell="D15" sqref="D15"/>
    </sheetView>
  </sheetViews>
  <sheetFormatPr defaultColWidth="11.19921875" defaultRowHeight="15.6"/>
  <cols>
    <col min="1" max="1" width="31.69921875" style="4" bestFit="1" customWidth="1"/>
    <col min="2" max="11" width="7.796875" bestFit="1" customWidth="1"/>
  </cols>
  <sheetData>
    <row r="1" spans="1:11" s="4" customFormat="1">
      <c r="A1" s="2"/>
      <c r="B1" s="3" t="s">
        <v>44</v>
      </c>
      <c r="C1" s="3" t="s">
        <v>44</v>
      </c>
      <c r="D1" s="3" t="s">
        <v>44</v>
      </c>
      <c r="E1" s="3" t="s">
        <v>44</v>
      </c>
      <c r="F1" s="3" t="s">
        <v>44</v>
      </c>
      <c r="G1" s="3" t="s">
        <v>44</v>
      </c>
      <c r="H1" s="3" t="s">
        <v>44</v>
      </c>
      <c r="I1" s="3" t="s">
        <v>44</v>
      </c>
      <c r="J1" s="3" t="s">
        <v>44</v>
      </c>
      <c r="K1" s="3" t="s">
        <v>44</v>
      </c>
    </row>
    <row r="2" spans="1:11">
      <c r="A2" s="2" t="s">
        <v>0</v>
      </c>
      <c r="B2" s="1">
        <v>271</v>
      </c>
      <c r="C2" s="1">
        <v>961</v>
      </c>
      <c r="D2" s="1">
        <v>736</v>
      </c>
      <c r="E2" s="1">
        <v>289</v>
      </c>
      <c r="F2" s="1">
        <v>46</v>
      </c>
      <c r="G2" s="1">
        <v>37</v>
      </c>
      <c r="H2" s="1">
        <v>53</v>
      </c>
      <c r="I2" s="1">
        <v>264</v>
      </c>
      <c r="J2" s="1">
        <v>416</v>
      </c>
      <c r="K2" s="1">
        <v>141</v>
      </c>
    </row>
    <row r="3" spans="1:11">
      <c r="A3" s="2" t="s">
        <v>1</v>
      </c>
      <c r="B3" s="1">
        <v>378</v>
      </c>
      <c r="C3" s="1">
        <v>868</v>
      </c>
      <c r="D3" s="1">
        <v>750</v>
      </c>
      <c r="E3" s="1">
        <v>143</v>
      </c>
      <c r="F3" s="1">
        <v>66</v>
      </c>
      <c r="G3" s="1">
        <v>22</v>
      </c>
      <c r="H3" s="1">
        <v>38</v>
      </c>
      <c r="I3" s="1">
        <v>226</v>
      </c>
      <c r="J3" s="1">
        <v>421</v>
      </c>
      <c r="K3" s="1">
        <v>88</v>
      </c>
    </row>
    <row r="4" spans="1:11">
      <c r="A4" s="2" t="s">
        <v>2</v>
      </c>
      <c r="B4" s="1">
        <v>315</v>
      </c>
      <c r="C4" s="1">
        <v>591</v>
      </c>
      <c r="D4" s="1">
        <v>394</v>
      </c>
      <c r="E4" s="1">
        <v>295</v>
      </c>
      <c r="F4" s="1">
        <v>46</v>
      </c>
      <c r="G4" s="1">
        <v>40</v>
      </c>
      <c r="H4" s="1">
        <v>58</v>
      </c>
      <c r="I4" s="1">
        <v>229</v>
      </c>
      <c r="J4" s="1">
        <v>266</v>
      </c>
      <c r="K4" s="1">
        <v>142</v>
      </c>
    </row>
    <row r="5" spans="1:11">
      <c r="A5" s="2" t="s">
        <v>3</v>
      </c>
      <c r="B5" s="1">
        <v>312</v>
      </c>
      <c r="C5" s="1">
        <v>995</v>
      </c>
      <c r="D5" s="1">
        <v>682</v>
      </c>
      <c r="E5" s="1">
        <v>130</v>
      </c>
      <c r="F5" s="1">
        <v>54</v>
      </c>
      <c r="G5" s="1">
        <v>21</v>
      </c>
      <c r="H5" s="1">
        <v>45</v>
      </c>
      <c r="I5" s="1">
        <v>158</v>
      </c>
      <c r="J5" s="1">
        <v>313</v>
      </c>
      <c r="K5" s="1">
        <v>119</v>
      </c>
    </row>
    <row r="6" spans="1:11">
      <c r="A6" s="2" t="s">
        <v>4</v>
      </c>
      <c r="B6" s="1">
        <v>299</v>
      </c>
      <c r="C6" s="1">
        <v>532</v>
      </c>
      <c r="D6" s="1">
        <v>456</v>
      </c>
      <c r="E6" s="1">
        <v>188</v>
      </c>
      <c r="F6" s="1">
        <v>41</v>
      </c>
      <c r="G6" s="1">
        <v>22</v>
      </c>
      <c r="H6" s="1">
        <v>39</v>
      </c>
      <c r="I6" s="1">
        <v>202</v>
      </c>
      <c r="J6" s="1">
        <v>314</v>
      </c>
      <c r="K6" s="1">
        <v>55</v>
      </c>
    </row>
    <row r="7" spans="1:11">
      <c r="A7" s="2" t="s">
        <v>5</v>
      </c>
      <c r="B7" s="1">
        <v>435</v>
      </c>
      <c r="C7" s="1">
        <v>964</v>
      </c>
      <c r="D7" s="1">
        <v>812</v>
      </c>
      <c r="E7" s="1">
        <v>304</v>
      </c>
      <c r="F7" s="1">
        <v>84</v>
      </c>
      <c r="G7" s="1">
        <v>54</v>
      </c>
      <c r="H7" s="1">
        <v>91</v>
      </c>
      <c r="I7" s="1">
        <v>274</v>
      </c>
      <c r="J7" s="1">
        <v>485</v>
      </c>
      <c r="K7" s="1">
        <v>163</v>
      </c>
    </row>
    <row r="8" spans="1:11">
      <c r="A8" s="2" t="s">
        <v>6</v>
      </c>
      <c r="B8" s="1">
        <v>100</v>
      </c>
      <c r="C8" s="1">
        <v>595</v>
      </c>
      <c r="D8" s="1">
        <v>357</v>
      </c>
      <c r="E8" s="1">
        <v>231</v>
      </c>
      <c r="F8" s="1">
        <v>11</v>
      </c>
      <c r="G8" s="1">
        <v>9</v>
      </c>
      <c r="H8" s="1">
        <v>12</v>
      </c>
      <c r="I8" s="1">
        <v>62</v>
      </c>
      <c r="J8" s="1">
        <v>276</v>
      </c>
      <c r="K8" s="1">
        <v>25</v>
      </c>
    </row>
    <row r="9" spans="1:11">
      <c r="A9" s="2" t="s">
        <v>7</v>
      </c>
      <c r="B9" s="1">
        <v>129</v>
      </c>
      <c r="C9" s="1">
        <v>358</v>
      </c>
      <c r="D9" s="1">
        <v>262</v>
      </c>
      <c r="E9" s="1">
        <v>87</v>
      </c>
      <c r="F9" s="1">
        <v>16</v>
      </c>
      <c r="G9" s="1">
        <v>7</v>
      </c>
      <c r="H9" s="1">
        <v>14</v>
      </c>
      <c r="I9" s="1">
        <v>54</v>
      </c>
      <c r="J9" s="1">
        <v>155</v>
      </c>
      <c r="K9" s="1">
        <v>30</v>
      </c>
    </row>
    <row r="10" spans="1:11">
      <c r="A10" s="2" t="s">
        <v>8</v>
      </c>
      <c r="B10" s="1">
        <v>306</v>
      </c>
      <c r="C10" s="1">
        <v>818</v>
      </c>
      <c r="D10" s="1">
        <v>644</v>
      </c>
      <c r="E10" s="1">
        <v>213</v>
      </c>
      <c r="F10" s="1">
        <v>31</v>
      </c>
      <c r="G10" s="1">
        <v>22</v>
      </c>
      <c r="H10" s="1">
        <v>35</v>
      </c>
      <c r="I10" s="1">
        <v>174</v>
      </c>
      <c r="J10" s="1">
        <v>420</v>
      </c>
      <c r="K10" s="1">
        <v>82</v>
      </c>
    </row>
    <row r="11" spans="1:11">
      <c r="A11" s="2" t="s">
        <v>9</v>
      </c>
      <c r="B11" s="1">
        <v>253</v>
      </c>
      <c r="C11" s="1">
        <v>687</v>
      </c>
      <c r="D11" s="1">
        <v>479</v>
      </c>
      <c r="E11" s="1">
        <v>176</v>
      </c>
      <c r="F11" s="1">
        <v>40</v>
      </c>
      <c r="G11" s="1">
        <v>29</v>
      </c>
      <c r="H11" s="1">
        <v>28</v>
      </c>
      <c r="I11" s="1">
        <v>123</v>
      </c>
      <c r="J11" s="1">
        <v>275</v>
      </c>
      <c r="K11" s="1">
        <v>86</v>
      </c>
    </row>
    <row r="12" spans="1:11">
      <c r="A12" s="2" t="s">
        <v>10</v>
      </c>
      <c r="B12" s="1">
        <v>375</v>
      </c>
      <c r="C12" s="1">
        <v>846</v>
      </c>
      <c r="D12" s="1">
        <v>763</v>
      </c>
      <c r="E12" s="1">
        <v>133</v>
      </c>
      <c r="F12" s="1">
        <v>53</v>
      </c>
      <c r="G12" s="1">
        <v>22</v>
      </c>
      <c r="H12" s="1">
        <v>52</v>
      </c>
      <c r="I12" s="1">
        <v>197</v>
      </c>
      <c r="J12" s="1">
        <v>421</v>
      </c>
      <c r="K12" s="1">
        <v>74</v>
      </c>
    </row>
    <row r="13" spans="1:11">
      <c r="A13" s="2" t="s">
        <v>11</v>
      </c>
      <c r="B13" s="1">
        <v>95</v>
      </c>
      <c r="C13" s="1">
        <v>279</v>
      </c>
      <c r="D13" s="1">
        <v>243</v>
      </c>
      <c r="E13" s="1">
        <v>60</v>
      </c>
      <c r="F13" s="1">
        <v>20</v>
      </c>
      <c r="G13" s="1">
        <v>8</v>
      </c>
      <c r="H13" s="1">
        <v>10</v>
      </c>
      <c r="I13" s="1">
        <v>48</v>
      </c>
      <c r="J13" s="1">
        <v>107</v>
      </c>
      <c r="K13" s="1">
        <v>23</v>
      </c>
    </row>
    <row r="14" spans="1:11">
      <c r="A14" s="2" t="s">
        <v>12</v>
      </c>
      <c r="B14" s="1">
        <v>193</v>
      </c>
      <c r="C14" s="1">
        <v>658</v>
      </c>
      <c r="D14" s="1">
        <v>395</v>
      </c>
      <c r="E14" s="1">
        <v>128</v>
      </c>
      <c r="F14" s="1">
        <v>21</v>
      </c>
      <c r="G14" s="1">
        <v>10</v>
      </c>
      <c r="H14" s="1">
        <v>20</v>
      </c>
      <c r="I14" s="1">
        <v>70</v>
      </c>
      <c r="J14" s="1">
        <v>192</v>
      </c>
      <c r="K14" s="1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05CD3-39DE-5C4C-9F4B-78B78A318610}">
  <sheetPr codeName="Лист2"/>
  <dimension ref="A1:M33"/>
  <sheetViews>
    <sheetView workbookViewId="0">
      <selection activeCell="E10" sqref="E10"/>
    </sheetView>
  </sheetViews>
  <sheetFormatPr defaultColWidth="11.19921875" defaultRowHeight="15.6"/>
  <cols>
    <col min="1" max="1" width="32.796875" bestFit="1" customWidth="1"/>
    <col min="2" max="11" width="7.796875" bestFit="1" customWidth="1"/>
    <col min="12" max="12" width="20.8984375" bestFit="1" customWidth="1"/>
    <col min="13" max="13" width="33" bestFit="1" customWidth="1"/>
  </cols>
  <sheetData>
    <row r="1" spans="1:11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2"/>
      <c r="B2" s="3" t="s">
        <v>44</v>
      </c>
      <c r="C2" s="3" t="s">
        <v>44</v>
      </c>
      <c r="D2" s="3" t="s">
        <v>44</v>
      </c>
      <c r="E2" s="3" t="s">
        <v>44</v>
      </c>
      <c r="F2" s="3" t="s">
        <v>44</v>
      </c>
      <c r="G2" s="3" t="s">
        <v>44</v>
      </c>
      <c r="H2" s="3" t="s">
        <v>44</v>
      </c>
      <c r="I2" s="3" t="s">
        <v>44</v>
      </c>
      <c r="J2" s="3" t="s">
        <v>44</v>
      </c>
      <c r="K2" s="3" t="s">
        <v>44</v>
      </c>
    </row>
    <row r="3" spans="1:11">
      <c r="A3" s="2" t="s">
        <v>0</v>
      </c>
      <c r="B3" s="1">
        <v>271</v>
      </c>
      <c r="C3" s="1">
        <v>961</v>
      </c>
      <c r="D3" s="1">
        <v>736</v>
      </c>
      <c r="E3" s="1">
        <v>289</v>
      </c>
      <c r="F3" s="1">
        <v>46</v>
      </c>
      <c r="G3" s="1">
        <v>37</v>
      </c>
      <c r="H3" s="1">
        <v>53</v>
      </c>
      <c r="I3" s="1">
        <v>264</v>
      </c>
      <c r="J3" s="1">
        <v>416</v>
      </c>
      <c r="K3" s="1">
        <v>141</v>
      </c>
    </row>
    <row r="4" spans="1:11">
      <c r="A4" s="2" t="s">
        <v>1</v>
      </c>
      <c r="B4" s="1">
        <v>378</v>
      </c>
      <c r="C4" s="1">
        <v>868</v>
      </c>
      <c r="D4" s="1">
        <v>750</v>
      </c>
      <c r="E4" s="1">
        <v>143</v>
      </c>
      <c r="F4" s="1">
        <v>66</v>
      </c>
      <c r="G4" s="1">
        <v>22</v>
      </c>
      <c r="H4" s="1">
        <v>38</v>
      </c>
      <c r="I4" s="1">
        <v>226</v>
      </c>
      <c r="J4" s="1">
        <v>421</v>
      </c>
      <c r="K4" s="1">
        <v>88</v>
      </c>
    </row>
    <row r="5" spans="1:11">
      <c r="A5" s="2" t="s">
        <v>2</v>
      </c>
      <c r="B5" s="1">
        <v>315</v>
      </c>
      <c r="C5" s="1">
        <v>591</v>
      </c>
      <c r="D5" s="1">
        <v>394</v>
      </c>
      <c r="E5" s="1">
        <v>295</v>
      </c>
      <c r="F5" s="1">
        <v>46</v>
      </c>
      <c r="G5" s="1">
        <v>40</v>
      </c>
      <c r="H5" s="1">
        <v>58</v>
      </c>
      <c r="I5" s="1">
        <v>229</v>
      </c>
      <c r="J5" s="1">
        <v>266</v>
      </c>
      <c r="K5" s="1">
        <v>142</v>
      </c>
    </row>
    <row r="6" spans="1:11">
      <c r="A6" s="2" t="s">
        <v>3</v>
      </c>
      <c r="B6" s="1">
        <v>312</v>
      </c>
      <c r="C6" s="1">
        <v>995</v>
      </c>
      <c r="D6" s="1">
        <v>682</v>
      </c>
      <c r="E6" s="1">
        <v>130</v>
      </c>
      <c r="F6" s="1">
        <v>54</v>
      </c>
      <c r="G6" s="1">
        <v>21</v>
      </c>
      <c r="H6" s="1">
        <v>45</v>
      </c>
      <c r="I6" s="1">
        <v>158</v>
      </c>
      <c r="J6" s="1">
        <v>313</v>
      </c>
      <c r="K6" s="1">
        <v>119</v>
      </c>
    </row>
    <row r="7" spans="1:11">
      <c r="A7" s="2" t="s">
        <v>4</v>
      </c>
      <c r="B7" s="1">
        <v>299</v>
      </c>
      <c r="C7" s="1">
        <v>532</v>
      </c>
      <c r="D7" s="1">
        <v>456</v>
      </c>
      <c r="E7" s="1">
        <v>188</v>
      </c>
      <c r="F7" s="1">
        <v>41</v>
      </c>
      <c r="G7" s="1">
        <v>22</v>
      </c>
      <c r="H7" s="1">
        <v>39</v>
      </c>
      <c r="I7" s="1">
        <v>202</v>
      </c>
      <c r="J7" s="1">
        <v>314</v>
      </c>
      <c r="K7" s="1">
        <v>55</v>
      </c>
    </row>
    <row r="8" spans="1:11">
      <c r="A8" s="2" t="s">
        <v>5</v>
      </c>
      <c r="B8" s="1">
        <v>435</v>
      </c>
      <c r="C8" s="1">
        <v>964</v>
      </c>
      <c r="D8" s="1">
        <v>812</v>
      </c>
      <c r="E8" s="1">
        <v>304</v>
      </c>
      <c r="F8" s="1">
        <v>84</v>
      </c>
      <c r="G8" s="1">
        <v>54</v>
      </c>
      <c r="H8" s="1">
        <v>91</v>
      </c>
      <c r="I8" s="1">
        <v>274</v>
      </c>
      <c r="J8" s="1">
        <v>485</v>
      </c>
      <c r="K8" s="1">
        <v>163</v>
      </c>
    </row>
    <row r="9" spans="1:11">
      <c r="A9" s="2" t="s">
        <v>6</v>
      </c>
      <c r="B9" s="1">
        <v>100</v>
      </c>
      <c r="C9" s="1">
        <v>595</v>
      </c>
      <c r="D9" s="1">
        <v>357</v>
      </c>
      <c r="E9" s="1">
        <v>231</v>
      </c>
      <c r="F9" s="1">
        <v>11</v>
      </c>
      <c r="G9" s="1">
        <v>9</v>
      </c>
      <c r="H9" s="1">
        <v>12</v>
      </c>
      <c r="I9" s="1">
        <v>62</v>
      </c>
      <c r="J9" s="1">
        <v>276</v>
      </c>
      <c r="K9" s="1">
        <v>25</v>
      </c>
    </row>
    <row r="10" spans="1:11">
      <c r="A10" s="2" t="s">
        <v>7</v>
      </c>
      <c r="B10" s="1">
        <v>129</v>
      </c>
      <c r="C10" s="1">
        <v>358</v>
      </c>
      <c r="D10" s="1">
        <v>262</v>
      </c>
      <c r="E10" s="1">
        <v>87</v>
      </c>
      <c r="F10" s="1">
        <v>16</v>
      </c>
      <c r="G10" s="1">
        <v>7</v>
      </c>
      <c r="H10" s="1">
        <v>14</v>
      </c>
      <c r="I10" s="1">
        <v>54</v>
      </c>
      <c r="J10" s="1">
        <v>155</v>
      </c>
      <c r="K10" s="1">
        <v>30</v>
      </c>
    </row>
    <row r="11" spans="1:11">
      <c r="A11" s="2" t="s">
        <v>8</v>
      </c>
      <c r="B11" s="1">
        <v>306</v>
      </c>
      <c r="C11" s="1">
        <v>818</v>
      </c>
      <c r="D11" s="1">
        <v>644</v>
      </c>
      <c r="E11" s="1">
        <v>213</v>
      </c>
      <c r="F11" s="1">
        <v>31</v>
      </c>
      <c r="G11" s="1">
        <v>22</v>
      </c>
      <c r="H11" s="1">
        <v>35</v>
      </c>
      <c r="I11" s="1">
        <v>174</v>
      </c>
      <c r="J11" s="1">
        <v>420</v>
      </c>
      <c r="K11" s="1">
        <v>82</v>
      </c>
    </row>
    <row r="12" spans="1:11">
      <c r="A12" s="2" t="s">
        <v>9</v>
      </c>
      <c r="B12" s="1">
        <v>253</v>
      </c>
      <c r="C12" s="1">
        <v>687</v>
      </c>
      <c r="D12" s="1">
        <v>479</v>
      </c>
      <c r="E12" s="1">
        <v>176</v>
      </c>
      <c r="F12" s="1">
        <v>40</v>
      </c>
      <c r="G12" s="1">
        <v>29</v>
      </c>
      <c r="H12" s="1">
        <v>28</v>
      </c>
      <c r="I12" s="1">
        <v>123</v>
      </c>
      <c r="J12" s="1">
        <v>275</v>
      </c>
      <c r="K12" s="1">
        <v>86</v>
      </c>
    </row>
    <row r="13" spans="1:11">
      <c r="A13" s="2" t="s">
        <v>10</v>
      </c>
      <c r="B13" s="1">
        <v>375</v>
      </c>
      <c r="C13" s="1">
        <v>846</v>
      </c>
      <c r="D13" s="1">
        <v>763</v>
      </c>
      <c r="E13" s="1">
        <v>133</v>
      </c>
      <c r="F13" s="1">
        <v>53</v>
      </c>
      <c r="G13" s="1">
        <v>22</v>
      </c>
      <c r="H13" s="1">
        <v>52</v>
      </c>
      <c r="I13" s="1">
        <v>197</v>
      </c>
      <c r="J13" s="1">
        <v>421</v>
      </c>
      <c r="K13" s="1">
        <v>74</v>
      </c>
    </row>
    <row r="14" spans="1:11">
      <c r="A14" s="2" t="s">
        <v>11</v>
      </c>
      <c r="B14" s="1">
        <v>95</v>
      </c>
      <c r="C14" s="1">
        <v>279</v>
      </c>
      <c r="D14" s="1">
        <v>243</v>
      </c>
      <c r="E14" s="1">
        <v>60</v>
      </c>
      <c r="F14" s="1">
        <v>20</v>
      </c>
      <c r="G14" s="1">
        <v>8</v>
      </c>
      <c r="H14" s="1">
        <v>10</v>
      </c>
      <c r="I14" s="1">
        <v>48</v>
      </c>
      <c r="J14" s="1">
        <v>107</v>
      </c>
      <c r="K14" s="1">
        <v>23</v>
      </c>
    </row>
    <row r="15" spans="1:11">
      <c r="A15" s="2" t="s">
        <v>12</v>
      </c>
      <c r="B15" s="1">
        <v>193</v>
      </c>
      <c r="C15" s="1">
        <v>658</v>
      </c>
      <c r="D15" s="1">
        <v>395</v>
      </c>
      <c r="E15" s="1">
        <v>128</v>
      </c>
      <c r="F15" s="1">
        <v>21</v>
      </c>
      <c r="G15" s="1">
        <v>10</v>
      </c>
      <c r="H15" s="1">
        <v>20</v>
      </c>
      <c r="I15" s="1">
        <v>70</v>
      </c>
      <c r="J15" s="1">
        <v>192</v>
      </c>
      <c r="K15" s="1">
        <v>63</v>
      </c>
    </row>
    <row r="16" spans="1:11">
      <c r="A16" s="5" t="s">
        <v>13</v>
      </c>
      <c r="B16" s="6">
        <v>563</v>
      </c>
      <c r="C16" s="6">
        <v>1354</v>
      </c>
      <c r="D16" s="6">
        <v>1335</v>
      </c>
      <c r="E16" s="6">
        <v>691</v>
      </c>
      <c r="F16" s="6">
        <v>233</v>
      </c>
      <c r="G16" s="6">
        <v>198</v>
      </c>
      <c r="H16" s="6">
        <v>229</v>
      </c>
      <c r="I16" s="6">
        <v>756</v>
      </c>
      <c r="J16" s="6">
        <v>1024</v>
      </c>
      <c r="K16" s="6">
        <v>386</v>
      </c>
    </row>
    <row r="18" spans="1:13">
      <c r="A18" s="43" t="s">
        <v>15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</row>
    <row r="19" spans="1:13">
      <c r="A19" s="1"/>
      <c r="B19" s="10" t="str">
        <f t="shared" ref="B19:K19" si="0">B2</f>
        <v>BRAND</v>
      </c>
      <c r="C19" s="10" t="str">
        <f t="shared" si="0"/>
        <v>BRAND</v>
      </c>
      <c r="D19" s="10" t="str">
        <f t="shared" si="0"/>
        <v>BRAND</v>
      </c>
      <c r="E19" s="10" t="str">
        <f t="shared" si="0"/>
        <v>BRAND</v>
      </c>
      <c r="F19" s="10" t="str">
        <f t="shared" si="0"/>
        <v>BRAND</v>
      </c>
      <c r="G19" s="10" t="str">
        <f t="shared" si="0"/>
        <v>BRAND</v>
      </c>
      <c r="H19" s="10" t="str">
        <f t="shared" si="0"/>
        <v>BRAND</v>
      </c>
      <c r="I19" s="10" t="str">
        <f t="shared" si="0"/>
        <v>BRAND</v>
      </c>
      <c r="J19" s="10" t="str">
        <f t="shared" si="0"/>
        <v>BRAND</v>
      </c>
      <c r="K19" s="10" t="str">
        <f t="shared" si="0"/>
        <v>BRAND</v>
      </c>
      <c r="L19" s="8" t="s">
        <v>45</v>
      </c>
      <c r="M19" s="8" t="s">
        <v>46</v>
      </c>
    </row>
    <row r="20" spans="1:13">
      <c r="A20" s="8" t="s">
        <v>10</v>
      </c>
      <c r="B20" s="7">
        <v>0.6660746003552398</v>
      </c>
      <c r="C20" s="7">
        <v>0.6248153618906942</v>
      </c>
      <c r="D20" s="7">
        <v>0.57153558052434461</v>
      </c>
      <c r="E20" s="7">
        <v>0.19247467438494936</v>
      </c>
      <c r="F20" s="7">
        <v>0.22746781115879827</v>
      </c>
      <c r="G20" s="7">
        <v>0.1111111111111111</v>
      </c>
      <c r="H20" s="7">
        <v>0.22707423580786026</v>
      </c>
      <c r="I20" s="7">
        <v>0.26058201058201058</v>
      </c>
      <c r="J20" s="7">
        <v>0.4111328125</v>
      </c>
      <c r="K20" s="7">
        <v>0.19170984455958548</v>
      </c>
      <c r="L20" s="19">
        <v>0.36572259649884936</v>
      </c>
      <c r="M20" s="19">
        <v>-0.1732479221139</v>
      </c>
    </row>
    <row r="21" spans="1:13">
      <c r="A21" s="8" t="s">
        <v>1</v>
      </c>
      <c r="B21" s="7">
        <v>0.67140319715808172</v>
      </c>
      <c r="C21" s="7">
        <v>0.64106351550960117</v>
      </c>
      <c r="D21" s="7">
        <v>0.5617977528089888</v>
      </c>
      <c r="E21" s="7">
        <v>0.20694645441389292</v>
      </c>
      <c r="F21" s="7">
        <v>0.2832618025751073</v>
      </c>
      <c r="G21" s="7">
        <v>0.1111111111111111</v>
      </c>
      <c r="H21" s="7">
        <v>0.16593886462882096</v>
      </c>
      <c r="I21" s="7">
        <v>0.29894179894179895</v>
      </c>
      <c r="J21" s="7">
        <v>0.4111328125</v>
      </c>
      <c r="K21" s="7">
        <v>0.22797927461139897</v>
      </c>
      <c r="L21" s="19">
        <v>0.37473668109387881</v>
      </c>
      <c r="M21" s="19">
        <v>-0.16779022667998589</v>
      </c>
    </row>
    <row r="22" spans="1:13">
      <c r="A22" s="8" t="s">
        <v>3</v>
      </c>
      <c r="B22" s="7">
        <v>0.55417406749555953</v>
      </c>
      <c r="C22" s="7">
        <v>0.73485967503692762</v>
      </c>
      <c r="D22" s="7">
        <v>0.51086142322097383</v>
      </c>
      <c r="E22" s="7">
        <v>0.18813314037626627</v>
      </c>
      <c r="F22" s="7">
        <v>0.23175965665236051</v>
      </c>
      <c r="G22" s="7">
        <v>0.10606060606060606</v>
      </c>
      <c r="H22" s="7">
        <v>0.1965065502183406</v>
      </c>
      <c r="I22" s="7">
        <v>0.20899470899470898</v>
      </c>
      <c r="J22" s="7">
        <v>0.3056640625</v>
      </c>
      <c r="K22" s="7">
        <v>0.30829015544041449</v>
      </c>
      <c r="L22" s="19">
        <v>0.35079676729109899</v>
      </c>
      <c r="M22" s="19">
        <v>-0.16266362691483272</v>
      </c>
    </row>
    <row r="23" spans="1:13">
      <c r="A23" s="8" t="s">
        <v>5</v>
      </c>
      <c r="B23" s="7">
        <v>0.77264653641207814</v>
      </c>
      <c r="C23" s="7">
        <v>0.71196454948301324</v>
      </c>
      <c r="D23" s="7">
        <v>0.60823970037453179</v>
      </c>
      <c r="E23" s="7">
        <v>0.43994211287988422</v>
      </c>
      <c r="F23" s="7">
        <v>0.36051502145922748</v>
      </c>
      <c r="G23" s="7">
        <v>0.27272727272727271</v>
      </c>
      <c r="H23" s="7">
        <v>0.39737991266375544</v>
      </c>
      <c r="I23" s="7">
        <v>0.36243386243386244</v>
      </c>
      <c r="J23" s="7">
        <v>0.4736328125</v>
      </c>
      <c r="K23" s="7">
        <v>0.42227979274611399</v>
      </c>
      <c r="L23" s="19">
        <v>0.48686882897776168</v>
      </c>
      <c r="M23" s="19">
        <v>-4.6926716097877463E-2</v>
      </c>
    </row>
    <row r="24" spans="1:13">
      <c r="A24" s="8" t="s">
        <v>11</v>
      </c>
      <c r="B24" s="7">
        <v>0.16873889875666073</v>
      </c>
      <c r="C24" s="7">
        <v>0.20605612998522896</v>
      </c>
      <c r="D24" s="7">
        <v>0.18202247191011237</v>
      </c>
      <c r="E24" s="7">
        <v>8.6830680173661356E-2</v>
      </c>
      <c r="F24" s="7">
        <v>8.5836909871244635E-2</v>
      </c>
      <c r="G24" s="7">
        <v>4.0404040404040407E-2</v>
      </c>
      <c r="H24" s="7">
        <v>4.3668122270742356E-2</v>
      </c>
      <c r="I24" s="7">
        <v>6.3492063492063489E-2</v>
      </c>
      <c r="J24" s="7">
        <v>0.1044921875</v>
      </c>
      <c r="K24" s="7">
        <v>5.9585492227979271E-2</v>
      </c>
      <c r="L24" s="19">
        <v>0.10603292404645247</v>
      </c>
      <c r="M24" s="19">
        <v>-1.9202243872791111E-2</v>
      </c>
    </row>
    <row r="25" spans="1:13">
      <c r="A25" s="8" t="s">
        <v>12</v>
      </c>
      <c r="B25" s="7">
        <v>0.34280639431616339</v>
      </c>
      <c r="C25" s="7">
        <v>0.4859675036927622</v>
      </c>
      <c r="D25" s="7">
        <v>0.29588014981273408</v>
      </c>
      <c r="E25" s="7">
        <v>0.18523878437047755</v>
      </c>
      <c r="F25" s="7">
        <v>9.012875536480687E-2</v>
      </c>
      <c r="G25" s="7">
        <v>5.0505050505050504E-2</v>
      </c>
      <c r="H25" s="7">
        <v>8.7336244541484712E-2</v>
      </c>
      <c r="I25" s="7">
        <v>9.2592592592592587E-2</v>
      </c>
      <c r="J25" s="7">
        <v>0.1875</v>
      </c>
      <c r="K25" s="7">
        <v>0.16321243523316062</v>
      </c>
      <c r="L25" s="19">
        <v>0.199547680673195</v>
      </c>
      <c r="M25" s="19">
        <v>-1.430889630271745E-2</v>
      </c>
    </row>
    <row r="26" spans="1:13">
      <c r="A26" s="8" t="s">
        <v>9</v>
      </c>
      <c r="B26" s="7">
        <v>0.44937833037300179</v>
      </c>
      <c r="C26" s="7">
        <v>0.50738552437223039</v>
      </c>
      <c r="D26" s="7">
        <v>0.3588014981273408</v>
      </c>
      <c r="E26" s="7">
        <v>0.25470332850940663</v>
      </c>
      <c r="F26" s="7">
        <v>0.17167381974248927</v>
      </c>
      <c r="G26" s="7">
        <v>0.14646464646464646</v>
      </c>
      <c r="H26" s="7">
        <v>0.1222707423580786</v>
      </c>
      <c r="I26" s="7">
        <v>0.1626984126984127</v>
      </c>
      <c r="J26" s="7">
        <v>0.2685546875</v>
      </c>
      <c r="K26" s="7">
        <v>0.22279792746113988</v>
      </c>
      <c r="L26" s="19">
        <v>0.26778062101081557</v>
      </c>
      <c r="M26" s="19">
        <v>-1.3077292501408933E-2</v>
      </c>
    </row>
    <row r="27" spans="1:13">
      <c r="A27" s="8" t="s">
        <v>8</v>
      </c>
      <c r="B27" s="7">
        <v>0.54351687388987568</v>
      </c>
      <c r="C27" s="7">
        <v>0.604135893648449</v>
      </c>
      <c r="D27" s="7">
        <v>0.48239700374531835</v>
      </c>
      <c r="E27" s="7">
        <v>0.30824891461649784</v>
      </c>
      <c r="F27" s="7">
        <v>0.13304721030042918</v>
      </c>
      <c r="G27" s="7">
        <v>0.1111111111111111</v>
      </c>
      <c r="H27" s="7">
        <v>0.15283842794759825</v>
      </c>
      <c r="I27" s="7">
        <v>0.23015873015873015</v>
      </c>
      <c r="J27" s="7">
        <v>0.41015625</v>
      </c>
      <c r="K27" s="7">
        <v>0.21243523316062177</v>
      </c>
      <c r="L27" s="19">
        <v>0.31997741488468151</v>
      </c>
      <c r="M27" s="19">
        <v>-1.1728500268183673E-2</v>
      </c>
    </row>
    <row r="28" spans="1:13">
      <c r="A28" s="8" t="s">
        <v>7</v>
      </c>
      <c r="B28" s="7">
        <v>0.22912966252220249</v>
      </c>
      <c r="C28" s="7">
        <v>0.26440177252584934</v>
      </c>
      <c r="D28" s="7">
        <v>0.19625468164794008</v>
      </c>
      <c r="E28" s="7">
        <v>0.12590448625180897</v>
      </c>
      <c r="F28" s="7">
        <v>6.8669527896995708E-2</v>
      </c>
      <c r="G28" s="7">
        <v>3.5353535353535352E-2</v>
      </c>
      <c r="H28" s="7">
        <v>6.1135371179039298E-2</v>
      </c>
      <c r="I28" s="7">
        <v>7.1428571428571425E-2</v>
      </c>
      <c r="J28" s="7">
        <v>0.1513671875</v>
      </c>
      <c r="K28" s="7">
        <v>7.7720207253886009E-2</v>
      </c>
      <c r="L28" s="19">
        <v>0.12838450192311332</v>
      </c>
      <c r="M28" s="19">
        <v>-2.4800156713043475E-3</v>
      </c>
    </row>
    <row r="29" spans="1:13">
      <c r="A29" s="8" t="s">
        <v>4</v>
      </c>
      <c r="B29" s="7">
        <v>0.53108348134991124</v>
      </c>
      <c r="C29" s="7">
        <v>0.39290989660265879</v>
      </c>
      <c r="D29" s="7">
        <v>0.34157303370786518</v>
      </c>
      <c r="E29" s="7">
        <v>0.27206946454413894</v>
      </c>
      <c r="F29" s="7">
        <v>0.17596566523605151</v>
      </c>
      <c r="G29" s="7">
        <v>0.1111111111111111</v>
      </c>
      <c r="H29" s="7">
        <v>0.1703056768558952</v>
      </c>
      <c r="I29" s="7">
        <v>0.26719576719576721</v>
      </c>
      <c r="J29" s="7">
        <v>0.306640625</v>
      </c>
      <c r="K29" s="7">
        <v>0.14248704663212436</v>
      </c>
      <c r="L29" s="19">
        <v>0.2710302559657094</v>
      </c>
      <c r="M29" s="19">
        <v>1.0392085784295402E-3</v>
      </c>
    </row>
    <row r="30" spans="1:13">
      <c r="A30" s="8" t="s">
        <v>0</v>
      </c>
      <c r="B30" s="7">
        <v>0.48134991119005327</v>
      </c>
      <c r="C30" s="7">
        <v>0.70974889217134418</v>
      </c>
      <c r="D30" s="7">
        <v>0.55131086142322094</v>
      </c>
      <c r="E30" s="7">
        <v>0.41823444283646888</v>
      </c>
      <c r="F30" s="7">
        <v>0.19742489270386265</v>
      </c>
      <c r="G30" s="7">
        <v>0.18686868686868688</v>
      </c>
      <c r="H30" s="7">
        <v>0.23144104803493451</v>
      </c>
      <c r="I30" s="7">
        <v>0.34920634920634919</v>
      </c>
      <c r="J30" s="7">
        <v>0.40625</v>
      </c>
      <c r="K30" s="7">
        <v>0.36528497409326427</v>
      </c>
      <c r="L30" s="19">
        <v>0.38654284618796841</v>
      </c>
      <c r="M30" s="19">
        <v>3.1691596648500464E-2</v>
      </c>
    </row>
    <row r="31" spans="1:13">
      <c r="A31" s="8" t="s">
        <v>2</v>
      </c>
      <c r="B31" s="7">
        <v>0.55950266429840145</v>
      </c>
      <c r="C31" s="7">
        <v>0.43648449039881831</v>
      </c>
      <c r="D31" s="7">
        <v>0.29513108614232209</v>
      </c>
      <c r="E31" s="7">
        <v>0.426917510853835</v>
      </c>
      <c r="F31" s="7">
        <v>0.19742489270386265</v>
      </c>
      <c r="G31" s="7">
        <v>0.20202020202020202</v>
      </c>
      <c r="H31" s="7">
        <v>0.25327510917030566</v>
      </c>
      <c r="I31" s="7">
        <v>0.30291005291005291</v>
      </c>
      <c r="J31" s="7">
        <v>0.259765625</v>
      </c>
      <c r="K31" s="7">
        <v>0.36787564766839376</v>
      </c>
      <c r="L31" s="19">
        <v>0.31937664114581765</v>
      </c>
      <c r="M31" s="19">
        <v>0.10754086970801735</v>
      </c>
    </row>
    <row r="32" spans="1:13">
      <c r="A32" s="8" t="s">
        <v>6</v>
      </c>
      <c r="B32" s="7">
        <v>0.17761989342806395</v>
      </c>
      <c r="C32" s="7">
        <v>0.43943870014771047</v>
      </c>
      <c r="D32" s="7">
        <v>0.26741573033707866</v>
      </c>
      <c r="E32" s="7">
        <v>0.33429811866859621</v>
      </c>
      <c r="F32" s="7">
        <v>4.7210300429184553E-2</v>
      </c>
      <c r="G32" s="7">
        <v>4.5454545454545456E-2</v>
      </c>
      <c r="H32" s="7">
        <v>5.2401746724890827E-2</v>
      </c>
      <c r="I32" s="7">
        <v>8.2010582010582006E-2</v>
      </c>
      <c r="J32" s="7">
        <v>0.26953125</v>
      </c>
      <c r="K32" s="7">
        <v>6.4766839378238336E-2</v>
      </c>
      <c r="L32" s="19">
        <v>0.16064995421225492</v>
      </c>
      <c r="M32" s="19">
        <v>0.17364816445634129</v>
      </c>
    </row>
    <row r="33" spans="1:11">
      <c r="A33" s="9" t="str">
        <f>A16</f>
        <v>База (подсказанное знание: A2)</v>
      </c>
      <c r="B33" s="6">
        <f t="shared" ref="B33:K33" si="1">B16</f>
        <v>563</v>
      </c>
      <c r="C33" s="6">
        <f t="shared" si="1"/>
        <v>1354</v>
      </c>
      <c r="D33" s="6">
        <f t="shared" si="1"/>
        <v>1335</v>
      </c>
      <c r="E33" s="6">
        <f t="shared" si="1"/>
        <v>691</v>
      </c>
      <c r="F33" s="6">
        <f t="shared" si="1"/>
        <v>233</v>
      </c>
      <c r="G33" s="6">
        <f t="shared" si="1"/>
        <v>198</v>
      </c>
      <c r="H33" s="6">
        <f t="shared" si="1"/>
        <v>229</v>
      </c>
      <c r="I33" s="6">
        <f t="shared" si="1"/>
        <v>756</v>
      </c>
      <c r="J33" s="6">
        <f t="shared" si="1"/>
        <v>1024</v>
      </c>
      <c r="K33" s="6">
        <f t="shared" si="1"/>
        <v>386</v>
      </c>
    </row>
  </sheetData>
  <sortState xmlns:xlrd2="http://schemas.microsoft.com/office/spreadsheetml/2017/richdata2" ref="A20:M32">
    <sortCondition ref="M20:M32"/>
  </sortState>
  <mergeCells count="2">
    <mergeCell ref="A1:K1"/>
    <mergeCell ref="A18:K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C1E1-42F9-3846-B7F3-4C4DABB574D2}">
  <sheetPr codeName="Лист3"/>
  <dimension ref="A1:K32"/>
  <sheetViews>
    <sheetView workbookViewId="0">
      <selection activeCell="L10" sqref="L10"/>
    </sheetView>
  </sheetViews>
  <sheetFormatPr defaultColWidth="11.19921875" defaultRowHeight="15.6"/>
  <cols>
    <col min="1" max="1" width="31.69921875" style="4" bestFit="1" customWidth="1"/>
    <col min="2" max="11" width="7.796875" bestFit="1" customWidth="1"/>
  </cols>
  <sheetData>
    <row r="1" spans="1:11" s="4" customFormat="1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2"/>
      <c r="B2" s="3" t="s">
        <v>44</v>
      </c>
      <c r="C2" s="3" t="s">
        <v>44</v>
      </c>
      <c r="D2" s="3" t="s">
        <v>44</v>
      </c>
      <c r="E2" s="3" t="s">
        <v>44</v>
      </c>
      <c r="F2" s="3" t="s">
        <v>44</v>
      </c>
      <c r="G2" s="3" t="s">
        <v>44</v>
      </c>
      <c r="H2" s="3" t="s">
        <v>44</v>
      </c>
      <c r="I2" s="3" t="s">
        <v>44</v>
      </c>
      <c r="J2" s="3" t="s">
        <v>44</v>
      </c>
      <c r="K2" s="3" t="s">
        <v>44</v>
      </c>
    </row>
    <row r="3" spans="1:11">
      <c r="A3" s="2" t="s">
        <v>0</v>
      </c>
      <c r="B3" s="1">
        <v>271</v>
      </c>
      <c r="C3" s="1">
        <v>961</v>
      </c>
      <c r="D3" s="1">
        <v>736</v>
      </c>
      <c r="E3" s="1">
        <v>289</v>
      </c>
      <c r="F3" s="1">
        <v>46</v>
      </c>
      <c r="G3" s="1">
        <v>37</v>
      </c>
      <c r="H3" s="1">
        <v>53</v>
      </c>
      <c r="I3" s="1">
        <v>264</v>
      </c>
      <c r="J3" s="1">
        <v>416</v>
      </c>
      <c r="K3" s="1">
        <v>141</v>
      </c>
    </row>
    <row r="4" spans="1:11">
      <c r="A4" s="2" t="s">
        <v>1</v>
      </c>
      <c r="B4" s="1">
        <v>378</v>
      </c>
      <c r="C4" s="1">
        <v>868</v>
      </c>
      <c r="D4" s="1">
        <v>750</v>
      </c>
      <c r="E4" s="1">
        <v>143</v>
      </c>
      <c r="F4" s="1">
        <v>66</v>
      </c>
      <c r="G4" s="1">
        <v>22</v>
      </c>
      <c r="H4" s="1">
        <v>38</v>
      </c>
      <c r="I4" s="1">
        <v>226</v>
      </c>
      <c r="J4" s="1">
        <v>421</v>
      </c>
      <c r="K4" s="1">
        <v>88</v>
      </c>
    </row>
    <row r="5" spans="1:11">
      <c r="A5" s="2" t="s">
        <v>2</v>
      </c>
      <c r="B5" s="1">
        <v>315</v>
      </c>
      <c r="C5" s="1">
        <v>591</v>
      </c>
      <c r="D5" s="1">
        <v>394</v>
      </c>
      <c r="E5" s="1">
        <v>295</v>
      </c>
      <c r="F5" s="1">
        <v>46</v>
      </c>
      <c r="G5" s="1">
        <v>40</v>
      </c>
      <c r="H5" s="1">
        <v>58</v>
      </c>
      <c r="I5" s="1">
        <v>229</v>
      </c>
      <c r="J5" s="1">
        <v>266</v>
      </c>
      <c r="K5" s="1">
        <v>142</v>
      </c>
    </row>
    <row r="6" spans="1:11">
      <c r="A6" s="2" t="s">
        <v>3</v>
      </c>
      <c r="B6" s="1">
        <v>312</v>
      </c>
      <c r="C6" s="1">
        <v>995</v>
      </c>
      <c r="D6" s="1">
        <v>682</v>
      </c>
      <c r="E6" s="1">
        <v>130</v>
      </c>
      <c r="F6" s="1">
        <v>54</v>
      </c>
      <c r="G6" s="1">
        <v>21</v>
      </c>
      <c r="H6" s="1">
        <v>45</v>
      </c>
      <c r="I6" s="1">
        <v>158</v>
      </c>
      <c r="J6" s="1">
        <v>313</v>
      </c>
      <c r="K6" s="1">
        <v>119</v>
      </c>
    </row>
    <row r="7" spans="1:11">
      <c r="A7" s="2" t="s">
        <v>4</v>
      </c>
      <c r="B7" s="1">
        <v>299</v>
      </c>
      <c r="C7" s="1">
        <v>532</v>
      </c>
      <c r="D7" s="1">
        <v>456</v>
      </c>
      <c r="E7" s="1">
        <v>188</v>
      </c>
      <c r="F7" s="1">
        <v>41</v>
      </c>
      <c r="G7" s="1">
        <v>22</v>
      </c>
      <c r="H7" s="1">
        <v>39</v>
      </c>
      <c r="I7" s="1">
        <v>202</v>
      </c>
      <c r="J7" s="1">
        <v>314</v>
      </c>
      <c r="K7" s="1">
        <v>55</v>
      </c>
    </row>
    <row r="8" spans="1:11">
      <c r="A8" s="2" t="s">
        <v>5</v>
      </c>
      <c r="B8" s="1">
        <v>435</v>
      </c>
      <c r="C8" s="1">
        <v>964</v>
      </c>
      <c r="D8" s="1">
        <v>812</v>
      </c>
      <c r="E8" s="1">
        <v>304</v>
      </c>
      <c r="F8" s="1">
        <v>84</v>
      </c>
      <c r="G8" s="1">
        <v>54</v>
      </c>
      <c r="H8" s="1">
        <v>91</v>
      </c>
      <c r="I8" s="1">
        <v>274</v>
      </c>
      <c r="J8" s="1">
        <v>485</v>
      </c>
      <c r="K8" s="1">
        <v>163</v>
      </c>
    </row>
    <row r="9" spans="1:11">
      <c r="A9" s="2" t="s">
        <v>6</v>
      </c>
      <c r="B9" s="1">
        <v>100</v>
      </c>
      <c r="C9" s="1">
        <v>595</v>
      </c>
      <c r="D9" s="1">
        <v>357</v>
      </c>
      <c r="E9" s="1">
        <v>231</v>
      </c>
      <c r="F9" s="1">
        <v>11</v>
      </c>
      <c r="G9" s="1">
        <v>9</v>
      </c>
      <c r="H9" s="1">
        <v>12</v>
      </c>
      <c r="I9" s="1">
        <v>62</v>
      </c>
      <c r="J9" s="1">
        <v>276</v>
      </c>
      <c r="K9" s="1">
        <v>25</v>
      </c>
    </row>
    <row r="10" spans="1:11">
      <c r="A10" s="2" t="s">
        <v>7</v>
      </c>
      <c r="B10" s="1">
        <v>129</v>
      </c>
      <c r="C10" s="1">
        <v>358</v>
      </c>
      <c r="D10" s="1">
        <v>262</v>
      </c>
      <c r="E10" s="1">
        <v>87</v>
      </c>
      <c r="F10" s="1">
        <v>16</v>
      </c>
      <c r="G10" s="1">
        <v>7</v>
      </c>
      <c r="H10" s="1">
        <v>14</v>
      </c>
      <c r="I10" s="1">
        <v>54</v>
      </c>
      <c r="J10" s="1">
        <v>155</v>
      </c>
      <c r="K10" s="1">
        <v>30</v>
      </c>
    </row>
    <row r="11" spans="1:11">
      <c r="A11" s="2" t="s">
        <v>8</v>
      </c>
      <c r="B11" s="1">
        <v>306</v>
      </c>
      <c r="C11" s="1">
        <v>818</v>
      </c>
      <c r="D11" s="1">
        <v>644</v>
      </c>
      <c r="E11" s="1">
        <v>213</v>
      </c>
      <c r="F11" s="1">
        <v>31</v>
      </c>
      <c r="G11" s="1">
        <v>22</v>
      </c>
      <c r="H11" s="1">
        <v>35</v>
      </c>
      <c r="I11" s="1">
        <v>174</v>
      </c>
      <c r="J11" s="1">
        <v>420</v>
      </c>
      <c r="K11" s="1">
        <v>82</v>
      </c>
    </row>
    <row r="12" spans="1:11">
      <c r="A12" s="2" t="s">
        <v>9</v>
      </c>
      <c r="B12" s="1">
        <v>253</v>
      </c>
      <c r="C12" s="1">
        <v>687</v>
      </c>
      <c r="D12" s="1">
        <v>479</v>
      </c>
      <c r="E12" s="1">
        <v>176</v>
      </c>
      <c r="F12" s="1">
        <v>40</v>
      </c>
      <c r="G12" s="1">
        <v>29</v>
      </c>
      <c r="H12" s="1">
        <v>28</v>
      </c>
      <c r="I12" s="1">
        <v>123</v>
      </c>
      <c r="J12" s="1">
        <v>275</v>
      </c>
      <c r="K12" s="1">
        <v>86</v>
      </c>
    </row>
    <row r="13" spans="1:11">
      <c r="A13" s="2" t="s">
        <v>10</v>
      </c>
      <c r="B13" s="1">
        <v>375</v>
      </c>
      <c r="C13" s="1">
        <v>846</v>
      </c>
      <c r="D13" s="1">
        <v>763</v>
      </c>
      <c r="E13" s="1">
        <v>133</v>
      </c>
      <c r="F13" s="1">
        <v>53</v>
      </c>
      <c r="G13" s="1">
        <v>22</v>
      </c>
      <c r="H13" s="1">
        <v>52</v>
      </c>
      <c r="I13" s="1">
        <v>197</v>
      </c>
      <c r="J13" s="1">
        <v>421</v>
      </c>
      <c r="K13" s="1">
        <v>74</v>
      </c>
    </row>
    <row r="14" spans="1:11">
      <c r="A14" s="2" t="s">
        <v>11</v>
      </c>
      <c r="B14" s="1">
        <v>95</v>
      </c>
      <c r="C14" s="1">
        <v>279</v>
      </c>
      <c r="D14" s="1">
        <v>243</v>
      </c>
      <c r="E14" s="1">
        <v>60</v>
      </c>
      <c r="F14" s="1">
        <v>20</v>
      </c>
      <c r="G14" s="1">
        <v>8</v>
      </c>
      <c r="H14" s="1">
        <v>10</v>
      </c>
      <c r="I14" s="1">
        <v>48</v>
      </c>
      <c r="J14" s="1">
        <v>107</v>
      </c>
      <c r="K14" s="1">
        <v>23</v>
      </c>
    </row>
    <row r="15" spans="1:11">
      <c r="A15" s="2" t="s">
        <v>12</v>
      </c>
      <c r="B15" s="1">
        <v>193</v>
      </c>
      <c r="C15" s="1">
        <v>658</v>
      </c>
      <c r="D15" s="1">
        <v>395</v>
      </c>
      <c r="E15" s="1">
        <v>128</v>
      </c>
      <c r="F15" s="1">
        <v>21</v>
      </c>
      <c r="G15" s="1">
        <v>10</v>
      </c>
      <c r="H15" s="1">
        <v>20</v>
      </c>
      <c r="I15" s="1">
        <v>70</v>
      </c>
      <c r="J15" s="1">
        <v>192</v>
      </c>
      <c r="K15" s="1">
        <v>63</v>
      </c>
    </row>
    <row r="17" spans="1:11">
      <c r="A17" s="9" t="s">
        <v>16</v>
      </c>
      <c r="B17" s="3" t="s">
        <v>44</v>
      </c>
      <c r="C17" s="3" t="s">
        <v>44</v>
      </c>
      <c r="D17" s="3" t="s">
        <v>44</v>
      </c>
      <c r="E17" s="3" t="s">
        <v>44</v>
      </c>
      <c r="F17" s="3" t="s">
        <v>44</v>
      </c>
      <c r="G17" s="3" t="s">
        <v>44</v>
      </c>
      <c r="H17" s="3" t="s">
        <v>44</v>
      </c>
      <c r="I17" s="3" t="s">
        <v>44</v>
      </c>
      <c r="J17" s="3" t="s">
        <v>44</v>
      </c>
      <c r="K17" s="3" t="s">
        <v>44</v>
      </c>
    </row>
    <row r="18" spans="1:11">
      <c r="A18" s="8" t="s">
        <v>0</v>
      </c>
      <c r="B18" s="14">
        <v>2.4466466903686523</v>
      </c>
      <c r="C18" s="14">
        <v>3.0315508842468262</v>
      </c>
      <c r="D18" s="13">
        <v>-1.3000031709671021</v>
      </c>
      <c r="E18" s="14">
        <v>2.437002420425415</v>
      </c>
      <c r="F18" s="13">
        <v>-8.6460664868354797E-2</v>
      </c>
      <c r="G18" s="13">
        <v>-0.56162476539611816</v>
      </c>
      <c r="H18" s="13">
        <v>6.4934484660625458E-2</v>
      </c>
      <c r="I18" s="13">
        <v>0.90198171138763428</v>
      </c>
      <c r="J18" s="13">
        <v>0.12156752496957779</v>
      </c>
      <c r="K18" s="12">
        <v>-4.8944077491760254</v>
      </c>
    </row>
    <row r="19" spans="1:11">
      <c r="A19" s="8" t="s">
        <v>1</v>
      </c>
      <c r="B19" s="12">
        <v>-5.9292054176330566</v>
      </c>
      <c r="C19" s="13">
        <v>1.5009362697601318</v>
      </c>
      <c r="D19" s="13">
        <v>1.9424608945846558</v>
      </c>
      <c r="E19" s="13">
        <v>-1.8570934534072876</v>
      </c>
      <c r="F19" s="13">
        <v>-1.0508936643600464</v>
      </c>
      <c r="G19" s="13">
        <v>1.0940929651260376</v>
      </c>
      <c r="H19" s="14">
        <v>2.4694366455078125</v>
      </c>
      <c r="I19" s="13">
        <v>-1.4257949590682983</v>
      </c>
      <c r="J19" s="13">
        <v>-1.5271259546279907</v>
      </c>
      <c r="K19" s="14">
        <v>2.0511238574981689</v>
      </c>
    </row>
    <row r="20" spans="1:11">
      <c r="A20" s="8" t="s">
        <v>2</v>
      </c>
      <c r="B20" s="14">
        <v>8.0842447280883789</v>
      </c>
      <c r="C20" s="14">
        <v>5.2648563385009766</v>
      </c>
      <c r="D20" s="13">
        <v>0.75128984451293945</v>
      </c>
      <c r="E20" s="14">
        <v>6.1931476593017578</v>
      </c>
      <c r="F20" s="12">
        <v>-4.5490164756774902</v>
      </c>
      <c r="G20" s="12">
        <v>-2.8189442157745361</v>
      </c>
      <c r="H20" s="12">
        <v>-6.3867521286010742</v>
      </c>
      <c r="I20" s="14">
        <v>3.3796570301055908</v>
      </c>
      <c r="J20" s="14">
        <v>3.1361980438232422</v>
      </c>
      <c r="K20" s="14">
        <v>2.7772648334503174</v>
      </c>
    </row>
    <row r="21" spans="1:11">
      <c r="A21" s="8" t="s">
        <v>3</v>
      </c>
      <c r="B21" s="12">
        <v>-6.0844326019287109</v>
      </c>
      <c r="C21" s="12">
        <v>-2.5112247467041016</v>
      </c>
      <c r="D21" s="13">
        <v>0.70979094505310059</v>
      </c>
      <c r="E21" s="13">
        <v>1.7782362699508667</v>
      </c>
      <c r="F21" s="14">
        <v>5.0388278961181641</v>
      </c>
      <c r="G21" s="12">
        <v>-3.2674221992492676</v>
      </c>
      <c r="H21" s="13">
        <v>1.4047976732254028</v>
      </c>
      <c r="I21" s="13">
        <v>-1.336633563041687</v>
      </c>
      <c r="J21" s="13">
        <v>-0.12972564995288849</v>
      </c>
      <c r="K21" s="13">
        <v>-0.49022144079208374</v>
      </c>
    </row>
    <row r="22" spans="1:11">
      <c r="A22" s="8" t="s">
        <v>4</v>
      </c>
      <c r="B22" s="13">
        <v>1.6022650003433228</v>
      </c>
      <c r="C22" s="14">
        <v>4.5906214714050293</v>
      </c>
      <c r="D22" s="13">
        <v>0.61831414699554443</v>
      </c>
      <c r="E22" s="12">
        <v>-2.4853329658508301</v>
      </c>
      <c r="F22" s="12">
        <v>-4.4154033660888672</v>
      </c>
      <c r="G22" s="13">
        <v>1.6689904928207397</v>
      </c>
      <c r="H22" s="13">
        <v>-1.5669931173324585</v>
      </c>
      <c r="I22" s="13">
        <v>0.14659520983695984</v>
      </c>
      <c r="J22" s="13">
        <v>0.7057303786277771</v>
      </c>
      <c r="K22" s="14">
        <v>3.552278995513916</v>
      </c>
    </row>
    <row r="23" spans="1:11">
      <c r="A23" s="8" t="s">
        <v>5</v>
      </c>
      <c r="B23" s="13">
        <v>1.0953552722930908</v>
      </c>
      <c r="C23" s="13">
        <v>1.52181077003479</v>
      </c>
      <c r="D23" s="14">
        <v>2.5673012733459473</v>
      </c>
      <c r="E23" s="14">
        <v>2.7923424243927002</v>
      </c>
      <c r="F23" s="12">
        <v>-4.078239917755127</v>
      </c>
      <c r="G23" s="13">
        <v>-0.12456677854061127</v>
      </c>
      <c r="H23" s="13">
        <v>-0.88115203380584717</v>
      </c>
      <c r="I23" s="14">
        <v>2.9187848567962646</v>
      </c>
      <c r="J23" s="14">
        <v>4.0914673805236816</v>
      </c>
      <c r="K23" s="13">
        <v>0.94723516702651978</v>
      </c>
    </row>
    <row r="24" spans="1:11">
      <c r="A24" s="8" t="s">
        <v>6</v>
      </c>
      <c r="B24" s="14">
        <v>8.7762775421142578</v>
      </c>
      <c r="C24" s="12">
        <v>-4.899327278137207</v>
      </c>
      <c r="D24" s="12">
        <v>-3.3529729843139648</v>
      </c>
      <c r="E24" s="12">
        <v>-4.5164370536804199</v>
      </c>
      <c r="F24" s="14">
        <v>4.0957217216491699</v>
      </c>
      <c r="G24" s="14">
        <v>3.530181884765625</v>
      </c>
      <c r="H24" s="13">
        <v>-1.3453259468078613</v>
      </c>
      <c r="I24" s="13">
        <v>-1.8761950731277466</v>
      </c>
      <c r="J24" s="12">
        <v>-2.9162065982818604</v>
      </c>
      <c r="K24" s="12">
        <v>-6.5441288948059082</v>
      </c>
    </row>
    <row r="25" spans="1:11">
      <c r="A25" s="8" t="s">
        <v>7</v>
      </c>
      <c r="B25" s="13">
        <v>4.3222721666097641E-2</v>
      </c>
      <c r="C25" s="12">
        <v>-2.5053091049194336</v>
      </c>
      <c r="D25" s="13">
        <v>-0.74539214372634888</v>
      </c>
      <c r="E25" s="13">
        <v>-1.5460072755813599</v>
      </c>
      <c r="F25" s="13">
        <v>1.3460431098937988</v>
      </c>
      <c r="G25" s="13">
        <v>0.57973045110702515</v>
      </c>
      <c r="H25" s="13">
        <v>0.49959677457809448</v>
      </c>
      <c r="I25" s="13">
        <v>-1.2155915498733521</v>
      </c>
      <c r="J25" s="13">
        <v>-0.94984531402587891</v>
      </c>
      <c r="K25" s="13">
        <v>0.25918969511985779</v>
      </c>
    </row>
    <row r="26" spans="1:11">
      <c r="A26" s="8" t="s">
        <v>8</v>
      </c>
      <c r="B26" s="13">
        <v>-5.258241668343544E-2</v>
      </c>
      <c r="C26" s="13">
        <v>-0.96115773916244507</v>
      </c>
      <c r="D26" s="12">
        <v>-2.4029524326324463</v>
      </c>
      <c r="E26" s="13">
        <v>-1.6270003318786621</v>
      </c>
      <c r="F26" s="13">
        <v>-0.1763506680727005</v>
      </c>
      <c r="G26" s="14">
        <v>2.8667562007904053</v>
      </c>
      <c r="H26" s="13">
        <v>0.67498427629470825</v>
      </c>
      <c r="I26" s="13">
        <v>-1.0056225061416626</v>
      </c>
      <c r="J26" s="13">
        <v>-1.4263098239898682</v>
      </c>
      <c r="K26" s="13">
        <v>-0.29787734150886536</v>
      </c>
    </row>
    <row r="27" spans="1:11">
      <c r="A27" s="8" t="s">
        <v>9</v>
      </c>
      <c r="B27" s="13">
        <v>0.50258785486221313</v>
      </c>
      <c r="C27" s="12">
        <v>-2.0817127227783203</v>
      </c>
      <c r="D27" s="13">
        <v>0.37246358394622803</v>
      </c>
      <c r="E27" s="13">
        <v>0.9322931170463562</v>
      </c>
      <c r="F27" s="13">
        <v>1.3525882959365845</v>
      </c>
      <c r="G27" s="13">
        <v>-0.85281980037689209</v>
      </c>
      <c r="H27" s="13">
        <v>-0.81219619512557983</v>
      </c>
      <c r="I27" s="13">
        <v>1.5919687747955322</v>
      </c>
      <c r="J27" s="13">
        <v>-1.2269802093505859</v>
      </c>
      <c r="K27" s="13">
        <v>0.39875391125679016</v>
      </c>
    </row>
    <row r="28" spans="1:11">
      <c r="A28" s="8" t="s">
        <v>10</v>
      </c>
      <c r="B28" s="12">
        <v>-6.325202465057373</v>
      </c>
      <c r="C28" s="13">
        <v>-0.22411957383155823</v>
      </c>
      <c r="D28" s="13">
        <v>0.29658183455467224</v>
      </c>
      <c r="E28" s="12">
        <v>-3.0205495357513428</v>
      </c>
      <c r="F28" s="13">
        <v>-1.1570032835006714</v>
      </c>
      <c r="G28" s="13">
        <v>1.536781907081604</v>
      </c>
      <c r="H28" s="14">
        <v>3.562711238861084</v>
      </c>
      <c r="I28" s="13">
        <v>-1.3235692977905273</v>
      </c>
      <c r="J28" s="13">
        <v>0.63563615083694458</v>
      </c>
      <c r="K28" s="14">
        <v>2.3066692352294922</v>
      </c>
    </row>
    <row r="29" spans="1:11">
      <c r="A29" s="8" t="s">
        <v>11</v>
      </c>
      <c r="B29" s="13">
        <v>-1.14434814453125</v>
      </c>
      <c r="C29" s="13">
        <v>-1.6510876417160034</v>
      </c>
      <c r="D29" s="13">
        <v>1.1497677564620972</v>
      </c>
      <c r="E29" s="13">
        <v>-1.5786675214767456</v>
      </c>
      <c r="F29" s="13">
        <v>0.68710875511169434</v>
      </c>
      <c r="G29" s="13">
        <v>-1.0835871696472168</v>
      </c>
      <c r="H29" s="14">
        <v>2.7300510406494141</v>
      </c>
      <c r="I29" s="13">
        <v>-0.29044300317764282</v>
      </c>
      <c r="J29" s="13">
        <v>-1.1777687072753906</v>
      </c>
      <c r="K29" s="13">
        <v>-0.62182217836380005</v>
      </c>
    </row>
    <row r="30" spans="1:11">
      <c r="A30" s="8" t="s">
        <v>12</v>
      </c>
      <c r="B30" s="13">
        <v>-0.70947957038879395</v>
      </c>
      <c r="C30" s="12">
        <v>-4.5144853591918945</v>
      </c>
      <c r="D30" s="13">
        <v>-1.6940616369247437</v>
      </c>
      <c r="E30" s="13">
        <v>5.6747313588857651E-2</v>
      </c>
      <c r="F30" s="14">
        <v>5.8184142112731934</v>
      </c>
      <c r="G30" s="12">
        <v>-2.6759946346282959</v>
      </c>
      <c r="H30" s="13">
        <v>-0.2394980788230896</v>
      </c>
      <c r="I30" s="13">
        <v>-1.7687528133392334</v>
      </c>
      <c r="J30" s="13">
        <v>-1.5730710029602051</v>
      </c>
      <c r="K30" s="13">
        <v>-0.38563790917396545</v>
      </c>
    </row>
    <row r="32" spans="1:11">
      <c r="A32" s="8" t="s">
        <v>17</v>
      </c>
      <c r="B32" s="11" t="s">
        <v>18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1B13-5888-1E49-AC4B-5AD56766A509}">
  <sheetPr codeName="Лист4"/>
  <dimension ref="A1:M195"/>
  <sheetViews>
    <sheetView workbookViewId="0">
      <selection activeCell="B124" sqref="B124"/>
    </sheetView>
  </sheetViews>
  <sheetFormatPr defaultColWidth="11.19921875" defaultRowHeight="15.6"/>
  <cols>
    <col min="1" max="1" width="100.69921875" style="4" bestFit="1" customWidth="1"/>
    <col min="2" max="3" width="7.796875" bestFit="1" customWidth="1"/>
    <col min="4" max="4" width="14.296875" bestFit="1" customWidth="1"/>
    <col min="5" max="11" width="7.796875" bestFit="1" customWidth="1"/>
    <col min="12" max="13" width="7" bestFit="1" customWidth="1"/>
  </cols>
  <sheetData>
    <row r="1" spans="1:11" s="4" customFormat="1">
      <c r="A1" s="43" t="s">
        <v>14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>
      <c r="A2" s="2"/>
      <c r="B2" s="3" t="s">
        <v>44</v>
      </c>
      <c r="C2" s="3" t="s">
        <v>44</v>
      </c>
      <c r="D2" s="3" t="s">
        <v>44</v>
      </c>
      <c r="E2" s="3" t="s">
        <v>44</v>
      </c>
      <c r="F2" s="3" t="s">
        <v>44</v>
      </c>
      <c r="G2" s="3" t="s">
        <v>44</v>
      </c>
      <c r="H2" s="3" t="s">
        <v>44</v>
      </c>
      <c r="I2" s="3" t="s">
        <v>44</v>
      </c>
      <c r="J2" s="3" t="s">
        <v>44</v>
      </c>
      <c r="K2" s="3" t="s">
        <v>44</v>
      </c>
    </row>
    <row r="3" spans="1:11">
      <c r="A3" s="2" t="s">
        <v>0</v>
      </c>
      <c r="B3" s="1">
        <v>271</v>
      </c>
      <c r="C3" s="1">
        <v>961</v>
      </c>
      <c r="D3" s="1">
        <v>736</v>
      </c>
      <c r="E3" s="1">
        <v>289</v>
      </c>
      <c r="F3" s="1">
        <v>46</v>
      </c>
      <c r="G3" s="1">
        <v>37</v>
      </c>
      <c r="H3" s="1">
        <v>53</v>
      </c>
      <c r="I3" s="1">
        <v>264</v>
      </c>
      <c r="J3" s="1">
        <v>416</v>
      </c>
      <c r="K3" s="1">
        <v>141</v>
      </c>
    </row>
    <row r="4" spans="1:11">
      <c r="A4" s="2" t="s">
        <v>1</v>
      </c>
      <c r="B4" s="1">
        <v>378</v>
      </c>
      <c r="C4" s="1">
        <v>868</v>
      </c>
      <c r="D4" s="1">
        <v>750</v>
      </c>
      <c r="E4" s="1">
        <v>143</v>
      </c>
      <c r="F4" s="1">
        <v>66</v>
      </c>
      <c r="G4" s="1">
        <v>22</v>
      </c>
      <c r="H4" s="1">
        <v>38</v>
      </c>
      <c r="I4" s="1">
        <v>226</v>
      </c>
      <c r="J4" s="1">
        <v>421</v>
      </c>
      <c r="K4" s="1">
        <v>88</v>
      </c>
    </row>
    <row r="5" spans="1:11">
      <c r="A5" s="2" t="s">
        <v>2</v>
      </c>
      <c r="B5" s="1">
        <v>315</v>
      </c>
      <c r="C5" s="1">
        <v>591</v>
      </c>
      <c r="D5" s="1">
        <v>394</v>
      </c>
      <c r="E5" s="1">
        <v>295</v>
      </c>
      <c r="F5" s="1">
        <v>46</v>
      </c>
      <c r="G5" s="1">
        <v>40</v>
      </c>
      <c r="H5" s="1">
        <v>58</v>
      </c>
      <c r="I5" s="1">
        <v>229</v>
      </c>
      <c r="J5" s="1">
        <v>266</v>
      </c>
      <c r="K5" s="1">
        <v>142</v>
      </c>
    </row>
    <row r="6" spans="1:11">
      <c r="A6" s="2" t="s">
        <v>3</v>
      </c>
      <c r="B6" s="1">
        <v>312</v>
      </c>
      <c r="C6" s="1">
        <v>995</v>
      </c>
      <c r="D6" s="1">
        <v>682</v>
      </c>
      <c r="E6" s="1">
        <v>130</v>
      </c>
      <c r="F6" s="1">
        <v>54</v>
      </c>
      <c r="G6" s="1">
        <v>21</v>
      </c>
      <c r="H6" s="1">
        <v>45</v>
      </c>
      <c r="I6" s="1">
        <v>158</v>
      </c>
      <c r="J6" s="1">
        <v>313</v>
      </c>
      <c r="K6" s="1">
        <v>119</v>
      </c>
    </row>
    <row r="7" spans="1:11">
      <c r="A7" s="2" t="s">
        <v>4</v>
      </c>
      <c r="B7" s="1">
        <v>299</v>
      </c>
      <c r="C7" s="1">
        <v>532</v>
      </c>
      <c r="D7" s="1">
        <v>456</v>
      </c>
      <c r="E7" s="1">
        <v>188</v>
      </c>
      <c r="F7" s="1">
        <v>41</v>
      </c>
      <c r="G7" s="1">
        <v>22</v>
      </c>
      <c r="H7" s="1">
        <v>39</v>
      </c>
      <c r="I7" s="1">
        <v>202</v>
      </c>
      <c r="J7" s="1">
        <v>314</v>
      </c>
      <c r="K7" s="1">
        <v>55</v>
      </c>
    </row>
    <row r="8" spans="1:11">
      <c r="A8" s="2" t="s">
        <v>5</v>
      </c>
      <c r="B8" s="1">
        <v>435</v>
      </c>
      <c r="C8" s="1">
        <v>964</v>
      </c>
      <c r="D8" s="1">
        <v>812</v>
      </c>
      <c r="E8" s="1">
        <v>304</v>
      </c>
      <c r="F8" s="1">
        <v>84</v>
      </c>
      <c r="G8" s="1">
        <v>54</v>
      </c>
      <c r="H8" s="1">
        <v>91</v>
      </c>
      <c r="I8" s="1">
        <v>274</v>
      </c>
      <c r="J8" s="1">
        <v>485</v>
      </c>
      <c r="K8" s="1">
        <v>163</v>
      </c>
    </row>
    <row r="9" spans="1:11">
      <c r="A9" s="2" t="s">
        <v>6</v>
      </c>
      <c r="B9" s="1">
        <v>100</v>
      </c>
      <c r="C9" s="1">
        <v>595</v>
      </c>
      <c r="D9" s="1">
        <v>357</v>
      </c>
      <c r="E9" s="1">
        <v>231</v>
      </c>
      <c r="F9" s="1">
        <v>11</v>
      </c>
      <c r="G9" s="1">
        <v>9</v>
      </c>
      <c r="H9" s="1">
        <v>12</v>
      </c>
      <c r="I9" s="1">
        <v>62</v>
      </c>
      <c r="J9" s="1">
        <v>276</v>
      </c>
      <c r="K9" s="1">
        <v>25</v>
      </c>
    </row>
    <row r="10" spans="1:11">
      <c r="A10" s="2" t="s">
        <v>7</v>
      </c>
      <c r="B10" s="1">
        <v>129</v>
      </c>
      <c r="C10" s="1">
        <v>358</v>
      </c>
      <c r="D10" s="1">
        <v>262</v>
      </c>
      <c r="E10" s="1">
        <v>87</v>
      </c>
      <c r="F10" s="1">
        <v>16</v>
      </c>
      <c r="G10" s="1">
        <v>7</v>
      </c>
      <c r="H10" s="1">
        <v>14</v>
      </c>
      <c r="I10" s="1">
        <v>54</v>
      </c>
      <c r="J10" s="1">
        <v>155</v>
      </c>
      <c r="K10" s="1">
        <v>30</v>
      </c>
    </row>
    <row r="11" spans="1:11">
      <c r="A11" s="2" t="s">
        <v>8</v>
      </c>
      <c r="B11" s="1">
        <v>306</v>
      </c>
      <c r="C11" s="1">
        <v>818</v>
      </c>
      <c r="D11" s="1">
        <v>644</v>
      </c>
      <c r="E11" s="1">
        <v>213</v>
      </c>
      <c r="F11" s="1">
        <v>31</v>
      </c>
      <c r="G11" s="1">
        <v>22</v>
      </c>
      <c r="H11" s="1">
        <v>35</v>
      </c>
      <c r="I11" s="1">
        <v>174</v>
      </c>
      <c r="J11" s="1">
        <v>420</v>
      </c>
      <c r="K11" s="1">
        <v>82</v>
      </c>
    </row>
    <row r="12" spans="1:11">
      <c r="A12" s="2" t="s">
        <v>9</v>
      </c>
      <c r="B12" s="1">
        <v>253</v>
      </c>
      <c r="C12" s="1">
        <v>687</v>
      </c>
      <c r="D12" s="1">
        <v>479</v>
      </c>
      <c r="E12" s="1">
        <v>176</v>
      </c>
      <c r="F12" s="1">
        <v>40</v>
      </c>
      <c r="G12" s="1">
        <v>29</v>
      </c>
      <c r="H12" s="1">
        <v>28</v>
      </c>
      <c r="I12" s="1">
        <v>123</v>
      </c>
      <c r="J12" s="1">
        <v>275</v>
      </c>
      <c r="K12" s="1">
        <v>86</v>
      </c>
    </row>
    <row r="13" spans="1:11">
      <c r="A13" s="2" t="s">
        <v>10</v>
      </c>
      <c r="B13" s="1">
        <v>375</v>
      </c>
      <c r="C13" s="1">
        <v>846</v>
      </c>
      <c r="D13" s="1">
        <v>763</v>
      </c>
      <c r="E13" s="1">
        <v>133</v>
      </c>
      <c r="F13" s="1">
        <v>53</v>
      </c>
      <c r="G13" s="1">
        <v>22</v>
      </c>
      <c r="H13" s="1">
        <v>52</v>
      </c>
      <c r="I13" s="1">
        <v>197</v>
      </c>
      <c r="J13" s="1">
        <v>421</v>
      </c>
      <c r="K13" s="1">
        <v>74</v>
      </c>
    </row>
    <row r="14" spans="1:11">
      <c r="A14" s="2" t="s">
        <v>11</v>
      </c>
      <c r="B14" s="1">
        <v>95</v>
      </c>
      <c r="C14" s="1">
        <v>279</v>
      </c>
      <c r="D14" s="1">
        <v>243</v>
      </c>
      <c r="E14" s="1">
        <v>60</v>
      </c>
      <c r="F14" s="1">
        <v>20</v>
      </c>
      <c r="G14" s="1">
        <v>8</v>
      </c>
      <c r="H14" s="1">
        <v>10</v>
      </c>
      <c r="I14" s="1">
        <v>48</v>
      </c>
      <c r="J14" s="1">
        <v>107</v>
      </c>
      <c r="K14" s="1">
        <v>23</v>
      </c>
    </row>
    <row r="15" spans="1:11">
      <c r="A15" s="2" t="s">
        <v>12</v>
      </c>
      <c r="B15" s="1">
        <v>193</v>
      </c>
      <c r="C15" s="1">
        <v>658</v>
      </c>
      <c r="D15" s="1">
        <v>395</v>
      </c>
      <c r="E15" s="1">
        <v>128</v>
      </c>
      <c r="F15" s="1">
        <v>21</v>
      </c>
      <c r="G15" s="1">
        <v>10</v>
      </c>
      <c r="H15" s="1">
        <v>20</v>
      </c>
      <c r="I15" s="1">
        <v>70</v>
      </c>
      <c r="J15" s="1">
        <v>192</v>
      </c>
      <c r="K15" s="1">
        <v>63</v>
      </c>
    </row>
    <row r="17" spans="1:10">
      <c r="A17" s="4" t="s">
        <v>19</v>
      </c>
    </row>
    <row r="18" spans="1:10">
      <c r="A18" s="4" t="s">
        <v>20</v>
      </c>
    </row>
    <row r="21" spans="1:10">
      <c r="A21" s="23" t="s">
        <v>21</v>
      </c>
    </row>
    <row r="22" spans="1:10">
      <c r="A22" s="4" t="s">
        <v>22</v>
      </c>
    </row>
    <row r="23" spans="1:10">
      <c r="A23" s="4" t="s">
        <v>23</v>
      </c>
    </row>
    <row r="24" spans="1:10">
      <c r="A24" s="4" t="s">
        <v>24</v>
      </c>
    </row>
    <row r="26" spans="1:10">
      <c r="A26" s="4" t="s">
        <v>25</v>
      </c>
    </row>
    <row r="27" spans="1:10" ht="16.2" thickBot="1"/>
    <row r="28" spans="1:10">
      <c r="A28" s="17" t="s">
        <v>26</v>
      </c>
      <c r="B28" s="17">
        <v>1</v>
      </c>
      <c r="C28" s="17">
        <v>2</v>
      </c>
      <c r="D28" s="17">
        <v>3</v>
      </c>
      <c r="E28" s="17">
        <v>4</v>
      </c>
      <c r="F28" s="17">
        <v>5</v>
      </c>
      <c r="G28" s="17">
        <v>6</v>
      </c>
      <c r="H28" s="17">
        <v>7</v>
      </c>
      <c r="I28" s="17">
        <v>8</v>
      </c>
      <c r="J28" s="17">
        <v>9</v>
      </c>
    </row>
    <row r="29" spans="1:10">
      <c r="A29" t="s">
        <v>27</v>
      </c>
      <c r="B29" s="15">
        <v>1.4194281391912689E-2</v>
      </c>
      <c r="C29" s="15">
        <v>1.053825462986361E-2</v>
      </c>
      <c r="D29" s="15">
        <v>4.5437485311401989E-3</v>
      </c>
      <c r="E29" s="15">
        <v>1.4805067590267622E-3</v>
      </c>
      <c r="F29" s="15">
        <v>7.6555157874584135E-4</v>
      </c>
      <c r="G29" s="15">
        <v>3.6765138114205404E-4</v>
      </c>
      <c r="H29" s="15">
        <v>2.2813105513414859E-4</v>
      </c>
      <c r="I29" s="15">
        <v>1.3452707533036484E-4</v>
      </c>
      <c r="J29" s="15">
        <v>4.7777120681646839E-5</v>
      </c>
    </row>
    <row r="30" spans="1:10">
      <c r="A30" t="s">
        <v>28</v>
      </c>
      <c r="B30" s="19">
        <v>0.43944559256759769</v>
      </c>
      <c r="C30" s="19">
        <v>0.32625741469992198</v>
      </c>
      <c r="D30" s="19">
        <v>0.14067145849896354</v>
      </c>
      <c r="E30" s="19">
        <v>4.5835513053273352E-2</v>
      </c>
      <c r="F30" s="19">
        <v>2.3700972093923918E-2</v>
      </c>
      <c r="G30" s="19">
        <v>1.1382244340760879E-2</v>
      </c>
      <c r="H30" s="19">
        <v>7.0627870434931761E-3</v>
      </c>
      <c r="I30" s="19">
        <v>4.1648695487057647E-3</v>
      </c>
      <c r="J30" s="19">
        <v>1.479148153360004E-3</v>
      </c>
    </row>
    <row r="31" spans="1:10" ht="16.2" thickBot="1">
      <c r="A31" s="16" t="s">
        <v>29</v>
      </c>
      <c r="B31" s="20">
        <v>0.43944559256759769</v>
      </c>
      <c r="C31" s="20">
        <v>0.76570300726751972</v>
      </c>
      <c r="D31" s="20">
        <v>0.90637446576648317</v>
      </c>
      <c r="E31" s="20">
        <v>0.95220997881975655</v>
      </c>
      <c r="F31" s="20">
        <v>0.97591095091368041</v>
      </c>
      <c r="G31" s="20">
        <v>0.98729319525444126</v>
      </c>
      <c r="H31" s="20">
        <v>0.99435598229793443</v>
      </c>
      <c r="I31" s="20">
        <v>0.99852085184664008</v>
      </c>
      <c r="J31" s="20">
        <v>1</v>
      </c>
    </row>
    <row r="34" spans="1:13">
      <c r="A34" s="4" t="s">
        <v>31</v>
      </c>
    </row>
    <row r="35" spans="1:13" ht="16.2" thickBot="1"/>
    <row r="36" spans="1:13">
      <c r="A36" s="17"/>
      <c r="B36" s="17" t="s">
        <v>38</v>
      </c>
      <c r="C36" s="17" t="s">
        <v>39</v>
      </c>
      <c r="D36" s="17" t="s">
        <v>40</v>
      </c>
      <c r="E36" s="17">
        <v>1</v>
      </c>
      <c r="F36" s="17">
        <v>2</v>
      </c>
      <c r="G36" s="17">
        <v>3</v>
      </c>
      <c r="H36" s="17">
        <v>4</v>
      </c>
      <c r="I36" s="17">
        <v>5</v>
      </c>
      <c r="J36" s="17">
        <v>6</v>
      </c>
      <c r="K36" s="17">
        <v>7</v>
      </c>
      <c r="L36" s="17">
        <v>8</v>
      </c>
      <c r="M36" s="17">
        <v>9</v>
      </c>
    </row>
    <row r="37" spans="1:13">
      <c r="A37" t="s">
        <v>44</v>
      </c>
      <c r="B37" s="15">
        <v>0.11338990269632736</v>
      </c>
      <c r="C37" s="15">
        <v>3.2312825118262821E-3</v>
      </c>
      <c r="D37" s="15">
        <v>0.10003837594567185</v>
      </c>
      <c r="E37" s="15">
        <v>5.1678591266728482E-2</v>
      </c>
      <c r="F37" s="15">
        <v>-0.13218106819533451</v>
      </c>
      <c r="G37" s="15">
        <v>-1.1441430550340245E-2</v>
      </c>
      <c r="H37" s="15">
        <v>9.0061960363498478E-2</v>
      </c>
      <c r="I37" s="15">
        <v>-6.6541531907540908E-3</v>
      </c>
      <c r="J37" s="15">
        <v>-3.5345056733946134E-3</v>
      </c>
      <c r="K37" s="15">
        <v>-3.8466693244594129E-3</v>
      </c>
      <c r="L37" s="15">
        <v>-6.373097089613782E-3</v>
      </c>
      <c r="M37" s="15">
        <v>-5.7780849789624081E-4</v>
      </c>
    </row>
    <row r="38" spans="1:13">
      <c r="A38" t="s">
        <v>44</v>
      </c>
      <c r="B38" s="15">
        <v>0.29983946532123318</v>
      </c>
      <c r="C38" s="15">
        <v>4.568197934137405E-3</v>
      </c>
      <c r="D38" s="15">
        <v>0.14142839589448061</v>
      </c>
      <c r="E38" s="15">
        <v>-9.6538819485636834E-2</v>
      </c>
      <c r="F38" s="15">
        <v>5.3686430048532477E-2</v>
      </c>
      <c r="G38" s="15">
        <v>5.2694119772208788E-2</v>
      </c>
      <c r="H38" s="15">
        <v>7.3113045287667676E-3</v>
      </c>
      <c r="I38" s="15">
        <v>-1.178378812860429E-2</v>
      </c>
      <c r="J38" s="15">
        <v>6.477980421187398E-4</v>
      </c>
      <c r="K38" s="15">
        <v>4.5746961800455666E-3</v>
      </c>
      <c r="L38" s="15">
        <v>5.5786507397891597E-3</v>
      </c>
      <c r="M38" s="15">
        <v>3.4714296700111085E-3</v>
      </c>
    </row>
    <row r="39" spans="1:13">
      <c r="A39" t="s">
        <v>44</v>
      </c>
      <c r="B39" s="15">
        <v>0.22845067653900336</v>
      </c>
      <c r="C39" s="15">
        <v>2.4727747099715269E-3</v>
      </c>
      <c r="D39" s="15">
        <v>7.6555474539819604E-2</v>
      </c>
      <c r="E39" s="15">
        <v>-8.4575155039741792E-2</v>
      </c>
      <c r="F39" s="15">
        <v>-4.4221944822788926E-2</v>
      </c>
      <c r="G39" s="15">
        <v>-1.9572050617452263E-2</v>
      </c>
      <c r="H39" s="15">
        <v>-3.0112635430260565E-2</v>
      </c>
      <c r="I39" s="15">
        <v>1.2966463548789763E-2</v>
      </c>
      <c r="J39" s="15">
        <v>6.9657864275926235E-3</v>
      </c>
      <c r="K39" s="15">
        <v>-6.589287652661994E-4</v>
      </c>
      <c r="L39" s="15">
        <v>-1.4220981156055261E-2</v>
      </c>
      <c r="M39" s="15">
        <v>-2.5323001340393559E-3</v>
      </c>
    </row>
    <row r="40" spans="1:13">
      <c r="A40" t="s">
        <v>44</v>
      </c>
      <c r="B40" s="15">
        <v>7.7875700291583402E-2</v>
      </c>
      <c r="C40" s="15">
        <v>8.7273637104708368E-3</v>
      </c>
      <c r="D40" s="15">
        <v>0.27019342588811451</v>
      </c>
      <c r="E40" s="15">
        <v>0.20356313758393427</v>
      </c>
      <c r="F40" s="15">
        <v>0.26205099747742988</v>
      </c>
      <c r="G40" s="15">
        <v>-3.2098751688571417E-2</v>
      </c>
      <c r="H40" s="15">
        <v>2.1555803716232187E-2</v>
      </c>
      <c r="I40" s="15">
        <v>9.5185234970665243E-3</v>
      </c>
      <c r="J40" s="15">
        <v>1.5784533778050162E-2</v>
      </c>
      <c r="K40" s="15">
        <v>5.1821872556041494E-3</v>
      </c>
      <c r="L40" s="15">
        <v>-8.9942960955799005E-3</v>
      </c>
      <c r="M40" s="15">
        <v>-4.0869434486470397E-3</v>
      </c>
    </row>
    <row r="41" spans="1:13">
      <c r="A41" t="s">
        <v>44</v>
      </c>
      <c r="B41" s="15">
        <v>1.7331192870949776E-2</v>
      </c>
      <c r="C41" s="15">
        <v>1.1629089305838578E-3</v>
      </c>
      <c r="D41" s="15">
        <v>3.6002893700116528E-2</v>
      </c>
      <c r="E41" s="15">
        <v>8.1627380720756135E-2</v>
      </c>
      <c r="F41" s="15">
        <v>-0.20309597295214277</v>
      </c>
      <c r="G41" s="15">
        <v>3.9030741669758916E-2</v>
      </c>
      <c r="H41" s="15">
        <v>1.1210729154259786E-3</v>
      </c>
      <c r="I41" s="15">
        <v>8.1106341186836198E-2</v>
      </c>
      <c r="J41" s="15">
        <v>9.3094498513555279E-2</v>
      </c>
      <c r="K41" s="15">
        <v>8.8291135107942537E-3</v>
      </c>
      <c r="L41" s="15">
        <v>4.676741104427496E-2</v>
      </c>
      <c r="M41" s="15">
        <v>-1.2391871213119391E-2</v>
      </c>
    </row>
    <row r="42" spans="1:13">
      <c r="A42" t="s">
        <v>44</v>
      </c>
      <c r="B42" s="15">
        <v>9.9269403400714211E-3</v>
      </c>
      <c r="C42" s="15">
        <v>1.2483707661915275E-3</v>
      </c>
      <c r="D42" s="15">
        <v>3.8648735779302355E-2</v>
      </c>
      <c r="E42" s="15">
        <v>0.31387382322095808</v>
      </c>
      <c r="F42" s="15">
        <v>-3.6325511399144542E-2</v>
      </c>
      <c r="G42" s="15">
        <v>8.2386721364215612E-2</v>
      </c>
      <c r="H42" s="15">
        <v>-3.6922095152271274E-2</v>
      </c>
      <c r="I42" s="15">
        <v>0.10161016999354516</v>
      </c>
      <c r="J42" s="15">
        <v>1.5356651005599136E-2</v>
      </c>
      <c r="K42" s="15">
        <v>-6.6806607665265735E-2</v>
      </c>
      <c r="L42" s="15">
        <v>-8.1358172527239477E-3</v>
      </c>
      <c r="M42" s="15">
        <v>5.1758517821911813E-2</v>
      </c>
    </row>
    <row r="43" spans="1:13">
      <c r="A43" t="s">
        <v>44</v>
      </c>
      <c r="B43" s="15">
        <v>1.6217278773384004E-2</v>
      </c>
      <c r="C43" s="15">
        <v>1.5283443091600108E-3</v>
      </c>
      <c r="D43" s="15">
        <v>4.7316532062609384E-2</v>
      </c>
      <c r="E43" s="15">
        <v>0.2345800338578449</v>
      </c>
      <c r="F43" s="15">
        <v>-0.12712948577348032</v>
      </c>
      <c r="G43" s="15">
        <v>5.4620514406247593E-2</v>
      </c>
      <c r="H43" s="15">
        <v>-2.6505501039781203E-2</v>
      </c>
      <c r="I43" s="15">
        <v>8.9122331202321034E-2</v>
      </c>
      <c r="J43" s="15">
        <v>-6.5320070365374072E-2</v>
      </c>
      <c r="K43" s="15">
        <v>8.4316116130137911E-2</v>
      </c>
      <c r="L43" s="15">
        <v>1.0132808281360409E-3</v>
      </c>
      <c r="M43" s="15">
        <v>6.8079094011407456E-3</v>
      </c>
    </row>
    <row r="44" spans="1:13">
      <c r="A44" t="s">
        <v>44</v>
      </c>
      <c r="B44" s="15">
        <v>6.8178095206893163E-2</v>
      </c>
      <c r="C44" s="15">
        <v>4.1788821232210211E-3</v>
      </c>
      <c r="D44" s="15">
        <v>0.12937543509284671</v>
      </c>
      <c r="E44" s="15">
        <v>0.199278393775179</v>
      </c>
      <c r="F44" s="15">
        <v>-0.10693307512486538</v>
      </c>
      <c r="G44" s="15">
        <v>-4.8982670412951644E-2</v>
      </c>
      <c r="H44" s="15">
        <v>-5.3969566312977037E-2</v>
      </c>
      <c r="I44" s="15">
        <v>-6.7619900248796022E-2</v>
      </c>
      <c r="J44" s="15">
        <v>1.2053499631749998E-2</v>
      </c>
      <c r="K44" s="15">
        <v>9.0738371349629466E-3</v>
      </c>
      <c r="L44" s="15">
        <v>3.5647114068892943E-3</v>
      </c>
      <c r="M44" s="15">
        <v>4.7182278330098193E-3</v>
      </c>
    </row>
    <row r="45" spans="1:13">
      <c r="A45" t="s">
        <v>44</v>
      </c>
      <c r="B45" s="15">
        <v>0.13304721030042918</v>
      </c>
      <c r="C45" s="15">
        <v>1.8142605820123333E-3</v>
      </c>
      <c r="D45" s="15">
        <v>5.6168311344644395E-2</v>
      </c>
      <c r="E45" s="15">
        <v>-2.0010572355114619E-2</v>
      </c>
      <c r="F45" s="15">
        <v>2.3952358529191024E-2</v>
      </c>
      <c r="G45" s="15">
        <v>-0.10765509770677682</v>
      </c>
      <c r="H45" s="15">
        <v>-9.0100493087511037E-3</v>
      </c>
      <c r="I45" s="15">
        <v>1.0952481945029777E-2</v>
      </c>
      <c r="J45" s="15">
        <v>-2.2620864476792298E-2</v>
      </c>
      <c r="K45" s="15">
        <v>-1.1923626943230688E-2</v>
      </c>
      <c r="L45" s="15">
        <v>1.4645408110502182E-2</v>
      </c>
      <c r="M45" s="15">
        <v>-1.7192638000689893E-3</v>
      </c>
    </row>
    <row r="46" spans="1:13" ht="16.2" thickBot="1">
      <c r="A46" s="16" t="s">
        <v>44</v>
      </c>
      <c r="B46" s="18">
        <v>3.5743537660125155E-2</v>
      </c>
      <c r="C46" s="18">
        <v>3.368043945402513E-3</v>
      </c>
      <c r="D46" s="18">
        <v>0.1042724197523941</v>
      </c>
      <c r="E46" s="18">
        <v>0.20412417681449921</v>
      </c>
      <c r="F46" s="18">
        <v>-3.8280874503540743E-2</v>
      </c>
      <c r="G46" s="18">
        <v>0.21685567742211084</v>
      </c>
      <c r="H46" s="18">
        <v>-4.3322817992580968E-2</v>
      </c>
      <c r="I46" s="18">
        <v>-3.4235877489483444E-3</v>
      </c>
      <c r="J46" s="18">
        <v>-3.1690752820170323E-2</v>
      </c>
      <c r="K46" s="18">
        <v>-3.0158687630287666E-2</v>
      </c>
      <c r="L46" s="18">
        <v>1.7179397595877093E-3</v>
      </c>
      <c r="M46" s="18">
        <v>-1.6253422297808798E-2</v>
      </c>
    </row>
    <row r="49" spans="1:13">
      <c r="A49" s="4" t="s">
        <v>30</v>
      </c>
    </row>
    <row r="50" spans="1:13" ht="16.2" thickBot="1"/>
    <row r="51" spans="1:13">
      <c r="A51" s="17"/>
      <c r="B51" s="17" t="s">
        <v>38</v>
      </c>
      <c r="C51" s="17" t="s">
        <v>39</v>
      </c>
      <c r="D51" s="17" t="s">
        <v>40</v>
      </c>
      <c r="E51" s="17">
        <v>1</v>
      </c>
      <c r="F51" s="17">
        <v>2</v>
      </c>
      <c r="G51" s="17">
        <v>3</v>
      </c>
      <c r="H51" s="17">
        <v>4</v>
      </c>
      <c r="I51" s="17">
        <v>5</v>
      </c>
      <c r="J51" s="17">
        <v>6</v>
      </c>
      <c r="K51" s="17">
        <v>7</v>
      </c>
      <c r="L51" s="17">
        <v>8</v>
      </c>
      <c r="M51" s="17">
        <v>9</v>
      </c>
    </row>
    <row r="52" spans="1:13">
      <c r="A52" t="s">
        <v>0</v>
      </c>
      <c r="B52" s="15">
        <v>0.10529764439930545</v>
      </c>
      <c r="C52" s="15">
        <v>1.5698345930647956E-3</v>
      </c>
      <c r="D52" s="15">
        <v>4.8601043894728288E-2</v>
      </c>
      <c r="E52" s="15">
        <v>4.8786431410137492E-2</v>
      </c>
      <c r="F52" s="15">
        <v>5.4158625362718919E-2</v>
      </c>
      <c r="G52" s="15">
        <v>2.0568779748944947E-2</v>
      </c>
      <c r="H52" s="15">
        <v>-9.1571659613235282E-2</v>
      </c>
      <c r="I52" s="15">
        <v>-2.6960584974601211E-2</v>
      </c>
      <c r="J52" s="15">
        <v>7.3442015484833614E-4</v>
      </c>
      <c r="K52" s="15">
        <v>-9.7942906359274129E-4</v>
      </c>
      <c r="L52" s="15">
        <v>-6.7664064705060594E-3</v>
      </c>
      <c r="M52" s="15">
        <v>3.5597867289062406E-3</v>
      </c>
    </row>
    <row r="53" spans="1:13">
      <c r="A53" t="s">
        <v>1</v>
      </c>
      <c r="B53" s="15">
        <v>9.8286538020509129E-2</v>
      </c>
      <c r="C53" s="15">
        <v>2.018212133277231E-3</v>
      </c>
      <c r="D53" s="15">
        <v>6.2482516891657854E-2</v>
      </c>
      <c r="E53" s="15">
        <v>-6.379331334229503E-2</v>
      </c>
      <c r="F53" s="15">
        <v>-0.11541411087096227</v>
      </c>
      <c r="G53" s="15">
        <v>-4.3026910825611317E-2</v>
      </c>
      <c r="H53" s="15">
        <v>-5.7230922986186202E-3</v>
      </c>
      <c r="I53" s="15">
        <v>-1.9937025488857139E-2</v>
      </c>
      <c r="J53" s="15">
        <v>1.9463876723142041E-2</v>
      </c>
      <c r="K53" s="15">
        <v>-1.1972191880335355E-2</v>
      </c>
      <c r="L53" s="15">
        <v>1.5806647891772954E-2</v>
      </c>
      <c r="M53" s="15">
        <v>-9.5068052958192425E-3</v>
      </c>
    </row>
    <row r="54" spans="1:13">
      <c r="A54" t="s">
        <v>2</v>
      </c>
      <c r="B54" s="15">
        <v>7.7842938112243229E-2</v>
      </c>
      <c r="C54" s="15">
        <v>7.5482373796133505E-3</v>
      </c>
      <c r="D54" s="15">
        <v>0.23368845216884282</v>
      </c>
      <c r="E54" s="15">
        <v>0.30085856077880302</v>
      </c>
      <c r="F54" s="15">
        <v>3.3832327345308007E-2</v>
      </c>
      <c r="G54" s="15">
        <v>5.9670058177546441E-2</v>
      </c>
      <c r="H54" s="15">
        <v>3.6259300498184752E-2</v>
      </c>
      <c r="I54" s="15">
        <v>-1.8814532908100638E-2</v>
      </c>
      <c r="J54" s="15">
        <v>4.71928824824116E-4</v>
      </c>
      <c r="K54" s="15">
        <v>2.5000209904015209E-4</v>
      </c>
      <c r="L54" s="15">
        <v>-4.5846017013358963E-3</v>
      </c>
      <c r="M54" s="15">
        <v>-7.5157264859551601E-3</v>
      </c>
    </row>
    <row r="55" spans="1:13">
      <c r="A55" t="s">
        <v>3</v>
      </c>
      <c r="B55" s="15">
        <v>9.2684205353340099E-2</v>
      </c>
      <c r="C55" s="15">
        <v>2.8527841100590831E-3</v>
      </c>
      <c r="D55" s="15">
        <v>8.8320314998589222E-2</v>
      </c>
      <c r="E55" s="15">
        <v>-0.1189173715543895</v>
      </c>
      <c r="F55" s="15">
        <v>-5.2751754395645882E-2</v>
      </c>
      <c r="G55" s="15">
        <v>0.1153996133152807</v>
      </c>
      <c r="H55" s="15">
        <v>-7.0812298081475858E-3</v>
      </c>
      <c r="I55" s="15">
        <v>-1.0981768946855052E-2</v>
      </c>
      <c r="J55" s="15">
        <v>-3.5476564415672066E-3</v>
      </c>
      <c r="K55" s="15">
        <v>1.3028610307559895E-2</v>
      </c>
      <c r="L55" s="15">
        <v>1.3599779407177603E-2</v>
      </c>
      <c r="M55" s="15">
        <v>6.5365866865184905E-4</v>
      </c>
    </row>
    <row r="56" spans="1:13">
      <c r="A56" t="s">
        <v>4</v>
      </c>
      <c r="B56" s="15">
        <v>7.0373161222684527E-2</v>
      </c>
      <c r="C56" s="15">
        <v>2.2302938345806918E-3</v>
      </c>
      <c r="D56" s="15">
        <v>6.9048426523063658E-2</v>
      </c>
      <c r="E56" s="15">
        <v>0.11095664881507174</v>
      </c>
      <c r="F56" s="15">
        <v>-5.5008311330382358E-2</v>
      </c>
      <c r="G56" s="15">
        <v>-0.11447749871585224</v>
      </c>
      <c r="H56" s="15">
        <v>3.9025954248019031E-2</v>
      </c>
      <c r="I56" s="15">
        <v>-3.2444732519258647E-2</v>
      </c>
      <c r="J56" s="15">
        <v>1.524305398099862E-2</v>
      </c>
      <c r="K56" s="15">
        <v>1.7510772761134167E-2</v>
      </c>
      <c r="L56" s="15">
        <v>3.1228317437328574E-3</v>
      </c>
      <c r="M56" s="15">
        <v>1.1206545937123856E-2</v>
      </c>
    </row>
    <row r="57" spans="1:13">
      <c r="A57" t="s">
        <v>5</v>
      </c>
      <c r="B57" s="15">
        <v>0.12010614946106216</v>
      </c>
      <c r="C57" s="15">
        <v>2.0143691579329291E-3</v>
      </c>
      <c r="D57" s="15">
        <v>6.2363540908952485E-2</v>
      </c>
      <c r="E57" s="15">
        <v>0.10519811421410996</v>
      </c>
      <c r="F57" s="15">
        <v>-4.385096384918747E-2</v>
      </c>
      <c r="G57" s="15">
        <v>1.0444586567844817E-2</v>
      </c>
      <c r="H57" s="15">
        <v>-1.5626364091591263E-2</v>
      </c>
      <c r="I57" s="15">
        <v>5.7223347526458315E-2</v>
      </c>
      <c r="J57" s="15">
        <v>-8.3550327198852782E-3</v>
      </c>
      <c r="K57" s="15">
        <v>6.7056812668604302E-3</v>
      </c>
      <c r="L57" s="15">
        <v>6.2307592901075064E-3</v>
      </c>
      <c r="M57" s="15">
        <v>-8.0272384634344409E-4</v>
      </c>
    </row>
    <row r="58" spans="1:13">
      <c r="A58" t="s">
        <v>6</v>
      </c>
      <c r="B58" s="15">
        <v>5.4974936932804773E-2</v>
      </c>
      <c r="C58" s="15">
        <v>7.1606366336464397E-3</v>
      </c>
      <c r="D58" s="15">
        <v>0.22168858864717705</v>
      </c>
      <c r="E58" s="15">
        <v>-8.4884490827133105E-2</v>
      </c>
      <c r="F58" s="15">
        <v>0.33908277937670972</v>
      </c>
      <c r="G58" s="15">
        <v>-8.5715619618376857E-2</v>
      </c>
      <c r="H58" s="15">
        <v>4.8961207651837958E-4</v>
      </c>
      <c r="I58" s="15">
        <v>1.6628528699815598E-2</v>
      </c>
      <c r="J58" s="15">
        <v>7.928683023568776E-3</v>
      </c>
      <c r="K58" s="15">
        <v>1.2802324224600392E-2</v>
      </c>
      <c r="L58" s="15">
        <v>1.4740541438857469E-2</v>
      </c>
      <c r="M58" s="15">
        <v>-1.5093785133816109E-3</v>
      </c>
    </row>
    <row r="59" spans="1:13">
      <c r="A59" t="s">
        <v>7</v>
      </c>
      <c r="B59" s="15">
        <v>3.6431543426268718E-2</v>
      </c>
      <c r="C59" s="15">
        <v>4.6092303378909009E-4</v>
      </c>
      <c r="D59" s="15">
        <v>1.4269873205902957E-2</v>
      </c>
      <c r="E59" s="15">
        <v>-8.8861403234224798E-2</v>
      </c>
      <c r="F59" s="15">
        <v>4.2809452710513451E-2</v>
      </c>
      <c r="G59" s="15">
        <v>-1.8570207957594405E-2</v>
      </c>
      <c r="H59" s="15">
        <v>4.6722125858617132E-2</v>
      </c>
      <c r="I59" s="15">
        <v>1.1326268927928705E-2</v>
      </c>
      <c r="J59" s="15">
        <v>-7.0017276320824299E-3</v>
      </c>
      <c r="K59" s="15">
        <v>6.4549025873186436E-4</v>
      </c>
      <c r="L59" s="15">
        <v>-8.8224582291040032E-3</v>
      </c>
      <c r="M59" s="15">
        <v>-1.1806273744115707E-2</v>
      </c>
    </row>
    <row r="60" spans="1:13">
      <c r="A60" t="s">
        <v>8</v>
      </c>
      <c r="B60" s="15">
        <v>8.9932182288765844E-2</v>
      </c>
      <c r="C60" s="15">
        <v>6.9414100113841684E-4</v>
      </c>
      <c r="D60" s="15">
        <v>2.149014769740545E-2</v>
      </c>
      <c r="E60" s="15">
        <v>-4.1610987211070122E-2</v>
      </c>
      <c r="F60" s="15">
        <v>2.688505210529369E-2</v>
      </c>
      <c r="G60" s="15">
        <v>-5.8694914921593622E-2</v>
      </c>
      <c r="H60" s="15">
        <v>2.8956001091370773E-3</v>
      </c>
      <c r="I60" s="15">
        <v>-1.152087457681935E-2</v>
      </c>
      <c r="J60" s="15">
        <v>-3.3593009725367835E-2</v>
      </c>
      <c r="K60" s="15">
        <v>-2.1769886164762834E-2</v>
      </c>
      <c r="L60" s="15">
        <v>-7.6153872952314135E-3</v>
      </c>
      <c r="M60" s="15">
        <v>-4.1944208621655481E-3</v>
      </c>
    </row>
    <row r="61" spans="1:13">
      <c r="A61" t="s">
        <v>9</v>
      </c>
      <c r="B61" s="15">
        <v>7.1290502244209283E-2</v>
      </c>
      <c r="C61" s="15">
        <v>4.2621410403294535E-4</v>
      </c>
      <c r="D61" s="15">
        <v>1.3195307626784135E-2</v>
      </c>
      <c r="E61" s="15">
        <v>-9.3855309768404414E-3</v>
      </c>
      <c r="F61" s="15">
        <v>2.5895406839600125E-2</v>
      </c>
      <c r="G61" s="15">
        <v>4.6231583815402461E-2</v>
      </c>
      <c r="H61" s="15">
        <v>3.0678100970382222E-2</v>
      </c>
      <c r="I61" s="15">
        <v>1.9829346585299716E-2</v>
      </c>
      <c r="J61" s="15">
        <v>1.2992689077180247E-2</v>
      </c>
      <c r="K61" s="15">
        <v>-3.6934203400637251E-2</v>
      </c>
      <c r="L61" s="15">
        <v>4.0459028082652729E-3</v>
      </c>
      <c r="M61" s="15">
        <v>1.4102150154401812E-2</v>
      </c>
    </row>
    <row r="62" spans="1:13">
      <c r="A62" t="s">
        <v>10</v>
      </c>
      <c r="B62" s="15">
        <v>9.6189758542738257E-2</v>
      </c>
      <c r="C62" s="15">
        <v>2.3962245273566741E-3</v>
      </c>
      <c r="D62" s="15">
        <v>7.4185531361188051E-2</v>
      </c>
      <c r="E62" s="15">
        <v>-8.6854173529344464E-2</v>
      </c>
      <c r="F62" s="15">
        <v>-0.11621304152398917</v>
      </c>
      <c r="G62" s="15">
        <v>-5.6175504967600737E-2</v>
      </c>
      <c r="H62" s="15">
        <v>7.7278100025137135E-4</v>
      </c>
      <c r="I62" s="15">
        <v>1.1078143842619313E-2</v>
      </c>
      <c r="J62" s="15">
        <v>-1.7442113899063985E-2</v>
      </c>
      <c r="K62" s="15">
        <v>1.2013701451260551E-2</v>
      </c>
      <c r="L62" s="15">
        <v>-1.0858082120911439E-2</v>
      </c>
      <c r="M62" s="15">
        <v>4.1046724864328187E-3</v>
      </c>
    </row>
    <row r="63" spans="1:13">
      <c r="A63" t="s">
        <v>11</v>
      </c>
      <c r="B63" s="15">
        <v>2.9256626150771549E-2</v>
      </c>
      <c r="C63" s="15">
        <v>6.1617138406210926E-4</v>
      </c>
      <c r="D63" s="15">
        <v>1.9076259763783916E-2</v>
      </c>
      <c r="E63" s="15">
        <v>-0.11048231551920272</v>
      </c>
      <c r="F63" s="15">
        <v>-1.8279599981996155E-2</v>
      </c>
      <c r="G63" s="15">
        <v>6.0006576095810067E-4</v>
      </c>
      <c r="H63" s="15">
        <v>-1.5056094423933805E-2</v>
      </c>
      <c r="I63" s="15">
        <v>3.9492775044357019E-2</v>
      </c>
      <c r="J63" s="15">
        <v>7.2740519599483758E-2</v>
      </c>
      <c r="K63" s="15">
        <v>9.6939244262187678E-4</v>
      </c>
      <c r="L63" s="15">
        <v>-3.7295072820257291E-2</v>
      </c>
      <c r="M63" s="15">
        <v>-7.1176387065061356E-3</v>
      </c>
    </row>
    <row r="64" spans="1:13" ht="16.2" thickBot="1">
      <c r="A64" s="16" t="s">
        <v>12</v>
      </c>
      <c r="B64" s="18">
        <v>5.7333813845296989E-2</v>
      </c>
      <c r="C64" s="18">
        <v>2.312387630423502E-3</v>
      </c>
      <c r="D64" s="18">
        <v>7.1589996311923962E-2</v>
      </c>
      <c r="E64" s="18">
        <v>-0.13615647007250287</v>
      </c>
      <c r="F64" s="18">
        <v>7.470479114106561E-2</v>
      </c>
      <c r="G64" s="18">
        <v>0.10956162448866626</v>
      </c>
      <c r="H64" s="18">
        <v>5.8580261339944588E-2</v>
      </c>
      <c r="I64" s="18">
        <v>-2.1525813465326414E-2</v>
      </c>
      <c r="J64" s="18">
        <v>-5.2997118165421363E-3</v>
      </c>
      <c r="K64" s="18">
        <v>1.2117447818324774E-2</v>
      </c>
      <c r="L64" s="18">
        <v>-1.1681802260713976E-2</v>
      </c>
      <c r="M64" s="18">
        <v>1.5725743256222314E-3</v>
      </c>
    </row>
    <row r="66" spans="1:10" ht="16.2" thickBot="1"/>
    <row r="67" spans="1:10">
      <c r="A67" s="21" t="s">
        <v>32</v>
      </c>
      <c r="B67" s="21"/>
      <c r="C67" s="21"/>
      <c r="D67" s="21"/>
      <c r="E67" s="21"/>
      <c r="F67" s="21"/>
      <c r="G67" s="21"/>
      <c r="H67" s="21"/>
      <c r="I67" s="21"/>
      <c r="J67" s="21"/>
    </row>
    <row r="68" spans="1:10" ht="16.2" thickBot="1">
      <c r="A68" s="22" t="s">
        <v>33</v>
      </c>
      <c r="B68" s="22"/>
      <c r="C68" s="22"/>
      <c r="D68" s="22"/>
      <c r="E68" s="22"/>
      <c r="F68" s="22"/>
      <c r="G68" s="22"/>
      <c r="H68" s="22"/>
      <c r="I68" s="22"/>
      <c r="J68" s="22"/>
    </row>
    <row r="69" spans="1:10">
      <c r="A69" s="17"/>
      <c r="B69" s="17">
        <v>1</v>
      </c>
      <c r="C69" s="17">
        <v>2</v>
      </c>
      <c r="D69" s="17">
        <v>3</v>
      </c>
      <c r="E69" s="17">
        <v>4</v>
      </c>
      <c r="F69" s="17">
        <v>5</v>
      </c>
      <c r="G69" s="17">
        <v>6</v>
      </c>
      <c r="H69" s="17">
        <v>7</v>
      </c>
      <c r="I69" s="17">
        <v>8</v>
      </c>
      <c r="J69" s="17">
        <v>9</v>
      </c>
    </row>
    <row r="70" spans="1:10">
      <c r="A70" t="s">
        <v>44</v>
      </c>
      <c r="B70" s="15">
        <v>2.1334491940288396E-2</v>
      </c>
      <c r="C70" s="15">
        <v>0.18799409544216927</v>
      </c>
      <c r="D70" s="15">
        <v>3.2667865010162509E-3</v>
      </c>
      <c r="E70" s="15">
        <v>0.62122193220135735</v>
      </c>
      <c r="F70" s="15">
        <v>6.5582129732983151E-3</v>
      </c>
      <c r="G70" s="15">
        <v>3.8529692857237228E-3</v>
      </c>
      <c r="H70" s="15">
        <v>7.354610573725503E-3</v>
      </c>
      <c r="I70" s="15">
        <v>3.4234638904848728E-2</v>
      </c>
      <c r="J70" s="15">
        <v>7.923594812447285E-4</v>
      </c>
    </row>
    <row r="71" spans="1:10">
      <c r="A71" t="s">
        <v>44</v>
      </c>
      <c r="B71" s="15">
        <v>0.19686991409374061</v>
      </c>
      <c r="C71" s="15">
        <v>8.2006666516264967E-2</v>
      </c>
      <c r="D71" s="15">
        <v>0.18323094246887056</v>
      </c>
      <c r="E71" s="15">
        <v>1.0826003101176967E-2</v>
      </c>
      <c r="F71" s="15">
        <v>5.4385633161242279E-2</v>
      </c>
      <c r="G71" s="15">
        <v>3.4224085729974763E-4</v>
      </c>
      <c r="H71" s="15">
        <v>2.7506092466588378E-2</v>
      </c>
      <c r="I71" s="15">
        <v>6.9364528627975597E-2</v>
      </c>
      <c r="J71" s="15">
        <v>7.5628513385607776E-2</v>
      </c>
    </row>
    <row r="72" spans="1:10">
      <c r="A72" t="s">
        <v>44</v>
      </c>
      <c r="B72" s="15">
        <v>0.1151236745642515</v>
      </c>
      <c r="C72" s="15">
        <v>4.2393516003455187E-2</v>
      </c>
      <c r="D72" s="15">
        <v>1.9259757794259928E-2</v>
      </c>
      <c r="E72" s="15">
        <v>0.13991993236853983</v>
      </c>
      <c r="F72" s="15">
        <v>5.0171961353485423E-2</v>
      </c>
      <c r="G72" s="15">
        <v>3.0150641459487378E-2</v>
      </c>
      <c r="H72" s="15">
        <v>4.3479543249238834E-4</v>
      </c>
      <c r="I72" s="15">
        <v>0.3434328784289622</v>
      </c>
      <c r="J72" s="15">
        <v>3.0662166056062631E-2</v>
      </c>
    </row>
    <row r="73" spans="1:10">
      <c r="A73" t="s">
        <v>44</v>
      </c>
      <c r="B73" s="15">
        <v>0.22734574314479025</v>
      </c>
      <c r="C73" s="15">
        <v>0.50746361788144911</v>
      </c>
      <c r="D73" s="15">
        <v>1.7658912861521187E-2</v>
      </c>
      <c r="E73" s="15">
        <v>2.4441058541620549E-2</v>
      </c>
      <c r="F73" s="15">
        <v>9.2165138753843995E-3</v>
      </c>
      <c r="G73" s="15">
        <v>5.2775126246388408E-2</v>
      </c>
      <c r="H73" s="15">
        <v>9.1673488851371221E-3</v>
      </c>
      <c r="I73" s="15">
        <v>4.6830266114654927E-2</v>
      </c>
      <c r="J73" s="15">
        <v>2.722571215747074E-2</v>
      </c>
    </row>
    <row r="74" spans="1:10">
      <c r="A74" t="s">
        <v>44</v>
      </c>
      <c r="B74" s="15">
        <v>8.1355471563354514E-3</v>
      </c>
      <c r="C74" s="15">
        <v>6.7836337421518511E-2</v>
      </c>
      <c r="D74" s="15">
        <v>5.8106909217406442E-3</v>
      </c>
      <c r="E74" s="15">
        <v>1.4712476481880453E-5</v>
      </c>
      <c r="F74" s="15">
        <v>0.14892363200436057</v>
      </c>
      <c r="G74" s="15">
        <v>0.40854536443373773</v>
      </c>
      <c r="H74" s="15">
        <v>5.9221342307617065E-3</v>
      </c>
      <c r="I74" s="15">
        <v>0.28177691661207116</v>
      </c>
      <c r="J74" s="15">
        <v>5.5703471872042644E-2</v>
      </c>
    </row>
    <row r="75" spans="1:10">
      <c r="A75" t="s">
        <v>44</v>
      </c>
      <c r="B75" s="15">
        <v>6.8898885390055842E-2</v>
      </c>
      <c r="C75" s="15">
        <v>1.2429973366103351E-3</v>
      </c>
      <c r="D75" s="15">
        <v>1.4829126307946682E-2</v>
      </c>
      <c r="E75" s="15">
        <v>9.1406628776898383E-3</v>
      </c>
      <c r="F75" s="15">
        <v>0.13387987902451093</v>
      </c>
      <c r="G75" s="15">
        <v>6.3675481732228595E-3</v>
      </c>
      <c r="H75" s="15">
        <v>0.19420921897433174</v>
      </c>
      <c r="I75" s="15">
        <v>4.8843646676261813E-3</v>
      </c>
      <c r="J75" s="15">
        <v>0.55662037690793387</v>
      </c>
    </row>
    <row r="76" spans="1:10">
      <c r="A76" t="s">
        <v>44</v>
      </c>
      <c r="B76" s="15">
        <v>6.2870463331386073E-2</v>
      </c>
      <c r="C76" s="15">
        <v>2.4871494075517746E-2</v>
      </c>
      <c r="D76" s="15">
        <v>1.0648177115005675E-2</v>
      </c>
      <c r="E76" s="15">
        <v>7.6955492910599698E-3</v>
      </c>
      <c r="F76" s="15">
        <v>0.1682583406918646</v>
      </c>
      <c r="G76" s="15">
        <v>0.1882066949588666</v>
      </c>
      <c r="H76" s="15">
        <v>0.50537616999437518</v>
      </c>
      <c r="I76" s="15">
        <v>1.2377357440494769E-4</v>
      </c>
      <c r="J76" s="15">
        <v>1.5732058194135198E-2</v>
      </c>
    </row>
    <row r="77" spans="1:10">
      <c r="A77" t="s">
        <v>44</v>
      </c>
      <c r="B77" s="15">
        <v>0.19074443712614836</v>
      </c>
      <c r="C77" s="15">
        <v>7.3977608562537156E-2</v>
      </c>
      <c r="D77" s="15">
        <v>3.6001076890248167E-2</v>
      </c>
      <c r="E77" s="15">
        <v>0.1341319769005333</v>
      </c>
      <c r="F77" s="15">
        <v>0.40721096017874564</v>
      </c>
      <c r="G77" s="15">
        <v>2.6942319353669458E-2</v>
      </c>
      <c r="H77" s="15">
        <v>2.4606079010419047E-2</v>
      </c>
      <c r="I77" s="15">
        <v>6.439971044206582E-3</v>
      </c>
      <c r="J77" s="15">
        <v>3.1767475726599124E-2</v>
      </c>
    </row>
    <row r="78" spans="1:10">
      <c r="A78" t="s">
        <v>44</v>
      </c>
      <c r="B78" s="15">
        <v>3.7532836227981859E-3</v>
      </c>
      <c r="C78" s="15">
        <v>7.2432529562885158E-3</v>
      </c>
      <c r="D78" s="15">
        <v>0.33936002557299638</v>
      </c>
      <c r="E78" s="15">
        <v>7.2954101625266202E-3</v>
      </c>
      <c r="F78" s="15">
        <v>2.084761644167215E-2</v>
      </c>
      <c r="G78" s="15">
        <v>0.18517739346452239</v>
      </c>
      <c r="H78" s="15">
        <v>8.2915958041082705E-2</v>
      </c>
      <c r="I78" s="15">
        <v>0.21212850381244713</v>
      </c>
      <c r="J78" s="15">
        <v>8.2313456252362839E-3</v>
      </c>
    </row>
    <row r="79" spans="1:10" ht="16.2" thickBot="1">
      <c r="A79" s="16" t="s">
        <v>44</v>
      </c>
      <c r="B79" s="18">
        <v>0.1049235596302054</v>
      </c>
      <c r="C79" s="18">
        <v>4.9704138041887797E-3</v>
      </c>
      <c r="D79" s="18">
        <v>0.36993450356639468</v>
      </c>
      <c r="E79" s="18">
        <v>4.5312762079013677E-2</v>
      </c>
      <c r="F79" s="18">
        <v>5.472502954356075E-4</v>
      </c>
      <c r="G79" s="18">
        <v>9.7639701767081699E-2</v>
      </c>
      <c r="H79" s="18">
        <v>0.14250759239108654</v>
      </c>
      <c r="I79" s="18">
        <v>7.841582128021783E-4</v>
      </c>
      <c r="J79" s="18">
        <v>0.19763652059366688</v>
      </c>
    </row>
    <row r="81" spans="1:10" ht="16.2" thickBot="1"/>
    <row r="82" spans="1:10">
      <c r="A82" s="21" t="s">
        <v>34</v>
      </c>
      <c r="B82" s="21"/>
      <c r="C82" s="21"/>
      <c r="D82" s="21"/>
      <c r="E82" s="21"/>
      <c r="F82" s="21"/>
      <c r="G82" s="21"/>
      <c r="H82" s="21"/>
      <c r="I82" s="21"/>
      <c r="J82" s="21"/>
    </row>
    <row r="83" spans="1:10" ht="16.2" thickBot="1">
      <c r="A83" s="22" t="s">
        <v>33</v>
      </c>
      <c r="B83" s="22"/>
      <c r="C83" s="22"/>
      <c r="D83" s="22"/>
      <c r="E83" s="22"/>
      <c r="F83" s="22"/>
      <c r="G83" s="22"/>
      <c r="H83" s="22"/>
      <c r="I83" s="22"/>
      <c r="J83" s="22"/>
    </row>
    <row r="84" spans="1:10">
      <c r="A84" s="17"/>
      <c r="B84" s="17">
        <v>1</v>
      </c>
      <c r="C84" s="17">
        <v>2</v>
      </c>
      <c r="D84" s="17">
        <v>3</v>
      </c>
      <c r="E84" s="17">
        <v>4</v>
      </c>
      <c r="F84" s="17">
        <v>5</v>
      </c>
      <c r="G84" s="17">
        <v>6</v>
      </c>
      <c r="H84" s="17">
        <v>7</v>
      </c>
      <c r="I84" s="17">
        <v>8</v>
      </c>
      <c r="J84" s="17">
        <v>9</v>
      </c>
    </row>
    <row r="85" spans="1:10">
      <c r="A85" t="s">
        <v>0</v>
      </c>
      <c r="B85" s="15">
        <v>1.7656448372888833E-2</v>
      </c>
      <c r="C85" s="15">
        <v>2.9307935909328033E-2</v>
      </c>
      <c r="D85" s="15">
        <v>9.8044090793323446E-3</v>
      </c>
      <c r="E85" s="15">
        <v>0.59639010855099772</v>
      </c>
      <c r="F85" s="15">
        <v>9.9977626293049751E-2</v>
      </c>
      <c r="G85" s="15">
        <v>1.5447977475124505E-4</v>
      </c>
      <c r="H85" s="15">
        <v>4.4277207308832871E-4</v>
      </c>
      <c r="I85" s="15">
        <v>3.5836461550381699E-2</v>
      </c>
      <c r="J85" s="15">
        <v>2.7928437678355851E-2</v>
      </c>
    </row>
    <row r="86" spans="1:10">
      <c r="A86" t="s">
        <v>1</v>
      </c>
      <c r="B86" s="15">
        <v>2.81793483850542E-2</v>
      </c>
      <c r="C86" s="15">
        <v>0.12423477290473178</v>
      </c>
      <c r="D86" s="15">
        <v>4.0046086686649107E-2</v>
      </c>
      <c r="E86" s="15">
        <v>2.174428559785474E-3</v>
      </c>
      <c r="F86" s="15">
        <v>5.1031732164319374E-2</v>
      </c>
      <c r="G86" s="15">
        <v>0.10127832888514207</v>
      </c>
      <c r="H86" s="15">
        <v>6.1752844387445702E-2</v>
      </c>
      <c r="I86" s="15">
        <v>0.18254245860997287</v>
      </c>
      <c r="J86" s="15">
        <v>0.18592734329370714</v>
      </c>
    </row>
    <row r="87" spans="1:10">
      <c r="A87" t="s">
        <v>2</v>
      </c>
      <c r="B87" s="15">
        <v>0.49639860953859566</v>
      </c>
      <c r="C87" s="15">
        <v>8.4550130065461603E-3</v>
      </c>
      <c r="D87" s="15">
        <v>6.0998317250161013E-2</v>
      </c>
      <c r="E87" s="15">
        <v>6.9126993433206482E-2</v>
      </c>
      <c r="F87" s="15">
        <v>3.5994127032930347E-2</v>
      </c>
      <c r="G87" s="15">
        <v>4.7155898740884284E-5</v>
      </c>
      <c r="H87" s="15">
        <v>2.1326624414302408E-5</v>
      </c>
      <c r="I87" s="15">
        <v>1.2162216821691732E-2</v>
      </c>
      <c r="J87" s="15">
        <v>9.2032491629323518E-2</v>
      </c>
    </row>
    <row r="88" spans="1:10">
      <c r="A88" t="s">
        <v>3</v>
      </c>
      <c r="B88" s="15">
        <v>9.2338522880047361E-2</v>
      </c>
      <c r="C88" s="15">
        <v>2.4474332639081497E-2</v>
      </c>
      <c r="D88" s="15">
        <v>0.27164402077850031</v>
      </c>
      <c r="E88" s="15">
        <v>3.1391546668358972E-3</v>
      </c>
      <c r="F88" s="15">
        <v>1.4600773989413856E-2</v>
      </c>
      <c r="G88" s="15">
        <v>3.1728726445846493E-3</v>
      </c>
      <c r="H88" s="15">
        <v>6.8963216674907388E-2</v>
      </c>
      <c r="I88" s="15">
        <v>0.12742650107995301</v>
      </c>
      <c r="J88" s="15">
        <v>8.2887264636052655E-4</v>
      </c>
    </row>
    <row r="89" spans="1:10">
      <c r="A89" t="s">
        <v>4</v>
      </c>
      <c r="B89" s="15">
        <v>6.1038002492241811E-2</v>
      </c>
      <c r="C89" s="15">
        <v>2.0206681603769136E-2</v>
      </c>
      <c r="D89" s="15">
        <v>0.2029705534586283</v>
      </c>
      <c r="E89" s="15">
        <v>7.2394192464612095E-2</v>
      </c>
      <c r="F89" s="15">
        <v>9.676560139896892E-2</v>
      </c>
      <c r="G89" s="15">
        <v>4.4474884999087194E-2</v>
      </c>
      <c r="H89" s="15">
        <v>9.4587397330429993E-2</v>
      </c>
      <c r="I89" s="15">
        <v>5.1014605251666631E-3</v>
      </c>
      <c r="J89" s="15">
        <v>0.18498249745453452</v>
      </c>
    </row>
    <row r="90" spans="1:10">
      <c r="A90" t="s">
        <v>5</v>
      </c>
      <c r="B90" s="15">
        <v>9.3641366520814201E-2</v>
      </c>
      <c r="C90" s="15">
        <v>2.1915674589111644E-2</v>
      </c>
      <c r="D90" s="15">
        <v>2.8835896878521366E-3</v>
      </c>
      <c r="E90" s="15">
        <v>1.9809372911559837E-2</v>
      </c>
      <c r="F90" s="15">
        <v>0.51373281540553362</v>
      </c>
      <c r="G90" s="15">
        <v>2.280475192006098E-2</v>
      </c>
      <c r="H90" s="15">
        <v>2.3673727721699095E-2</v>
      </c>
      <c r="I90" s="15">
        <v>3.4660712879047671E-2</v>
      </c>
      <c r="J90" s="15">
        <v>1.6198604430905346E-3</v>
      </c>
    </row>
    <row r="91" spans="1:10">
      <c r="A91" t="s">
        <v>6</v>
      </c>
      <c r="B91" s="15">
        <v>2.7906670530513895E-2</v>
      </c>
      <c r="C91" s="15">
        <v>0.59980146260289868</v>
      </c>
      <c r="D91" s="15">
        <v>8.8893578559938652E-2</v>
      </c>
      <c r="E91" s="15">
        <v>8.9014055508631537E-6</v>
      </c>
      <c r="F91" s="15">
        <v>1.9856281998380174E-2</v>
      </c>
      <c r="G91" s="15">
        <v>9.4000605168349047E-3</v>
      </c>
      <c r="H91" s="15">
        <v>3.9496441971607725E-2</v>
      </c>
      <c r="I91" s="15">
        <v>8.8793650521578615E-2</v>
      </c>
      <c r="J91" s="15">
        <v>2.6214470704954774E-3</v>
      </c>
    </row>
    <row r="92" spans="1:10">
      <c r="A92" t="s">
        <v>7</v>
      </c>
      <c r="B92" s="15">
        <v>2.0267047905010441E-2</v>
      </c>
      <c r="C92" s="15">
        <v>6.3356070589734876E-3</v>
      </c>
      <c r="D92" s="15">
        <v>2.7650107055478446E-3</v>
      </c>
      <c r="E92" s="15">
        <v>5.3717076189312513E-2</v>
      </c>
      <c r="F92" s="15">
        <v>6.1048760752150351E-3</v>
      </c>
      <c r="G92" s="15">
        <v>4.8579360570389475E-3</v>
      </c>
      <c r="H92" s="15">
        <v>6.6538429586371459E-5</v>
      </c>
      <c r="I92" s="15">
        <v>2.1078858652945679E-2</v>
      </c>
      <c r="J92" s="15">
        <v>0.10628776987059528</v>
      </c>
    </row>
    <row r="93" spans="1:10">
      <c r="A93" t="s">
        <v>8</v>
      </c>
      <c r="B93" s="15">
        <v>1.097028121259854E-2</v>
      </c>
      <c r="C93" s="15">
        <v>6.1683386515245043E-3</v>
      </c>
      <c r="D93" s="15">
        <v>6.8187033886364976E-2</v>
      </c>
      <c r="E93" s="15">
        <v>5.0930965163542769E-4</v>
      </c>
      <c r="F93" s="15">
        <v>1.5592349935071427E-2</v>
      </c>
      <c r="G93" s="15">
        <v>0.27604301464083691</v>
      </c>
      <c r="H93" s="15">
        <v>0.18682846223157321</v>
      </c>
      <c r="I93" s="15">
        <v>3.8769430521952697E-2</v>
      </c>
      <c r="J93" s="15">
        <v>3.3116098717488059E-2</v>
      </c>
    </row>
    <row r="94" spans="1:10">
      <c r="A94" t="s">
        <v>9</v>
      </c>
      <c r="B94" s="15">
        <v>4.4242122978368088E-4</v>
      </c>
      <c r="C94" s="15">
        <v>4.5363699350857494E-3</v>
      </c>
      <c r="D94" s="15">
        <v>3.3534738977960388E-2</v>
      </c>
      <c r="E94" s="15">
        <v>4.531878155943285E-2</v>
      </c>
      <c r="F94" s="15">
        <v>3.6616263533517809E-2</v>
      </c>
      <c r="G94" s="15">
        <v>3.2733584378179754E-2</v>
      </c>
      <c r="H94" s="15">
        <v>0.42628960082601552</v>
      </c>
      <c r="I94" s="15">
        <v>8.6746680622391339E-3</v>
      </c>
      <c r="J94" s="15">
        <v>0.2967442895688015</v>
      </c>
    </row>
    <row r="95" spans="1:10">
      <c r="A95" t="s">
        <v>10</v>
      </c>
      <c r="B95" s="15">
        <v>5.1120701895550312E-2</v>
      </c>
      <c r="C95" s="15">
        <v>0.12327354406136876</v>
      </c>
      <c r="D95" s="15">
        <v>6.6804930545160207E-2</v>
      </c>
      <c r="E95" s="15">
        <v>3.879996304067148E-5</v>
      </c>
      <c r="F95" s="15">
        <v>1.5420142172139939E-2</v>
      </c>
      <c r="G95" s="15">
        <v>7.9595931403817044E-2</v>
      </c>
      <c r="H95" s="15">
        <v>6.0855256302541051E-2</v>
      </c>
      <c r="I95" s="15">
        <v>8.4299573598088998E-2</v>
      </c>
      <c r="J95" s="15">
        <v>3.3920784044981916E-2</v>
      </c>
    </row>
    <row r="96" spans="1:10">
      <c r="A96" t="s">
        <v>11</v>
      </c>
      <c r="B96" s="15">
        <v>2.5159173327991724E-2</v>
      </c>
      <c r="C96" s="15">
        <v>9.2766021165972172E-4</v>
      </c>
      <c r="D96" s="15">
        <v>2.3185029279501855E-6</v>
      </c>
      <c r="E96" s="15">
        <v>4.4795924838815834E-3</v>
      </c>
      <c r="F96" s="15">
        <v>5.9605328886423649E-2</v>
      </c>
      <c r="G96" s="15">
        <v>0.42105694816405131</v>
      </c>
      <c r="H96" s="15">
        <v>1.2051444146902917E-4</v>
      </c>
      <c r="I96" s="15">
        <v>0.30249448461972039</v>
      </c>
      <c r="J96" s="15">
        <v>3.1022453884798889E-2</v>
      </c>
    </row>
    <row r="97" spans="1:10" ht="16.2" thickBot="1">
      <c r="A97" s="16" t="s">
        <v>12</v>
      </c>
      <c r="B97" s="18">
        <v>7.488140570890793E-2</v>
      </c>
      <c r="C97" s="18">
        <v>3.0362606825918421E-2</v>
      </c>
      <c r="D97" s="18">
        <v>0.15146541188098014</v>
      </c>
      <c r="E97" s="18">
        <v>0.13289328816015683</v>
      </c>
      <c r="F97" s="18">
        <v>3.4702081115047918E-2</v>
      </c>
      <c r="G97" s="18">
        <v>4.380050716829606E-3</v>
      </c>
      <c r="H97" s="18">
        <v>3.6901900985316538E-2</v>
      </c>
      <c r="I97" s="18">
        <v>5.8159522556797509E-2</v>
      </c>
      <c r="J97" s="18">
        <v>2.9676536976098651E-3</v>
      </c>
    </row>
    <row r="99" spans="1:10" ht="16.2" thickBot="1"/>
    <row r="100" spans="1:10">
      <c r="A100" s="21" t="s">
        <v>35</v>
      </c>
      <c r="B100" s="21"/>
      <c r="C100" s="21"/>
      <c r="D100" s="21"/>
      <c r="E100" s="21"/>
      <c r="F100" s="21"/>
      <c r="G100" s="21"/>
      <c r="H100" s="21"/>
      <c r="I100" s="21"/>
      <c r="J100" s="21"/>
    </row>
    <row r="101" spans="1:10" ht="16.2" thickBot="1">
      <c r="A101" s="22" t="s">
        <v>36</v>
      </c>
      <c r="B101" s="22"/>
      <c r="C101" s="22"/>
      <c r="D101" s="22"/>
      <c r="E101" s="22"/>
      <c r="F101" s="22"/>
      <c r="G101" s="22"/>
      <c r="H101" s="22"/>
      <c r="I101" s="22"/>
      <c r="J101" s="22"/>
    </row>
    <row r="102" spans="1:10">
      <c r="A102" s="17"/>
      <c r="B102" s="17">
        <v>1</v>
      </c>
      <c r="C102" s="17">
        <v>2</v>
      </c>
      <c r="D102" s="17">
        <v>3</v>
      </c>
      <c r="E102" s="17">
        <v>4</v>
      </c>
      <c r="F102" s="17">
        <v>5</v>
      </c>
      <c r="G102" s="17">
        <v>6</v>
      </c>
      <c r="H102" s="17">
        <v>7</v>
      </c>
      <c r="I102" s="17">
        <v>8</v>
      </c>
      <c r="J102" s="17">
        <v>9</v>
      </c>
    </row>
    <row r="103" spans="1:10">
      <c r="A103" t="s">
        <v>44</v>
      </c>
      <c r="B103" s="15">
        <v>9.371751954390152E-2</v>
      </c>
      <c r="C103" s="15">
        <v>0.61310938905207357</v>
      </c>
      <c r="D103" s="15">
        <v>4.593673351437128E-3</v>
      </c>
      <c r="E103" s="15">
        <v>0.28463102997452178</v>
      </c>
      <c r="F103" s="15">
        <v>1.5537639550502725E-3</v>
      </c>
      <c r="G103" s="15">
        <v>4.383861436472243E-4</v>
      </c>
      <c r="H103" s="15">
        <v>5.1924121897236524E-4</v>
      </c>
      <c r="I103" s="15">
        <v>1.4252810857622777E-3</v>
      </c>
      <c r="J103" s="15">
        <v>1.1715674633871722E-5</v>
      </c>
    </row>
    <row r="104" spans="1:10">
      <c r="A104" t="s">
        <v>44</v>
      </c>
      <c r="B104" s="15">
        <v>0.61171319599922125</v>
      </c>
      <c r="C104" s="15">
        <v>0.18917900352710862</v>
      </c>
      <c r="D104" s="15">
        <v>0.18225027411374045</v>
      </c>
      <c r="E104" s="15">
        <v>3.5085981377388996E-3</v>
      </c>
      <c r="F104" s="15">
        <v>9.1140988039396312E-3</v>
      </c>
      <c r="G104" s="15">
        <v>2.7543754820521354E-5</v>
      </c>
      <c r="H104" s="15">
        <v>1.3736256588464013E-3</v>
      </c>
      <c r="I104" s="15">
        <v>2.0426888901329829E-3</v>
      </c>
      <c r="J104" s="15">
        <v>7.9097111445106713E-4</v>
      </c>
    </row>
    <row r="105" spans="1:10">
      <c r="A105" t="s">
        <v>44</v>
      </c>
      <c r="B105" s="15">
        <v>0.66083571020296605</v>
      </c>
      <c r="C105" s="15">
        <v>0.18066897259101813</v>
      </c>
      <c r="D105" s="15">
        <v>3.5389999677242011E-2</v>
      </c>
      <c r="E105" s="15">
        <v>8.3773262788091177E-2</v>
      </c>
      <c r="F105" s="15">
        <v>1.5532844164108415E-2</v>
      </c>
      <c r="G105" s="15">
        <v>4.482788072119619E-3</v>
      </c>
      <c r="H105" s="15">
        <v>4.0112971222978565E-5</v>
      </c>
      <c r="I105" s="15">
        <v>1.8683877880597145E-2</v>
      </c>
      <c r="J105" s="15">
        <v>5.9243165263448848E-4</v>
      </c>
    </row>
    <row r="106" spans="1:10">
      <c r="A106" t="s">
        <v>44</v>
      </c>
      <c r="B106" s="15">
        <v>0.3697576448634754</v>
      </c>
      <c r="C106" s="15">
        <v>0.61276016424185553</v>
      </c>
      <c r="D106" s="15">
        <v>9.1938026233286067E-3</v>
      </c>
      <c r="E106" s="15">
        <v>4.1461721510728505E-3</v>
      </c>
      <c r="F106" s="15">
        <v>8.0845911570847414E-4</v>
      </c>
      <c r="G106" s="15">
        <v>2.2232198288186377E-3</v>
      </c>
      <c r="H106" s="15">
        <v>2.3963215506190525E-4</v>
      </c>
      <c r="I106" s="15">
        <v>7.2186045481165552E-4</v>
      </c>
      <c r="J106" s="15">
        <v>1.4904456586708285E-4</v>
      </c>
    </row>
    <row r="107" spans="1:10">
      <c r="A107" t="s">
        <v>44</v>
      </c>
      <c r="B107" s="15">
        <v>9.9301194252780153E-2</v>
      </c>
      <c r="C107" s="15">
        <v>0.6147313672674195</v>
      </c>
      <c r="D107" s="15">
        <v>2.2703685255313168E-2</v>
      </c>
      <c r="E107" s="15">
        <v>1.873054742344296E-5</v>
      </c>
      <c r="F107" s="15">
        <v>9.8037532084531281E-2</v>
      </c>
      <c r="G107" s="15">
        <v>0.12916081693330528</v>
      </c>
      <c r="H107" s="15">
        <v>1.1617614201581753E-3</v>
      </c>
      <c r="I107" s="15">
        <v>3.2596382649154113E-2</v>
      </c>
      <c r="J107" s="15">
        <v>2.2885295899147716E-3</v>
      </c>
    </row>
    <row r="108" spans="1:10">
      <c r="A108" t="s">
        <v>44</v>
      </c>
      <c r="B108" s="15">
        <v>0.78339720321963435</v>
      </c>
      <c r="C108" s="15">
        <v>1.0492894252405396E-2</v>
      </c>
      <c r="D108" s="15">
        <v>5.3974205984800891E-2</v>
      </c>
      <c r="E108" s="15">
        <v>1.0840379748470165E-2</v>
      </c>
      <c r="F108" s="15">
        <v>8.2100571020414362E-2</v>
      </c>
      <c r="G108" s="15">
        <v>1.8752745128083051E-3</v>
      </c>
      <c r="H108" s="15">
        <v>3.5490380935911649E-2</v>
      </c>
      <c r="I108" s="15">
        <v>5.263494719499938E-4</v>
      </c>
      <c r="J108" s="15">
        <v>2.1302740853604743E-2</v>
      </c>
    </row>
    <row r="109" spans="1:10">
      <c r="A109" t="s">
        <v>44</v>
      </c>
      <c r="B109" s="15">
        <v>0.58390052713716878</v>
      </c>
      <c r="C109" s="15">
        <v>0.17149416922748481</v>
      </c>
      <c r="D109" s="15">
        <v>3.1656897490735691E-2</v>
      </c>
      <c r="E109" s="15">
        <v>7.454676718821128E-3</v>
      </c>
      <c r="F109" s="15">
        <v>8.4281033783943457E-2</v>
      </c>
      <c r="G109" s="15">
        <v>4.5274125030006065E-2</v>
      </c>
      <c r="H109" s="15">
        <v>7.5435880651681816E-2</v>
      </c>
      <c r="I109" s="15">
        <v>1.0894728935153604E-5</v>
      </c>
      <c r="J109" s="15">
        <v>4.9179523122312079E-4</v>
      </c>
    </row>
    <row r="110" spans="1:10">
      <c r="A110" t="s">
        <v>44</v>
      </c>
      <c r="B110" s="15">
        <v>0.64789580913654998</v>
      </c>
      <c r="C110" s="15">
        <v>0.18655584267581463</v>
      </c>
      <c r="D110" s="15">
        <v>3.9144401640466835E-2</v>
      </c>
      <c r="E110" s="15">
        <v>4.7520674799459518E-2</v>
      </c>
      <c r="F110" s="15">
        <v>7.4599135427912772E-2</v>
      </c>
      <c r="G110" s="15">
        <v>2.3703422660584514E-3</v>
      </c>
      <c r="H110" s="15">
        <v>1.3432804759360834E-3</v>
      </c>
      <c r="I110" s="15">
        <v>2.0731632150503847E-4</v>
      </c>
      <c r="J110" s="15">
        <v>3.6319725629665453E-4</v>
      </c>
    </row>
    <row r="111" spans="1:10">
      <c r="A111" t="s">
        <v>44</v>
      </c>
      <c r="B111" s="15">
        <v>2.9364670331184416E-2</v>
      </c>
      <c r="C111" s="15">
        <v>4.2072922026016792E-2</v>
      </c>
      <c r="D111" s="15">
        <v>0.84991463354987906</v>
      </c>
      <c r="E111" s="15">
        <v>5.9533366720193491E-3</v>
      </c>
      <c r="F111" s="15">
        <v>8.7969312888380759E-3</v>
      </c>
      <c r="G111" s="15">
        <v>3.7525328576561892E-2</v>
      </c>
      <c r="H111" s="15">
        <v>1.0426123558496848E-2</v>
      </c>
      <c r="I111" s="15">
        <v>1.5729288005828849E-2</v>
      </c>
      <c r="J111" s="15">
        <v>2.1676599117479269E-4</v>
      </c>
    </row>
    <row r="112" spans="1:10" ht="16.2" thickBot="1">
      <c r="A112" s="16" t="s">
        <v>44</v>
      </c>
      <c r="B112" s="18">
        <v>0.44218975588641818</v>
      </c>
      <c r="C112" s="18">
        <v>1.5551901083663135E-2</v>
      </c>
      <c r="D112" s="18">
        <v>0.49906990064436418</v>
      </c>
      <c r="E112" s="18">
        <v>1.991834180778004E-2</v>
      </c>
      <c r="F112" s="18">
        <v>1.2438921060152293E-4</v>
      </c>
      <c r="G112" s="18">
        <v>1.065822530551209E-2</v>
      </c>
      <c r="H112" s="18">
        <v>9.652607847110627E-3</v>
      </c>
      <c r="I112" s="18">
        <v>3.1321001944930322E-5</v>
      </c>
      <c r="J112" s="18">
        <v>2.8035572126051743E-3</v>
      </c>
    </row>
    <row r="113" spans="1:10">
      <c r="B113" s="15"/>
      <c r="C113" s="15"/>
      <c r="D113" s="15"/>
      <c r="E113" s="15"/>
      <c r="F113" s="15"/>
      <c r="G113" s="15"/>
      <c r="H113" s="15"/>
      <c r="I113" s="15"/>
      <c r="J113" s="15"/>
    </row>
    <row r="114" spans="1:10" ht="16.2" thickBot="1"/>
    <row r="115" spans="1:10">
      <c r="A115" s="21" t="s">
        <v>35</v>
      </c>
      <c r="B115" s="21"/>
      <c r="C115" s="21"/>
      <c r="D115" s="21"/>
      <c r="E115" s="21"/>
      <c r="F115" s="21"/>
      <c r="G115" s="21"/>
      <c r="H115" s="21"/>
      <c r="I115" s="21"/>
      <c r="J115" s="21"/>
    </row>
    <row r="116" spans="1:10" ht="16.2" thickBot="1">
      <c r="A116" s="22" t="s">
        <v>37</v>
      </c>
      <c r="B116" s="22"/>
      <c r="C116" s="22"/>
      <c r="D116" s="22"/>
      <c r="E116" s="22"/>
      <c r="F116" s="22"/>
      <c r="G116" s="22"/>
      <c r="H116" s="22"/>
      <c r="I116" s="22"/>
      <c r="J116" s="22"/>
    </row>
    <row r="117" spans="1:10">
      <c r="A117" s="17"/>
      <c r="B117" s="17">
        <v>1</v>
      </c>
      <c r="C117" s="17">
        <v>2</v>
      </c>
      <c r="D117" s="17">
        <v>3</v>
      </c>
      <c r="E117" s="17">
        <v>4</v>
      </c>
      <c r="F117" s="17">
        <v>5</v>
      </c>
      <c r="G117" s="17">
        <v>6</v>
      </c>
      <c r="H117" s="17">
        <v>7</v>
      </c>
      <c r="I117" s="17">
        <v>8</v>
      </c>
      <c r="J117" s="17">
        <v>9</v>
      </c>
    </row>
    <row r="118" spans="1:10">
      <c r="A118" t="s">
        <v>0</v>
      </c>
      <c r="B118" s="15">
        <v>0.15964777288878268</v>
      </c>
      <c r="C118" s="15">
        <v>0.19674333375801328</v>
      </c>
      <c r="D118" s="15">
        <v>2.8378002083608821E-2</v>
      </c>
      <c r="E118" s="15">
        <v>0.56245389840890836</v>
      </c>
      <c r="F118" s="15">
        <v>4.8755473975433561E-2</v>
      </c>
      <c r="G118" s="15">
        <v>3.6178781380354271E-5</v>
      </c>
      <c r="H118" s="15">
        <v>6.4344396959919423E-5</v>
      </c>
      <c r="I118" s="15">
        <v>3.071007852585227E-3</v>
      </c>
      <c r="J118" s="15">
        <v>8.4998785432777418E-4</v>
      </c>
    </row>
    <row r="119" spans="1:10">
      <c r="A119" t="s">
        <v>1</v>
      </c>
      <c r="B119" s="15">
        <v>0.19818808628837825</v>
      </c>
      <c r="C119" s="15">
        <v>0.64870171433733204</v>
      </c>
      <c r="D119" s="15">
        <v>9.0158682806501675E-2</v>
      </c>
      <c r="E119" s="15">
        <v>1.5951029758976333E-3</v>
      </c>
      <c r="F119" s="15">
        <v>1.9357441410824745E-2</v>
      </c>
      <c r="G119" s="15">
        <v>1.8449555862058074E-2</v>
      </c>
      <c r="H119" s="15">
        <v>6.9803076274082216E-3</v>
      </c>
      <c r="I119" s="15">
        <v>1.2167652089444937E-2</v>
      </c>
      <c r="J119" s="15">
        <v>4.4014566021545196E-3</v>
      </c>
    </row>
    <row r="120" spans="1:10">
      <c r="A120" t="s">
        <v>2</v>
      </c>
      <c r="B120" s="15">
        <v>0.93346581353883518</v>
      </c>
      <c r="C120" s="15">
        <v>1.1804223354506666E-2</v>
      </c>
      <c r="D120" s="15">
        <v>3.6718640454526913E-2</v>
      </c>
      <c r="E120" s="15">
        <v>1.3558527092096194E-2</v>
      </c>
      <c r="F120" s="15">
        <v>3.6505689195812864E-3</v>
      </c>
      <c r="G120" s="15">
        <v>2.29681850598729E-6</v>
      </c>
      <c r="H120" s="15">
        <v>6.4455648191786464E-7</v>
      </c>
      <c r="I120" s="15">
        <v>2.1675887710883885E-4</v>
      </c>
      <c r="J120" s="15">
        <v>5.8252638835691681E-4</v>
      </c>
    </row>
    <row r="121" spans="1:10">
      <c r="A121" t="s">
        <v>3</v>
      </c>
      <c r="B121" s="15">
        <v>0.45943854371995058</v>
      </c>
      <c r="C121" s="15">
        <v>9.0408786398239238E-2</v>
      </c>
      <c r="D121" s="15">
        <v>0.43265878972515937</v>
      </c>
      <c r="E121" s="15">
        <v>1.6291242248207478E-3</v>
      </c>
      <c r="F121" s="15">
        <v>3.9181533362773451E-3</v>
      </c>
      <c r="G121" s="15">
        <v>4.0890265963561777E-4</v>
      </c>
      <c r="H121" s="15">
        <v>5.5148412142430577E-3</v>
      </c>
      <c r="I121" s="15">
        <v>6.0089771425124181E-3</v>
      </c>
      <c r="J121" s="15">
        <v>1.3881579161650158E-5</v>
      </c>
    </row>
    <row r="122" spans="1:10">
      <c r="A122" t="s">
        <v>4</v>
      </c>
      <c r="B122" s="15">
        <v>0.38846477066912338</v>
      </c>
      <c r="C122" s="15">
        <v>9.5477623918166124E-2</v>
      </c>
      <c r="D122" s="15">
        <v>0.4135092604583841</v>
      </c>
      <c r="E122" s="15">
        <v>4.8056489058219978E-2</v>
      </c>
      <c r="F122" s="15">
        <v>3.3214932387238001E-2</v>
      </c>
      <c r="G122" s="15">
        <v>7.3314343798661658E-3</v>
      </c>
      <c r="H122" s="15">
        <v>9.67510308319567E-3</v>
      </c>
      <c r="I122" s="15">
        <v>3.0771038045442279E-4</v>
      </c>
      <c r="J122" s="15">
        <v>3.9626756653520978E-3</v>
      </c>
    </row>
    <row r="123" spans="1:10">
      <c r="A123" t="s">
        <v>5</v>
      </c>
      <c r="B123" s="15">
        <v>0.65984524290652646</v>
      </c>
      <c r="C123" s="15">
        <v>0.11465274788176631</v>
      </c>
      <c r="D123" s="15">
        <v>6.5044216731526359E-3</v>
      </c>
      <c r="E123" s="15">
        <v>1.45593524266134E-2</v>
      </c>
      <c r="F123" s="15">
        <v>0.19524175414343151</v>
      </c>
      <c r="G123" s="15">
        <v>4.162195646708511E-3</v>
      </c>
      <c r="H123" s="15">
        <v>2.6810937125604966E-3</v>
      </c>
      <c r="I123" s="15">
        <v>2.3147715075565343E-3</v>
      </c>
      <c r="J123" s="15">
        <v>3.8420101684032662E-5</v>
      </c>
    </row>
    <row r="124" spans="1:10">
      <c r="A124" t="s">
        <v>6</v>
      </c>
      <c r="B124" s="15">
        <v>5.5318424113331426E-2</v>
      </c>
      <c r="C124" s="15">
        <v>0.88272326381895516</v>
      </c>
      <c r="D124" s="15">
        <v>5.6407005085500665E-2</v>
      </c>
      <c r="E124" s="15">
        <v>1.8404217050991804E-6</v>
      </c>
      <c r="F124" s="15">
        <v>2.1228570600072051E-3</v>
      </c>
      <c r="G124" s="15">
        <v>4.826310017735613E-4</v>
      </c>
      <c r="H124" s="15">
        <v>1.2583189794451498E-3</v>
      </c>
      <c r="I124" s="15">
        <v>1.668168729082908E-3</v>
      </c>
      <c r="J124" s="15">
        <v>1.7490790198612951E-5</v>
      </c>
    </row>
    <row r="125" spans="1:10">
      <c r="A125" t="s">
        <v>7</v>
      </c>
      <c r="B125" s="15">
        <v>0.6241306245474556</v>
      </c>
      <c r="C125" s="15">
        <v>0.14485333890424518</v>
      </c>
      <c r="D125" s="15">
        <v>2.7257291154750098E-2</v>
      </c>
      <c r="E125" s="15">
        <v>0.17254180968058003</v>
      </c>
      <c r="F125" s="15">
        <v>1.0139648433293831E-2</v>
      </c>
      <c r="G125" s="15">
        <v>3.874891836469615E-3</v>
      </c>
      <c r="H125" s="15">
        <v>3.2932791454839772E-5</v>
      </c>
      <c r="I125" s="15">
        <v>6.1521707487078858E-3</v>
      </c>
      <c r="J125" s="15">
        <v>1.1017291903042957E-2</v>
      </c>
    </row>
    <row r="126" spans="1:10">
      <c r="A126" t="s">
        <v>8</v>
      </c>
      <c r="B126" s="15">
        <v>0.22432799420385494</v>
      </c>
      <c r="C126" s="15">
        <v>9.3645993027910171E-2</v>
      </c>
      <c r="D126" s="15">
        <v>0.44634265164549264</v>
      </c>
      <c r="E126" s="15">
        <v>1.0862870518340926E-3</v>
      </c>
      <c r="F126" s="15">
        <v>1.7196431401653035E-2</v>
      </c>
      <c r="G126" s="15">
        <v>0.14620602359013016</v>
      </c>
      <c r="H126" s="15">
        <v>6.1401608820223282E-2</v>
      </c>
      <c r="I126" s="15">
        <v>7.5136580201837985E-3</v>
      </c>
      <c r="J126" s="15">
        <v>2.2793522387179323E-3</v>
      </c>
    </row>
    <row r="127" spans="1:10">
      <c r="A127" t="s">
        <v>9</v>
      </c>
      <c r="B127" s="15">
        <v>1.473403007991545E-2</v>
      </c>
      <c r="C127" s="15">
        <v>0.11216292708017997</v>
      </c>
      <c r="D127" s="15">
        <v>0.35750440806975115</v>
      </c>
      <c r="E127" s="15">
        <v>0.15742032413927687</v>
      </c>
      <c r="F127" s="15">
        <v>6.5768913066498513E-2</v>
      </c>
      <c r="G127" s="15">
        <v>2.8235920380141877E-2</v>
      </c>
      <c r="H127" s="15">
        <v>0.2281714647848368</v>
      </c>
      <c r="I127" s="15">
        <v>2.7380082283352818E-3</v>
      </c>
      <c r="J127" s="15">
        <v>3.3264004171063968E-2</v>
      </c>
    </row>
    <row r="128" spans="1:10">
      <c r="A128" t="s">
        <v>10</v>
      </c>
      <c r="B128" s="15">
        <v>0.30281871309362401</v>
      </c>
      <c r="C128" s="15">
        <v>0.54213951222570389</v>
      </c>
      <c r="D128" s="15">
        <v>0.12667627827528388</v>
      </c>
      <c r="E128" s="15">
        <v>2.3972548012881727E-5</v>
      </c>
      <c r="F128" s="15">
        <v>4.9264641312178319E-3</v>
      </c>
      <c r="G128" s="15">
        <v>1.2212358975468284E-2</v>
      </c>
      <c r="H128" s="15">
        <v>5.7936865566067539E-3</v>
      </c>
      <c r="I128" s="15">
        <v>4.7326846705211647E-3</v>
      </c>
      <c r="J128" s="15">
        <v>6.763295235613588E-4</v>
      </c>
    </row>
    <row r="129" spans="1:10">
      <c r="A129" t="s">
        <v>11</v>
      </c>
      <c r="B129" s="15">
        <v>0.57957314319131392</v>
      </c>
      <c r="C129" s="15">
        <v>1.5865585084486687E-2</v>
      </c>
      <c r="D129" s="15">
        <v>1.7097019669865132E-5</v>
      </c>
      <c r="E129" s="15">
        <v>1.0763347863301067E-2</v>
      </c>
      <c r="F129" s="15">
        <v>7.4055619606747572E-2</v>
      </c>
      <c r="G129" s="15">
        <v>0.25123232356465269</v>
      </c>
      <c r="H129" s="15">
        <v>4.4619220240291046E-5</v>
      </c>
      <c r="I129" s="15">
        <v>6.604282407791133E-2</v>
      </c>
      <c r="J129" s="15">
        <v>2.4054403716766248E-3</v>
      </c>
    </row>
    <row r="130" spans="1:10" ht="16.2" thickBot="1">
      <c r="A130" s="16" t="s">
        <v>12</v>
      </c>
      <c r="B130" s="18">
        <v>0.4596494677925404</v>
      </c>
      <c r="C130" s="18">
        <v>0.13837164571727212</v>
      </c>
      <c r="D130" s="18">
        <v>0.29762343203103214</v>
      </c>
      <c r="E130" s="18">
        <v>8.5084960999540424E-2</v>
      </c>
      <c r="F130" s="18">
        <v>1.1488659009357227E-2</v>
      </c>
      <c r="G130" s="18">
        <v>6.9639349144058702E-4</v>
      </c>
      <c r="H130" s="18">
        <v>3.6405961948059464E-3</v>
      </c>
      <c r="I130" s="18">
        <v>3.3835289417905334E-3</v>
      </c>
      <c r="J130" s="18">
        <v>6.1315822220548122E-5</v>
      </c>
    </row>
    <row r="131" spans="1:10">
      <c r="B131" s="15"/>
      <c r="C131" s="15"/>
      <c r="D131" s="15"/>
      <c r="E131" s="15"/>
      <c r="F131" s="15"/>
      <c r="G131" s="15"/>
      <c r="H131" s="15"/>
      <c r="I131" s="15"/>
      <c r="J131" s="15"/>
    </row>
    <row r="132" spans="1:10">
      <c r="A132" s="44" t="s">
        <v>41</v>
      </c>
      <c r="B132" s="44"/>
    </row>
    <row r="133" spans="1:10">
      <c r="A133" s="24" t="s">
        <v>0</v>
      </c>
      <c r="B133" s="25">
        <f>B118+C118</f>
        <v>0.35639110664679596</v>
      </c>
    </row>
    <row r="134" spans="1:10">
      <c r="A134" t="s">
        <v>1</v>
      </c>
      <c r="B134" s="15">
        <f>B119+C119</f>
        <v>0.84688980062571029</v>
      </c>
    </row>
    <row r="135" spans="1:10">
      <c r="A135" t="s">
        <v>2</v>
      </c>
      <c r="B135" s="15">
        <f>B120+C120</f>
        <v>0.94527003689334188</v>
      </c>
    </row>
    <row r="136" spans="1:10">
      <c r="A136" t="s">
        <v>3</v>
      </c>
      <c r="B136" s="15">
        <f t="shared" ref="B136:B145" si="0">B121+C121</f>
        <v>0.54984733011818987</v>
      </c>
    </row>
    <row r="137" spans="1:10">
      <c r="A137" s="24" t="s">
        <v>4</v>
      </c>
      <c r="B137" s="25">
        <f t="shared" si="0"/>
        <v>0.48394239458728949</v>
      </c>
    </row>
    <row r="138" spans="1:10">
      <c r="A138" t="s">
        <v>5</v>
      </c>
      <c r="B138" s="15">
        <f t="shared" si="0"/>
        <v>0.77449799078829273</v>
      </c>
    </row>
    <row r="139" spans="1:10">
      <c r="A139" t="s">
        <v>6</v>
      </c>
      <c r="B139" s="15">
        <f t="shared" si="0"/>
        <v>0.93804168793228659</v>
      </c>
    </row>
    <row r="140" spans="1:10">
      <c r="A140" t="s">
        <v>7</v>
      </c>
      <c r="B140" s="15">
        <f t="shared" si="0"/>
        <v>0.76898396345170084</v>
      </c>
    </row>
    <row r="141" spans="1:10">
      <c r="A141" s="24" t="s">
        <v>8</v>
      </c>
      <c r="B141" s="25">
        <f t="shared" si="0"/>
        <v>0.31797398723176512</v>
      </c>
    </row>
    <row r="142" spans="1:10">
      <c r="A142" s="24" t="s">
        <v>9</v>
      </c>
      <c r="B142" s="25">
        <f t="shared" si="0"/>
        <v>0.12689695716009541</v>
      </c>
    </row>
    <row r="143" spans="1:10">
      <c r="A143" t="s">
        <v>10</v>
      </c>
      <c r="B143" s="15">
        <f t="shared" si="0"/>
        <v>0.84495822531932796</v>
      </c>
    </row>
    <row r="144" spans="1:10">
      <c r="A144" t="s">
        <v>11</v>
      </c>
      <c r="B144" s="15">
        <f t="shared" si="0"/>
        <v>0.59543872827580058</v>
      </c>
    </row>
    <row r="145" spans="1:10">
      <c r="A145" t="s">
        <v>12</v>
      </c>
      <c r="B145" s="15">
        <f t="shared" si="0"/>
        <v>0.59802111350981257</v>
      </c>
    </row>
    <row r="147" spans="1:10">
      <c r="A147" s="44" t="s">
        <v>42</v>
      </c>
      <c r="B147" s="44"/>
    </row>
    <row r="148" spans="1:10">
      <c r="A148" t="s">
        <v>44</v>
      </c>
      <c r="B148" s="15">
        <f>B103+C103</f>
        <v>0.70682690859597508</v>
      </c>
    </row>
    <row r="149" spans="1:10">
      <c r="A149" t="s">
        <v>44</v>
      </c>
      <c r="B149" s="15">
        <f t="shared" ref="B149:B157" si="1">B104+C104</f>
        <v>0.80089219952632984</v>
      </c>
    </row>
    <row r="150" spans="1:10">
      <c r="A150" t="s">
        <v>44</v>
      </c>
      <c r="B150" s="15">
        <f t="shared" si="1"/>
        <v>0.84150468279398416</v>
      </c>
    </row>
    <row r="151" spans="1:10">
      <c r="A151" t="s">
        <v>44</v>
      </c>
      <c r="B151" s="15">
        <f t="shared" si="1"/>
        <v>0.98251780910533093</v>
      </c>
    </row>
    <row r="152" spans="1:10">
      <c r="A152" t="s">
        <v>44</v>
      </c>
      <c r="B152" s="15">
        <f t="shared" si="1"/>
        <v>0.71403256152019967</v>
      </c>
    </row>
    <row r="153" spans="1:10">
      <c r="A153" t="s">
        <v>44</v>
      </c>
      <c r="B153" s="15">
        <f t="shared" si="1"/>
        <v>0.79389009747203976</v>
      </c>
    </row>
    <row r="154" spans="1:10">
      <c r="A154" t="s">
        <v>44</v>
      </c>
      <c r="B154" s="15">
        <f t="shared" si="1"/>
        <v>0.75539469636465362</v>
      </c>
    </row>
    <row r="155" spans="1:10">
      <c r="A155" t="s">
        <v>44</v>
      </c>
      <c r="B155" s="15">
        <f t="shared" si="1"/>
        <v>0.83445165181236458</v>
      </c>
    </row>
    <row r="156" spans="1:10">
      <c r="A156" s="24" t="s">
        <v>44</v>
      </c>
      <c r="B156" s="25">
        <f t="shared" si="1"/>
        <v>7.1437592357201207E-2</v>
      </c>
    </row>
    <row r="157" spans="1:10">
      <c r="A157" s="24" t="s">
        <v>44</v>
      </c>
      <c r="B157" s="25">
        <f t="shared" si="1"/>
        <v>0.45774165697008129</v>
      </c>
    </row>
    <row r="158" spans="1:10" ht="16.2" thickBot="1"/>
    <row r="159" spans="1:10">
      <c r="A159" s="21" t="s">
        <v>43</v>
      </c>
      <c r="B159" s="21"/>
      <c r="C159" s="21"/>
      <c r="D159" s="21"/>
      <c r="E159" s="21"/>
      <c r="F159" s="21"/>
      <c r="G159" s="21"/>
      <c r="H159" s="21"/>
      <c r="I159" s="21"/>
      <c r="J159" s="21"/>
    </row>
    <row r="160" spans="1:10" ht="16.2" thickBot="1">
      <c r="A160" s="22" t="s">
        <v>36</v>
      </c>
      <c r="B160" s="22"/>
      <c r="C160" s="22"/>
      <c r="D160" s="22"/>
      <c r="E160" s="22"/>
      <c r="F160" s="22"/>
      <c r="G160" s="22"/>
      <c r="H160" s="22"/>
      <c r="I160" s="22"/>
      <c r="J160" s="22"/>
    </row>
    <row r="161" spans="1:10">
      <c r="A161" s="17"/>
      <c r="B161" s="17">
        <v>1</v>
      </c>
      <c r="C161" s="17">
        <v>2</v>
      </c>
      <c r="D161" s="17">
        <v>3</v>
      </c>
      <c r="E161" s="17">
        <v>4</v>
      </c>
      <c r="F161" s="17">
        <v>5</v>
      </c>
      <c r="G161" s="17">
        <v>6</v>
      </c>
      <c r="H161" s="17">
        <v>7</v>
      </c>
      <c r="I161" s="17">
        <v>8</v>
      </c>
      <c r="J161" s="17">
        <v>9</v>
      </c>
    </row>
    <row r="162" spans="1:10">
      <c r="A162" s="28" t="s">
        <v>44</v>
      </c>
      <c r="B162" s="29">
        <v>0.88509728460753645</v>
      </c>
      <c r="C162" s="29">
        <v>-0.10243482929358254</v>
      </c>
      <c r="D162" s="26">
        <v>0.23232349425919216</v>
      </c>
      <c r="E162" s="26">
        <v>-0.10411714435418484</v>
      </c>
      <c r="F162" s="26">
        <v>0.286531972073649</v>
      </c>
      <c r="G162" s="26">
        <v>4.3304439874085721E-2</v>
      </c>
      <c r="H162" s="26">
        <v>-0.18838890873910716</v>
      </c>
      <c r="I162" s="26">
        <v>-2.2942307467863684E-2</v>
      </c>
      <c r="J162" s="26">
        <v>0.14595458490093671</v>
      </c>
    </row>
    <row r="163" spans="1:10">
      <c r="A163" s="28" t="s">
        <v>44</v>
      </c>
      <c r="B163" s="29">
        <v>0.80491975322795373</v>
      </c>
      <c r="C163" s="29">
        <v>-0.43192110700429381</v>
      </c>
      <c r="D163" s="26">
        <v>-0.19784944185027875</v>
      </c>
      <c r="E163" s="26">
        <v>-0.21799237325984486</v>
      </c>
      <c r="F163" s="26">
        <v>-0.27312842295871143</v>
      </c>
      <c r="G163" s="26">
        <v>4.8686160929554217E-2</v>
      </c>
      <c r="H163" s="26">
        <v>3.6650790931930563E-2</v>
      </c>
      <c r="I163" s="26">
        <v>1.4398483305717949E-2</v>
      </c>
      <c r="J163" s="26">
        <v>1.9057734815466777E-2</v>
      </c>
    </row>
    <row r="164" spans="1:10">
      <c r="A164" s="28" t="s">
        <v>44</v>
      </c>
      <c r="B164" s="29">
        <v>0.76413384111500304</v>
      </c>
      <c r="C164" s="29">
        <v>-0.41411854489685052</v>
      </c>
      <c r="D164" s="26">
        <v>0.17792385306848457</v>
      </c>
      <c r="E164" s="26">
        <v>-8.6340469762569205E-2</v>
      </c>
      <c r="F164" s="26">
        <v>0.29031195942286542</v>
      </c>
      <c r="G164" s="26">
        <v>-0.21277717224835485</v>
      </c>
      <c r="H164" s="26">
        <v>0.27465593139723349</v>
      </c>
      <c r="I164" s="26">
        <v>3.3007164275583572E-3</v>
      </c>
      <c r="J164" s="26">
        <v>2.217645668773803E-2</v>
      </c>
    </row>
    <row r="165" spans="1:10">
      <c r="A165" t="s">
        <v>44</v>
      </c>
      <c r="B165" s="26">
        <v>0.66497350013847778</v>
      </c>
      <c r="C165" s="26">
        <v>-0.12470726155145552</v>
      </c>
      <c r="D165" s="26">
        <v>0.7064487954865265</v>
      </c>
      <c r="E165" s="26">
        <v>-0.14113235563746551</v>
      </c>
      <c r="F165" s="26">
        <v>-1.1152991105596873E-2</v>
      </c>
      <c r="G165" s="26">
        <v>-0.10323868124647897</v>
      </c>
      <c r="H165" s="26">
        <v>-9.8247686217593069E-2</v>
      </c>
      <c r="I165" s="26">
        <v>5.596516947613964E-3</v>
      </c>
      <c r="J165" s="26">
        <v>-5.2948628052152343E-2</v>
      </c>
    </row>
    <row r="166" spans="1:10">
      <c r="A166" s="30" t="s">
        <v>44</v>
      </c>
      <c r="B166" s="31">
        <v>0.60807700570197143</v>
      </c>
      <c r="C166" s="31">
        <v>0.78278998731579053</v>
      </c>
      <c r="D166" s="26">
        <v>-9.5884318964722312E-2</v>
      </c>
      <c r="E166" s="26">
        <v>6.4390776909995812E-2</v>
      </c>
      <c r="F166" s="26">
        <v>2.8433415477365259E-2</v>
      </c>
      <c r="G166" s="26">
        <v>4.7151032107671173E-2</v>
      </c>
      <c r="H166" s="26">
        <v>1.5480056687942239E-2</v>
      </c>
      <c r="I166" s="26">
        <v>-2.6867460892530493E-2</v>
      </c>
      <c r="J166" s="26">
        <v>-1.2208380968297265E-2</v>
      </c>
    </row>
    <row r="167" spans="1:10">
      <c r="A167" s="32" t="s">
        <v>44</v>
      </c>
      <c r="B167" s="33">
        <v>0.31512092004939968</v>
      </c>
      <c r="C167" s="33">
        <v>-0.78404806438599128</v>
      </c>
      <c r="D167" s="26">
        <v>0.15067742118616567</v>
      </c>
      <c r="E167" s="26">
        <v>4.3278802459683378E-3</v>
      </c>
      <c r="F167" s="26">
        <v>0.31310945703464671</v>
      </c>
      <c r="G167" s="26">
        <v>0.35938950587531804</v>
      </c>
      <c r="H167" s="26">
        <v>3.4084621461271579E-2</v>
      </c>
      <c r="I167" s="26">
        <v>0.18054468324809267</v>
      </c>
      <c r="J167" s="26">
        <v>-4.7838578468792019E-2</v>
      </c>
    </row>
    <row r="168" spans="1:10">
      <c r="A168" s="32" t="s">
        <v>44</v>
      </c>
      <c r="B168" s="33">
        <v>0.30613317289033137</v>
      </c>
      <c r="C168" s="33">
        <v>-0.78301301972066439</v>
      </c>
      <c r="D168" s="26">
        <v>-6.7776643111304408E-2</v>
      </c>
      <c r="E168" s="26">
        <v>0.53350822859120151</v>
      </c>
      <c r="F168" s="26">
        <v>-3.9417812661920654E-2</v>
      </c>
      <c r="G168" s="26">
        <v>-2.0937672832653211E-2</v>
      </c>
      <c r="H168" s="26">
        <v>-2.2786865053630465E-2</v>
      </c>
      <c r="I168" s="26">
        <v>-3.7752895064647393E-2</v>
      </c>
      <c r="J168" s="26">
        <v>-3.4228167689597001E-3</v>
      </c>
    </row>
    <row r="169" spans="1:10">
      <c r="A169" t="s">
        <v>44</v>
      </c>
      <c r="B169" s="26">
        <v>-0.17136122761927336</v>
      </c>
      <c r="C169" s="26">
        <v>0.20511684968821259</v>
      </c>
      <c r="D169" s="26">
        <v>-0.92190814810906141</v>
      </c>
      <c r="E169" s="26">
        <v>-7.7157868503603372E-2</v>
      </c>
      <c r="F169" s="26">
        <v>9.3791957484840219E-2</v>
      </c>
      <c r="G169" s="26">
        <v>-0.19371455437463106</v>
      </c>
      <c r="H169" s="26">
        <v>-0.10210839122470224</v>
      </c>
      <c r="I169" s="26">
        <v>0.12541645827334166</v>
      </c>
      <c r="J169" s="26">
        <v>-1.4722974943087851E-2</v>
      </c>
    </row>
    <row r="170" spans="1:10">
      <c r="A170" s="35" t="s">
        <v>44</v>
      </c>
      <c r="B170" s="36">
        <v>-0.78212095995390718</v>
      </c>
      <c r="C170" s="36">
        <v>0.43494712727768259</v>
      </c>
      <c r="D170" s="26">
        <v>0.42690780516844673</v>
      </c>
      <c r="E170" s="26">
        <v>5.9233420783700308E-2</v>
      </c>
      <c r="F170" s="26">
        <v>-9.5467789352952082E-2</v>
      </c>
      <c r="G170" s="26">
        <v>5.2482144411715257E-3</v>
      </c>
      <c r="H170" s="26">
        <v>3.7062456190144782E-2</v>
      </c>
      <c r="I170" s="26">
        <v>4.5196115874408756E-2</v>
      </c>
      <c r="J170" s="26">
        <v>2.8124208690220372E-2</v>
      </c>
    </row>
    <row r="171" spans="1:10" ht="16.2" thickBot="1">
      <c r="A171" s="37" t="s">
        <v>44</v>
      </c>
      <c r="B171" s="38">
        <v>-0.81291802182198303</v>
      </c>
      <c r="C171" s="38">
        <v>-0.42505172931187812</v>
      </c>
      <c r="D171" s="27">
        <v>-0.18812229978724482</v>
      </c>
      <c r="E171" s="27">
        <v>-0.28943611175541173</v>
      </c>
      <c r="F171" s="27">
        <v>0.12463083151495224</v>
      </c>
      <c r="G171" s="27">
        <v>6.6953626280580339E-2</v>
      </c>
      <c r="H171" s="27">
        <v>-6.3334801825677611E-3</v>
      </c>
      <c r="I171" s="27">
        <v>-0.13668898229410131</v>
      </c>
      <c r="J171" s="27">
        <v>-2.4339918911830592E-2</v>
      </c>
    </row>
    <row r="172" spans="1:10" ht="16.2" thickBot="1"/>
    <row r="173" spans="1:10">
      <c r="A173" s="21" t="s">
        <v>43</v>
      </c>
      <c r="B173" s="21"/>
      <c r="C173" s="21"/>
      <c r="D173" s="21"/>
      <c r="E173" s="21"/>
      <c r="F173" s="21"/>
      <c r="G173" s="21"/>
      <c r="H173" s="21"/>
      <c r="I173" s="21"/>
      <c r="J173" s="21"/>
    </row>
    <row r="174" spans="1:10" ht="16.2" thickBot="1">
      <c r="A174" s="22" t="s">
        <v>37</v>
      </c>
      <c r="B174" s="22"/>
      <c r="C174" s="22"/>
      <c r="D174" s="22"/>
      <c r="E174" s="22"/>
      <c r="F174" s="22"/>
      <c r="G174" s="22"/>
      <c r="H174" s="22"/>
      <c r="I174" s="22"/>
      <c r="J174" s="22"/>
    </row>
    <row r="175" spans="1:10">
      <c r="A175" s="17"/>
      <c r="B175" s="17">
        <v>1</v>
      </c>
      <c r="C175" s="17">
        <v>2</v>
      </c>
      <c r="D175" s="17">
        <v>3</v>
      </c>
      <c r="E175" s="17">
        <v>4</v>
      </c>
      <c r="F175" s="17">
        <v>5</v>
      </c>
      <c r="G175" s="17">
        <v>6</v>
      </c>
      <c r="H175" s="17">
        <v>7</v>
      </c>
      <c r="I175" s="17">
        <v>8</v>
      </c>
      <c r="J175" s="17">
        <v>9</v>
      </c>
    </row>
    <row r="176" spans="1:10">
      <c r="A176" s="28" t="s">
        <v>2</v>
      </c>
      <c r="B176" s="29">
        <v>0.9661603456667196</v>
      </c>
      <c r="C176" s="29">
        <v>0.10864724273770902</v>
      </c>
      <c r="D176" s="26">
        <v>0.19162108562088598</v>
      </c>
      <c r="E176" s="26">
        <v>0.11644108850442869</v>
      </c>
      <c r="F176" s="26">
        <v>-6.0419938096470165E-2</v>
      </c>
      <c r="G176" s="26">
        <v>1.5155258183176194E-3</v>
      </c>
      <c r="H176" s="26">
        <v>8.0284275042991115E-4</v>
      </c>
      <c r="I176" s="26">
        <v>-1.4722733343670897E-2</v>
      </c>
      <c r="J176" s="26">
        <v>-2.4135583447617685E-2</v>
      </c>
    </row>
    <row r="177" spans="1:10">
      <c r="A177" s="28" t="s">
        <v>5</v>
      </c>
      <c r="B177" s="29">
        <v>0.81230858847270992</v>
      </c>
      <c r="C177" s="29">
        <v>-0.33860411675253788</v>
      </c>
      <c r="D177" s="26">
        <v>8.0649994873853742E-2</v>
      </c>
      <c r="E177" s="26">
        <v>-0.12066214164605815</v>
      </c>
      <c r="F177" s="26">
        <v>0.44186169119242674</v>
      </c>
      <c r="G177" s="26">
        <v>-6.4515080769603869E-2</v>
      </c>
      <c r="H177" s="26">
        <v>5.1779278795291234E-2</v>
      </c>
      <c r="I177" s="26">
        <v>4.8112072368133703E-2</v>
      </c>
      <c r="J177" s="26">
        <v>-6.1983950893785937E-3</v>
      </c>
    </row>
    <row r="178" spans="1:10">
      <c r="A178" t="s">
        <v>4</v>
      </c>
      <c r="B178" s="26">
        <v>0.62326942061128221</v>
      </c>
      <c r="C178" s="26">
        <v>-0.30899453703612001</v>
      </c>
      <c r="D178" s="26">
        <v>-0.64304685712503418</v>
      </c>
      <c r="E178" s="26">
        <v>0.2192179031425581</v>
      </c>
      <c r="F178" s="26">
        <v>-0.1822496430373404</v>
      </c>
      <c r="G178" s="26">
        <v>8.5623795640383554E-2</v>
      </c>
      <c r="H178" s="26">
        <v>9.8362101864466422E-2</v>
      </c>
      <c r="I178" s="26">
        <v>1.754167553155692E-2</v>
      </c>
      <c r="J178" s="26">
        <v>6.2949786857082343E-2</v>
      </c>
    </row>
    <row r="179" spans="1:10">
      <c r="A179" t="s">
        <v>0</v>
      </c>
      <c r="B179" s="26">
        <v>0.39955947353151655</v>
      </c>
      <c r="C179" s="26">
        <v>0.44355758787108274</v>
      </c>
      <c r="D179" s="26">
        <v>0.16845771601089937</v>
      </c>
      <c r="E179" s="26">
        <v>-0.74996926497617777</v>
      </c>
      <c r="F179" s="26">
        <v>-0.2208064174235739</v>
      </c>
      <c r="G179" s="26">
        <v>6.0148799971698743E-3</v>
      </c>
      <c r="H179" s="26">
        <v>-8.0214959303062314E-3</v>
      </c>
      <c r="I179" s="26">
        <v>-5.5416674860417479E-2</v>
      </c>
      <c r="J179" s="26">
        <v>2.9154551176922176E-2</v>
      </c>
    </row>
    <row r="180" spans="1:10">
      <c r="A180" t="s">
        <v>9</v>
      </c>
      <c r="B180" s="26">
        <v>-0.12138381308854757</v>
      </c>
      <c r="C180" s="26">
        <v>0.33490734103656189</v>
      </c>
      <c r="D180" s="26">
        <v>0.59791672335681589</v>
      </c>
      <c r="E180" s="26">
        <v>0.39676230181215161</v>
      </c>
      <c r="F180" s="26">
        <v>0.25645450486684479</v>
      </c>
      <c r="G180" s="26">
        <v>0.16803547357668819</v>
      </c>
      <c r="H180" s="26">
        <v>-0.47767296844686197</v>
      </c>
      <c r="I180" s="26">
        <v>5.2325980433578896E-2</v>
      </c>
      <c r="J180" s="26">
        <v>0.18238422127767515</v>
      </c>
    </row>
    <row r="181" spans="1:10">
      <c r="A181" s="39" t="s">
        <v>6</v>
      </c>
      <c r="B181" s="40">
        <v>-0.23519869071347194</v>
      </c>
      <c r="C181" s="40">
        <v>0.93953353522849581</v>
      </c>
      <c r="D181" s="26">
        <v>-0.23750158964836565</v>
      </c>
      <c r="E181" s="26">
        <v>1.3566214302815581E-3</v>
      </c>
      <c r="F181" s="26">
        <v>4.6074472975902885E-2</v>
      </c>
      <c r="G181" s="26">
        <v>2.1968864371504533E-2</v>
      </c>
      <c r="H181" s="26">
        <v>3.5472792101061766E-2</v>
      </c>
      <c r="I181" s="26">
        <v>4.0843221335772575E-2</v>
      </c>
      <c r="J181" s="26">
        <v>-4.1821992059935349E-3</v>
      </c>
    </row>
    <row r="182" spans="1:10">
      <c r="A182" s="32" t="s">
        <v>1</v>
      </c>
      <c r="B182" s="33">
        <v>-0.44518320530808242</v>
      </c>
      <c r="C182" s="33">
        <v>-0.80542020978948126</v>
      </c>
      <c r="D182" s="26">
        <v>-0.30026435487167252</v>
      </c>
      <c r="E182" s="26">
        <v>-3.9938740289318507E-2</v>
      </c>
      <c r="F182" s="26">
        <v>-0.13913102246021461</v>
      </c>
      <c r="G182" s="26">
        <v>0.13582914216786496</v>
      </c>
      <c r="H182" s="26">
        <v>-8.3548235333896922E-2</v>
      </c>
      <c r="I182" s="26">
        <v>0.11030708086720878</v>
      </c>
      <c r="J182" s="26">
        <v>-6.6343474450427445E-2</v>
      </c>
    </row>
    <row r="183" spans="1:10">
      <c r="A183" t="s">
        <v>8</v>
      </c>
      <c r="B183" s="26">
        <v>-0.47363276301777829</v>
      </c>
      <c r="C183" s="26">
        <v>0.30601632804134843</v>
      </c>
      <c r="D183" s="26">
        <v>-0.66808880520892777</v>
      </c>
      <c r="E183" s="26">
        <v>3.2958869092159282E-2</v>
      </c>
      <c r="F183" s="26">
        <v>-0.1311351646266288</v>
      </c>
      <c r="G183" s="26">
        <v>-0.38236896263966058</v>
      </c>
      <c r="H183" s="26">
        <v>-0.24779348018102348</v>
      </c>
      <c r="I183" s="26">
        <v>-8.6681359127460611E-2</v>
      </c>
      <c r="J183" s="26">
        <v>-4.7742562129801248E-2</v>
      </c>
    </row>
    <row r="184" spans="1:10">
      <c r="A184" s="41" t="s">
        <v>10</v>
      </c>
      <c r="B184" s="34">
        <v>-0.55028966289911718</v>
      </c>
      <c r="C184" s="34">
        <v>-0.73630123741964737</v>
      </c>
      <c r="D184" s="26">
        <v>-0.35591611128928102</v>
      </c>
      <c r="E184" s="26">
        <v>4.8961768772054926E-3</v>
      </c>
      <c r="F184" s="26">
        <v>7.0188774965929068E-2</v>
      </c>
      <c r="G184" s="26">
        <v>-0.1105095424633922</v>
      </c>
      <c r="H184" s="26">
        <v>7.6116269986164942E-2</v>
      </c>
      <c r="I184" s="26">
        <v>-6.8794510467922981E-2</v>
      </c>
      <c r="J184" s="26">
        <v>2.6006336219493872E-2</v>
      </c>
    </row>
    <row r="185" spans="1:10">
      <c r="A185" s="35" t="s">
        <v>3</v>
      </c>
      <c r="B185" s="36">
        <v>-0.6778189608737355</v>
      </c>
      <c r="C185" s="36">
        <v>-0.30068053877535744</v>
      </c>
      <c r="D185" s="26">
        <v>0.65776803641189452</v>
      </c>
      <c r="E185" s="26">
        <v>-4.0362411038251264E-2</v>
      </c>
      <c r="F185" s="26">
        <v>-6.2595154255559948E-2</v>
      </c>
      <c r="G185" s="26">
        <v>-2.0221341687326727E-2</v>
      </c>
      <c r="H185" s="26">
        <v>7.4261976907722155E-2</v>
      </c>
      <c r="I185" s="26">
        <v>7.7517592471079866E-2</v>
      </c>
      <c r="J185" s="26">
        <v>3.7257991306094535E-3</v>
      </c>
    </row>
    <row r="186" spans="1:10">
      <c r="A186" s="35" t="s">
        <v>12</v>
      </c>
      <c r="B186" s="36">
        <v>-0.67797453329202595</v>
      </c>
      <c r="C186" s="36">
        <v>0.37198339441065392</v>
      </c>
      <c r="D186" s="26">
        <v>0.54554874395514119</v>
      </c>
      <c r="E186" s="26">
        <v>0.29169326526257067</v>
      </c>
      <c r="F186" s="26">
        <v>-0.10718516226305405</v>
      </c>
      <c r="G186" s="26">
        <v>-2.6389268490062148E-2</v>
      </c>
      <c r="H186" s="26">
        <v>6.0337353230034432E-2</v>
      </c>
      <c r="I186" s="26">
        <v>-5.8168109319373044E-2</v>
      </c>
      <c r="J186" s="26">
        <v>7.83044201948703E-3</v>
      </c>
    </row>
    <row r="187" spans="1:10">
      <c r="A187" s="35" t="s">
        <v>11</v>
      </c>
      <c r="B187" s="36">
        <v>-0.76129701378063608</v>
      </c>
      <c r="C187" s="36">
        <v>-0.12595866418983129</v>
      </c>
      <c r="D187" s="26">
        <v>4.1348542501356842E-3</v>
      </c>
      <c r="E187" s="26">
        <v>-0.10374655591055092</v>
      </c>
      <c r="F187" s="26">
        <v>0.27213162184271705</v>
      </c>
      <c r="G187" s="26">
        <v>0.50123080867465908</v>
      </c>
      <c r="H187" s="26">
        <v>6.6797619897935772E-3</v>
      </c>
      <c r="I187" s="26">
        <v>-0.25698798430648723</v>
      </c>
      <c r="J187" s="26">
        <v>-4.9045288985555227E-2</v>
      </c>
    </row>
    <row r="188" spans="1:10" ht="16.2" thickBot="1">
      <c r="A188" s="37" t="s">
        <v>7</v>
      </c>
      <c r="B188" s="38">
        <v>-0.79001938238720171</v>
      </c>
      <c r="C188" s="38">
        <v>0.38059603111993323</v>
      </c>
      <c r="D188" s="27">
        <v>-0.16509782298610148</v>
      </c>
      <c r="E188" s="27">
        <v>0.41538152303705089</v>
      </c>
      <c r="F188" s="27">
        <v>0.10069582132985376</v>
      </c>
      <c r="G188" s="27">
        <v>-6.224862919349803E-2</v>
      </c>
      <c r="H188" s="27">
        <v>5.7387099120655835E-3</v>
      </c>
      <c r="I188" s="27">
        <v>-7.8435774673983341E-2</v>
      </c>
      <c r="J188" s="27">
        <v>-0.10496328835856353</v>
      </c>
    </row>
    <row r="191" spans="1:10">
      <c r="A191" s="42"/>
    </row>
    <row r="192" spans="1:10">
      <c r="A192" s="42"/>
    </row>
    <row r="193" spans="1:1">
      <c r="A193" s="42"/>
    </row>
    <row r="194" spans="1:1">
      <c r="A194" s="42"/>
    </row>
    <row r="195" spans="1:1">
      <c r="A195" s="42"/>
    </row>
  </sheetData>
  <sortState xmlns:xlrd2="http://schemas.microsoft.com/office/spreadsheetml/2017/richdata2" ref="A176:M188">
    <sortCondition descending="1" ref="B176:B188"/>
    <sortCondition descending="1" ref="C176:C188"/>
  </sortState>
  <mergeCells count="3">
    <mergeCell ref="A1:K1"/>
    <mergeCell ref="A132:B132"/>
    <mergeCell ref="A147:B147"/>
  </mergeCells>
  <conditionalFormatting sqref="B162:J171">
    <cfRule type="expression" dxfId="3" priority="3">
      <formula>B162&lt;-0.5</formula>
    </cfRule>
    <cfRule type="expression" dxfId="2" priority="4">
      <formula>B162&gt;0.5</formula>
    </cfRule>
  </conditionalFormatting>
  <conditionalFormatting sqref="B176:J188">
    <cfRule type="expression" dxfId="1" priority="1">
      <formula>B176&lt;-0.5</formula>
    </cfRule>
    <cfRule type="expression" dxfId="0" priority="2">
      <formula>B176&gt;0.5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Count</vt:lpstr>
      <vt:lpstr>Имиджевые профили</vt:lpstr>
      <vt:lpstr>Стандартизованные остатки</vt:lpstr>
      <vt:lpstr>Анализ соответствий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Vadim Saprykin</cp:lastModifiedBy>
  <dcterms:created xsi:type="dcterms:W3CDTF">2024-09-25T06:57:44Z</dcterms:created>
  <dcterms:modified xsi:type="dcterms:W3CDTF">2025-11-05T18:10:37Z</dcterms:modified>
</cp:coreProperties>
</file>