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E:\дебренд\"/>
    </mc:Choice>
  </mc:AlternateContent>
  <xr:revisionPtr revIDLastSave="0" documentId="13_ncr:1_{8F423201-FF85-4958-9AE9-5E4B80BAB907}" xr6:coauthVersionLast="47" xr6:coauthVersionMax="47" xr10:uidLastSave="{00000000-0000-0000-0000-000000000000}"/>
  <bookViews>
    <workbookView xWindow="-108" yWindow="-108" windowWidth="23256" windowHeight="13896" activeTab="4" xr2:uid="{C5F66C9E-B788-1A45-AAE8-2AFF01B3E1CB}"/>
  </bookViews>
  <sheets>
    <sheet name="КАНО. Count &amp; %" sheetId="1" r:id="rId1"/>
    <sheet name="КАНО. Сводная таблица" sheetId="2" r:id="rId2"/>
    <sheet name="КАНО. Диаграмма" sheetId="3" r:id="rId3"/>
    <sheet name="MaxDiff" sheetId="4" r:id="rId4"/>
    <sheet name="TURF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5" i="1" l="1"/>
  <c r="Y65" i="1"/>
  <c r="Y66" i="1"/>
  <c r="AA63" i="1"/>
  <c r="AC63" i="1"/>
  <c r="C10" i="5"/>
  <c r="C11" i="5"/>
  <c r="C12" i="5"/>
  <c r="C13" i="5"/>
  <c r="C14" i="5"/>
  <c r="C15" i="5"/>
  <c r="C16" i="5"/>
  <c r="C9" i="5"/>
  <c r="C8" i="5"/>
  <c r="C7" i="5"/>
  <c r="C6" i="5"/>
  <c r="C4" i="5"/>
  <c r="C5" i="5"/>
  <c r="C3" i="5"/>
  <c r="C17" i="2"/>
  <c r="B17" i="2"/>
  <c r="AC33" i="1"/>
  <c r="X33" i="1"/>
  <c r="AC143" i="1"/>
  <c r="X143" i="1"/>
  <c r="AC133" i="1"/>
  <c r="X133" i="1"/>
  <c r="AC123" i="1"/>
  <c r="X123" i="1"/>
  <c r="AC113" i="1"/>
  <c r="X113" i="1"/>
  <c r="AC103" i="1"/>
  <c r="X103" i="1"/>
  <c r="AC93" i="1"/>
  <c r="X93" i="1"/>
  <c r="AC83" i="1"/>
  <c r="X83" i="1"/>
  <c r="AC73" i="1"/>
  <c r="X73" i="1"/>
  <c r="X63" i="1"/>
  <c r="AC53" i="1"/>
  <c r="X53" i="1"/>
  <c r="AC43" i="1"/>
  <c r="X43" i="1"/>
  <c r="AC23" i="1"/>
  <c r="X23" i="1"/>
  <c r="AC13" i="1"/>
  <c r="X13" i="1"/>
  <c r="Y15" i="1" s="1"/>
  <c r="AC3" i="1"/>
  <c r="X3" i="1"/>
  <c r="Y143" i="1" l="1"/>
  <c r="Y123" i="1"/>
  <c r="Y126" i="1"/>
  <c r="Z113" i="1"/>
  <c r="Y103" i="1"/>
  <c r="Y83" i="1"/>
  <c r="Y63" i="1"/>
  <c r="Y43" i="1"/>
  <c r="Y23" i="1"/>
  <c r="Y3" i="1"/>
  <c r="P144" i="1"/>
  <c r="Z143" i="1" s="1"/>
  <c r="Q144" i="1"/>
  <c r="R144" i="1"/>
  <c r="S144" i="1"/>
  <c r="P145" i="1"/>
  <c r="Q145" i="1"/>
  <c r="AA143" i="1" s="1"/>
  <c r="R145" i="1"/>
  <c r="S145" i="1"/>
  <c r="P146" i="1"/>
  <c r="Q146" i="1"/>
  <c r="R146" i="1"/>
  <c r="S146" i="1"/>
  <c r="P147" i="1"/>
  <c r="Q147" i="1"/>
  <c r="R147" i="1"/>
  <c r="AB143" i="1" s="1"/>
  <c r="S147" i="1"/>
  <c r="P148" i="1"/>
  <c r="Q148" i="1"/>
  <c r="R148" i="1"/>
  <c r="S148" i="1"/>
  <c r="O145" i="1"/>
  <c r="O146" i="1"/>
  <c r="O147" i="1"/>
  <c r="O148" i="1"/>
  <c r="O144" i="1"/>
  <c r="S149" i="1" s="1"/>
  <c r="P134" i="1"/>
  <c r="Z133" i="1" s="1"/>
  <c r="Q134" i="1"/>
  <c r="R134" i="1"/>
  <c r="S134" i="1"/>
  <c r="Y133" i="1" s="1"/>
  <c r="P135" i="1"/>
  <c r="Q135" i="1"/>
  <c r="R135" i="1"/>
  <c r="S135" i="1"/>
  <c r="P136" i="1"/>
  <c r="AA133" i="1" s="1"/>
  <c r="Q136" i="1"/>
  <c r="R136" i="1"/>
  <c r="S136" i="1"/>
  <c r="P137" i="1"/>
  <c r="Q137" i="1"/>
  <c r="R137" i="1"/>
  <c r="AB133" i="1" s="1"/>
  <c r="S137" i="1"/>
  <c r="P138" i="1"/>
  <c r="Q138" i="1"/>
  <c r="R138" i="1"/>
  <c r="S138" i="1"/>
  <c r="O135" i="1"/>
  <c r="O136" i="1"/>
  <c r="O137" i="1"/>
  <c r="O138" i="1"/>
  <c r="O134" i="1"/>
  <c r="S139" i="1" s="1"/>
  <c r="P124" i="1"/>
  <c r="Q124" i="1"/>
  <c r="Z123" i="1" s="1"/>
  <c r="R124" i="1"/>
  <c r="S124" i="1"/>
  <c r="P125" i="1"/>
  <c r="Q125" i="1"/>
  <c r="AA123" i="1" s="1"/>
  <c r="R125" i="1"/>
  <c r="S125" i="1"/>
  <c r="P126" i="1"/>
  <c r="Q126" i="1"/>
  <c r="R126" i="1"/>
  <c r="S126" i="1"/>
  <c r="P127" i="1"/>
  <c r="Q127" i="1"/>
  <c r="R127" i="1"/>
  <c r="AB123" i="1" s="1"/>
  <c r="S127" i="1"/>
  <c r="P128" i="1"/>
  <c r="Q128" i="1"/>
  <c r="R128" i="1"/>
  <c r="S128" i="1"/>
  <c r="O125" i="1"/>
  <c r="O126" i="1"/>
  <c r="O127" i="1"/>
  <c r="O128" i="1"/>
  <c r="O124" i="1"/>
  <c r="S129" i="1" s="1"/>
  <c r="O114" i="1"/>
  <c r="S119" i="1" s="1"/>
  <c r="P114" i="1"/>
  <c r="Q114" i="1"/>
  <c r="R114" i="1"/>
  <c r="S114" i="1"/>
  <c r="Y113" i="1" s="1"/>
  <c r="O115" i="1"/>
  <c r="P115" i="1"/>
  <c r="Q115" i="1"/>
  <c r="AA113" i="1" s="1"/>
  <c r="R115" i="1"/>
  <c r="S115" i="1"/>
  <c r="O116" i="1"/>
  <c r="P116" i="1"/>
  <c r="Q116" i="1"/>
  <c r="R116" i="1"/>
  <c r="S116" i="1"/>
  <c r="O117" i="1"/>
  <c r="P117" i="1"/>
  <c r="Q117" i="1"/>
  <c r="R117" i="1"/>
  <c r="S117" i="1"/>
  <c r="AB113" i="1" s="1"/>
  <c r="P118" i="1"/>
  <c r="Q118" i="1"/>
  <c r="R118" i="1"/>
  <c r="S118" i="1"/>
  <c r="O118" i="1"/>
  <c r="P104" i="1"/>
  <c r="Z103" i="1" s="1"/>
  <c r="Q104" i="1"/>
  <c r="R104" i="1"/>
  <c r="S104" i="1"/>
  <c r="P105" i="1"/>
  <c r="Q105" i="1"/>
  <c r="AA103" i="1" s="1"/>
  <c r="R105" i="1"/>
  <c r="S105" i="1"/>
  <c r="P106" i="1"/>
  <c r="Q106" i="1"/>
  <c r="R106" i="1"/>
  <c r="S106" i="1"/>
  <c r="P107" i="1"/>
  <c r="Q107" i="1"/>
  <c r="R107" i="1"/>
  <c r="AB103" i="1" s="1"/>
  <c r="S107" i="1"/>
  <c r="P108" i="1"/>
  <c r="Q108" i="1"/>
  <c r="R108" i="1"/>
  <c r="S108" i="1"/>
  <c r="O105" i="1"/>
  <c r="O106" i="1"/>
  <c r="O107" i="1"/>
  <c r="O108" i="1"/>
  <c r="O104" i="1"/>
  <c r="S109" i="1" s="1"/>
  <c r="P94" i="1"/>
  <c r="Z93" i="1" s="1"/>
  <c r="Q94" i="1"/>
  <c r="R94" i="1"/>
  <c r="S94" i="1"/>
  <c r="Y93" i="1" s="1"/>
  <c r="P95" i="1"/>
  <c r="Q95" i="1"/>
  <c r="R95" i="1"/>
  <c r="S95" i="1"/>
  <c r="P96" i="1"/>
  <c r="AA93" i="1" s="1"/>
  <c r="Q96" i="1"/>
  <c r="R96" i="1"/>
  <c r="S96" i="1"/>
  <c r="P97" i="1"/>
  <c r="Q97" i="1"/>
  <c r="R97" i="1"/>
  <c r="AB93" i="1" s="1"/>
  <c r="S97" i="1"/>
  <c r="P98" i="1"/>
  <c r="Q98" i="1"/>
  <c r="R98" i="1"/>
  <c r="S98" i="1"/>
  <c r="O95" i="1"/>
  <c r="O96" i="1"/>
  <c r="O97" i="1"/>
  <c r="O98" i="1"/>
  <c r="O94" i="1"/>
  <c r="S99" i="1" s="1"/>
  <c r="P84" i="1"/>
  <c r="Z83" i="1" s="1"/>
  <c r="Y85" i="1" s="1"/>
  <c r="Q84" i="1"/>
  <c r="R84" i="1"/>
  <c r="S84" i="1"/>
  <c r="P85" i="1"/>
  <c r="Q85" i="1"/>
  <c r="AA83" i="1" s="1"/>
  <c r="R85" i="1"/>
  <c r="S85" i="1"/>
  <c r="P86" i="1"/>
  <c r="Q86" i="1"/>
  <c r="R86" i="1"/>
  <c r="S86" i="1"/>
  <c r="P87" i="1"/>
  <c r="Q87" i="1"/>
  <c r="R87" i="1"/>
  <c r="AB83" i="1" s="1"/>
  <c r="S87" i="1"/>
  <c r="P88" i="1"/>
  <c r="Q88" i="1"/>
  <c r="R88" i="1"/>
  <c r="S88" i="1"/>
  <c r="O85" i="1"/>
  <c r="O86" i="1"/>
  <c r="O87" i="1"/>
  <c r="O88" i="1"/>
  <c r="O84" i="1"/>
  <c r="S89" i="1" s="1"/>
  <c r="P74" i="1"/>
  <c r="Z73" i="1" s="1"/>
  <c r="Q74" i="1"/>
  <c r="R74" i="1"/>
  <c r="S74" i="1"/>
  <c r="Y73" i="1" s="1"/>
  <c r="P75" i="1"/>
  <c r="Q75" i="1"/>
  <c r="R75" i="1"/>
  <c r="S75" i="1"/>
  <c r="Y76" i="1" s="1"/>
  <c r="P76" i="1"/>
  <c r="AA73" i="1" s="1"/>
  <c r="Q76" i="1"/>
  <c r="R76" i="1"/>
  <c r="S76" i="1"/>
  <c r="P77" i="1"/>
  <c r="Q77" i="1"/>
  <c r="R77" i="1"/>
  <c r="AB73" i="1" s="1"/>
  <c r="S77" i="1"/>
  <c r="P78" i="1"/>
  <c r="Q78" i="1"/>
  <c r="R78" i="1"/>
  <c r="S78" i="1"/>
  <c r="O75" i="1"/>
  <c r="O76" i="1"/>
  <c r="O77" i="1"/>
  <c r="O78" i="1"/>
  <c r="O74" i="1"/>
  <c r="S79" i="1" s="1"/>
  <c r="P64" i="1"/>
  <c r="Z63" i="1" s="1"/>
  <c r="Q64" i="1"/>
  <c r="R64" i="1"/>
  <c r="S64" i="1"/>
  <c r="P65" i="1"/>
  <c r="Q65" i="1"/>
  <c r="R65" i="1"/>
  <c r="S65" i="1"/>
  <c r="P66" i="1"/>
  <c r="Q66" i="1"/>
  <c r="R66" i="1"/>
  <c r="S66" i="1"/>
  <c r="P67" i="1"/>
  <c r="Q67" i="1"/>
  <c r="R67" i="1"/>
  <c r="AB63" i="1" s="1"/>
  <c r="S67" i="1"/>
  <c r="P68" i="1"/>
  <c r="Q68" i="1"/>
  <c r="R68" i="1"/>
  <c r="S68" i="1"/>
  <c r="O65" i="1"/>
  <c r="O66" i="1"/>
  <c r="O67" i="1"/>
  <c r="O68" i="1"/>
  <c r="O64" i="1"/>
  <c r="S69" i="1" s="1"/>
  <c r="P54" i="1"/>
  <c r="Z53" i="1" s="1"/>
  <c r="Q54" i="1"/>
  <c r="R54" i="1"/>
  <c r="S54" i="1"/>
  <c r="Y53" i="1" s="1"/>
  <c r="P55" i="1"/>
  <c r="Q55" i="1"/>
  <c r="R55" i="1"/>
  <c r="S55" i="1"/>
  <c r="P56" i="1"/>
  <c r="AA53" i="1" s="1"/>
  <c r="Q56" i="1"/>
  <c r="R56" i="1"/>
  <c r="S56" i="1"/>
  <c r="P57" i="1"/>
  <c r="Q57" i="1"/>
  <c r="R57" i="1"/>
  <c r="AB53" i="1" s="1"/>
  <c r="S57" i="1"/>
  <c r="P58" i="1"/>
  <c r="Q58" i="1"/>
  <c r="R58" i="1"/>
  <c r="S58" i="1"/>
  <c r="O55" i="1"/>
  <c r="O56" i="1"/>
  <c r="O57" i="1"/>
  <c r="O58" i="1"/>
  <c r="O54" i="1"/>
  <c r="S59" i="1" s="1"/>
  <c r="P44" i="1"/>
  <c r="Q44" i="1"/>
  <c r="R44" i="1"/>
  <c r="Z43" i="1" s="1"/>
  <c r="S44" i="1"/>
  <c r="P45" i="1"/>
  <c r="Q45" i="1"/>
  <c r="AA43" i="1" s="1"/>
  <c r="R45" i="1"/>
  <c r="S45" i="1"/>
  <c r="P46" i="1"/>
  <c r="Q46" i="1"/>
  <c r="R46" i="1"/>
  <c r="S46" i="1"/>
  <c r="P47" i="1"/>
  <c r="Q47" i="1"/>
  <c r="R47" i="1"/>
  <c r="AB43" i="1" s="1"/>
  <c r="S47" i="1"/>
  <c r="P48" i="1"/>
  <c r="Q48" i="1"/>
  <c r="R48" i="1"/>
  <c r="S48" i="1"/>
  <c r="O45" i="1"/>
  <c r="O46" i="1"/>
  <c r="O47" i="1"/>
  <c r="O48" i="1"/>
  <c r="O44" i="1"/>
  <c r="S49" i="1" s="1"/>
  <c r="P34" i="1"/>
  <c r="Z33" i="1" s="1"/>
  <c r="Q34" i="1"/>
  <c r="R34" i="1"/>
  <c r="S34" i="1"/>
  <c r="Y33" i="1" s="1"/>
  <c r="P35" i="1"/>
  <c r="Q35" i="1"/>
  <c r="R35" i="1"/>
  <c r="S35" i="1"/>
  <c r="Y36" i="1" s="1"/>
  <c r="P36" i="1"/>
  <c r="AA33" i="1" s="1"/>
  <c r="Q36" i="1"/>
  <c r="R36" i="1"/>
  <c r="S36" i="1"/>
  <c r="P37" i="1"/>
  <c r="Q37" i="1"/>
  <c r="R37" i="1"/>
  <c r="AB33" i="1" s="1"/>
  <c r="S37" i="1"/>
  <c r="P38" i="1"/>
  <c r="Q38" i="1"/>
  <c r="R38" i="1"/>
  <c r="S38" i="1"/>
  <c r="O35" i="1"/>
  <c r="O36" i="1"/>
  <c r="O37" i="1"/>
  <c r="O38" i="1"/>
  <c r="O34" i="1"/>
  <c r="S39" i="1" s="1"/>
  <c r="P24" i="1"/>
  <c r="Z23" i="1" s="1"/>
  <c r="Q24" i="1"/>
  <c r="R24" i="1"/>
  <c r="S24" i="1"/>
  <c r="P25" i="1"/>
  <c r="Q25" i="1"/>
  <c r="AA23" i="1" s="1"/>
  <c r="R25" i="1"/>
  <c r="S25" i="1"/>
  <c r="P26" i="1"/>
  <c r="Q26" i="1"/>
  <c r="R26" i="1"/>
  <c r="S26" i="1"/>
  <c r="P27" i="1"/>
  <c r="Q27" i="1"/>
  <c r="R27" i="1"/>
  <c r="AB23" i="1" s="1"/>
  <c r="S27" i="1"/>
  <c r="P28" i="1"/>
  <c r="Q28" i="1"/>
  <c r="R28" i="1"/>
  <c r="S28" i="1"/>
  <c r="O25" i="1"/>
  <c r="O26" i="1"/>
  <c r="O27" i="1"/>
  <c r="O28" i="1"/>
  <c r="O24" i="1"/>
  <c r="S29" i="1" s="1"/>
  <c r="P14" i="1"/>
  <c r="Z13" i="1" s="1"/>
  <c r="Q14" i="1"/>
  <c r="R14" i="1"/>
  <c r="S14" i="1"/>
  <c r="Y13" i="1" s="1"/>
  <c r="P15" i="1"/>
  <c r="Q15" i="1"/>
  <c r="AA13" i="1" s="1"/>
  <c r="R15" i="1"/>
  <c r="S15" i="1"/>
  <c r="P16" i="1"/>
  <c r="Q16" i="1"/>
  <c r="R16" i="1"/>
  <c r="S16" i="1"/>
  <c r="P17" i="1"/>
  <c r="Q17" i="1"/>
  <c r="R17" i="1"/>
  <c r="S17" i="1"/>
  <c r="AB13" i="1" s="1"/>
  <c r="P18" i="1"/>
  <c r="Q18" i="1"/>
  <c r="R18" i="1"/>
  <c r="S18" i="1"/>
  <c r="O15" i="1"/>
  <c r="O16" i="1"/>
  <c r="O17" i="1"/>
  <c r="O18" i="1"/>
  <c r="O14" i="1"/>
  <c r="S19" i="1" s="1"/>
  <c r="P4" i="1"/>
  <c r="Z3" i="1" s="1"/>
  <c r="Q4" i="1"/>
  <c r="R4" i="1"/>
  <c r="S4" i="1"/>
  <c r="P5" i="1"/>
  <c r="Q5" i="1"/>
  <c r="AA3" i="1" s="1"/>
  <c r="R5" i="1"/>
  <c r="S5" i="1"/>
  <c r="P6" i="1"/>
  <c r="Q6" i="1"/>
  <c r="R6" i="1"/>
  <c r="S6" i="1"/>
  <c r="P7" i="1"/>
  <c r="Q7" i="1"/>
  <c r="R7" i="1"/>
  <c r="AB3" i="1" s="1"/>
  <c r="S7" i="1"/>
  <c r="P8" i="1"/>
  <c r="Q8" i="1"/>
  <c r="R8" i="1"/>
  <c r="S8" i="1"/>
  <c r="O5" i="1"/>
  <c r="O6" i="1"/>
  <c r="O7" i="1"/>
  <c r="O8" i="1"/>
  <c r="O4" i="1"/>
  <c r="S9" i="1" s="1"/>
  <c r="Y55" i="1" l="1"/>
  <c r="Y95" i="1"/>
  <c r="Y135" i="1"/>
  <c r="Y26" i="1"/>
  <c r="Y106" i="1"/>
  <c r="Y16" i="1"/>
  <c r="Y25" i="1"/>
  <c r="Y45" i="1"/>
  <c r="Y56" i="1"/>
  <c r="Y96" i="1"/>
  <c r="Y105" i="1"/>
  <c r="Y116" i="1"/>
  <c r="Y136" i="1"/>
  <c r="Y145" i="1"/>
  <c r="Y146" i="1"/>
  <c r="Y35" i="1"/>
  <c r="Y75" i="1"/>
  <c r="Y125" i="1"/>
  <c r="Y6" i="1"/>
  <c r="Y46" i="1"/>
  <c r="Y86" i="1"/>
  <c r="Y115" i="1"/>
</calcChain>
</file>

<file path=xl/sharedStrings.xml><?xml version="1.0" encoding="utf-8"?>
<sst xmlns="http://schemas.openxmlformats.org/spreadsheetml/2006/main" count="580" uniqueCount="75">
  <si>
    <t>Как вы отнесетесь к тому, что этой характеристики НЕ БУДЕТ у вашего умного ночника?</t>
  </si>
  <si>
    <t>Очень хорошо, что этого не будет</t>
  </si>
  <si>
    <t>Это нормально, этого и не должно быть</t>
  </si>
  <si>
    <t>Мне все равно</t>
  </si>
  <si>
    <t>Мне это нужно, но переживу без этого</t>
  </si>
  <si>
    <t>Мне это нужно. Плохо, если этого не будет</t>
  </si>
  <si>
    <t>Как вы отнесетесь к тому, что эта характеристика БУДЕТ у вашего умного ночника?</t>
  </si>
  <si>
    <t>Мне это очень понравится'</t>
  </si>
  <si>
    <t>Это нормально, так и должно быть</t>
  </si>
  <si>
    <t>Мне это не нужно, но и мешать не будет</t>
  </si>
  <si>
    <t>Мне это не нужно и будет мешать</t>
  </si>
  <si>
    <t>Наличие панели управления с сенсорным дисплеем</t>
  </si>
  <si>
    <t xml:space="preserve">Возможность изменения цвета освещения благодапря RGB-технологии </t>
  </si>
  <si>
    <t xml:space="preserve">Интеграция с голосовым помощником (Алиса, Маруся, GoogleAssistant, и т.д.) </t>
  </si>
  <si>
    <t xml:space="preserve">Встроенные колонки для воспроизведения музыки </t>
  </si>
  <si>
    <t xml:space="preserve">Возможность настроить будильники по расписанию в разные дни </t>
  </si>
  <si>
    <t xml:space="preserve">Наличие встроенного FM-радиоприёмника </t>
  </si>
  <si>
    <t xml:space="preserve">Наличие функции беспроводной зарядки телефона </t>
  </si>
  <si>
    <t xml:space="preserve">Дисплей с режимом цифровых часов и анимации </t>
  </si>
  <si>
    <t xml:space="preserve">Возможность включить музыку со съемного носителя (с флешки, жесткого диска) </t>
  </si>
  <si>
    <t xml:space="preserve">Наличие функции "театр теней" </t>
  </si>
  <si>
    <t xml:space="preserve">Интеграция с системой "Умный дом" </t>
  </si>
  <si>
    <t xml:space="preserve">Наличие встроенного датчика температуры </t>
  </si>
  <si>
    <t xml:space="preserve">Наличие встроенного датчика движения </t>
  </si>
  <si>
    <t xml:space="preserve">Наличие встроенного датчика шума </t>
  </si>
  <si>
    <t>COUNT</t>
  </si>
  <si>
    <t>%</t>
  </si>
  <si>
    <t>Обязательные</t>
  </si>
  <si>
    <t>Желательные</t>
  </si>
  <si>
    <t>Восхищающие</t>
  </si>
  <si>
    <t>Безразличные</t>
  </si>
  <si>
    <t>Сомнительные</t>
  </si>
  <si>
    <t>Нежелательные</t>
  </si>
  <si>
    <t>УДОВЛЕТВОРЕННОСТЬ</t>
  </si>
  <si>
    <t>НЕУДОВЛЕТВОРЕННОСТЬ</t>
  </si>
  <si>
    <t>Удовлетворенность</t>
  </si>
  <si>
    <t>Неудовлетворенность</t>
  </si>
  <si>
    <t>Сенсорная панель управления</t>
  </si>
  <si>
    <t>Изменение цвета</t>
  </si>
  <si>
    <t>Интеграция с голосовым помощником</t>
  </si>
  <si>
    <t>Встроенные колонки</t>
  </si>
  <si>
    <t>Настройка будильника по расписанию</t>
  </si>
  <si>
    <t>FM-радиоприёмник</t>
  </si>
  <si>
    <t>Беспроводная зарядка телефона</t>
  </si>
  <si>
    <t>Цифровые часы и анимация</t>
  </si>
  <si>
    <t>Музыка со съемных носителей</t>
  </si>
  <si>
    <t xml:space="preserve">"Театр теней" </t>
  </si>
  <si>
    <t xml:space="preserve">Интеграция с "Умным домом" </t>
  </si>
  <si>
    <t>Датчик температуры</t>
  </si>
  <si>
    <t xml:space="preserve">Датчик движения </t>
  </si>
  <si>
    <t>Датчик шума</t>
  </si>
  <si>
    <t>Среднее</t>
  </si>
  <si>
    <t>Возможность изменения цвета освещения благодапря RGB-технологии</t>
  </si>
  <si>
    <t>Интеграция с голосовым помощником (Алиса, Маруся, GoogleAssistant, и т.д.)</t>
  </si>
  <si>
    <t>Встроенные колонки для воспроизведения музыки</t>
  </si>
  <si>
    <t>Возможность настроить будильники по расписанию в разные дни</t>
  </si>
  <si>
    <t>Наличие встроенного FM-радиоприёмника</t>
  </si>
  <si>
    <t>Наличие функции беспроводной зарядки телефона</t>
  </si>
  <si>
    <t>Дисплей с режимом цифровых часов и анимации</t>
  </si>
  <si>
    <t>Наличие функции "театр теней"</t>
  </si>
  <si>
    <t>Интеграция с системой "Умный дом"</t>
  </si>
  <si>
    <t>Наличие встроенного датчика температуры</t>
  </si>
  <si>
    <t>Наличие встроенного датчика движения</t>
  </si>
  <si>
    <t>Наличие встроенного датчика шума</t>
  </si>
  <si>
    <t>REACH</t>
  </si>
  <si>
    <t>Интеграция с "Умным домом"</t>
  </si>
  <si>
    <t>FM-радиоприемник</t>
  </si>
  <si>
    <t>Прирост</t>
  </si>
  <si>
    <t>Возможность включить музыку со съемного носителя (с флешки, жесткого диска)</t>
  </si>
  <si>
    <t>Лучшая фича</t>
  </si>
  <si>
    <t>Худшая фича</t>
  </si>
  <si>
    <t>GAP</t>
  </si>
  <si>
    <t xml:space="preserve">Интеграция с умными часами для улучшения качества сна </t>
  </si>
  <si>
    <t>Интеграция с умными часами</t>
  </si>
  <si>
    <t>Интеграция с умными часами для улучшения качества сна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</si>
</sst>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%"/>
    <numFmt numFmtId="165" formatCode="0.0"/>
  </numFmts>
  <fonts count="5"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theme="1"/>
      <name val="Gill Sans"/>
      <family val="2"/>
    </font>
    <font>
      <b/>
      <sz val="12"/>
      <color theme="1"/>
      <name val="Gill Sans"/>
      <family val="2"/>
    </font>
    <font>
      <b/>
      <sz val="12"/>
      <color rgb="FF000000"/>
      <name val="Helvetica Neue"/>
      <family val="2"/>
    </font>
  </fonts>
  <fills count="8">
    <fill>
      <patternFill patternType="none"/>
    </fill>
    <fill>
      <patternFill patternType="gray125"/>
    </fill>
    <fill>
      <patternFill patternType="solid">
        <fgColor rgb="FF9FC7C7"/>
        <bgColor indexed="64"/>
      </patternFill>
    </fill>
    <fill>
      <patternFill patternType="solid">
        <fgColor rgb="FF9A62F1"/>
        <bgColor indexed="64"/>
      </patternFill>
    </fill>
    <fill>
      <patternFill patternType="solid">
        <fgColor rgb="FFD0CFC3"/>
        <bgColor indexed="64"/>
      </patternFill>
    </fill>
    <fill>
      <patternFill patternType="solid">
        <fgColor rgb="FF9CCAA6"/>
        <bgColor indexed="64"/>
      </patternFill>
    </fill>
    <fill>
      <patternFill patternType="solid">
        <fgColor rgb="FF746D6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9" fontId="2" fillId="0" borderId="0" xfId="2" applyFont="1"/>
    <xf numFmtId="9" fontId="2" fillId="2" borderId="0" xfId="2" applyFont="1" applyFill="1"/>
    <xf numFmtId="9" fontId="2" fillId="3" borderId="0" xfId="2" applyFont="1" applyFill="1"/>
    <xf numFmtId="9" fontId="2" fillId="6" borderId="0" xfId="2" applyFont="1" applyFill="1"/>
    <xf numFmtId="9" fontId="2" fillId="4" borderId="0" xfId="2" applyFont="1" applyFill="1"/>
    <xf numFmtId="9" fontId="2" fillId="5" borderId="0" xfId="2" applyFont="1" applyFill="1"/>
    <xf numFmtId="9" fontId="2" fillId="0" borderId="0" xfId="0" applyNumberFormat="1" applyFont="1"/>
    <xf numFmtId="9" fontId="2" fillId="0" borderId="0" xfId="2" applyFont="1" applyFill="1"/>
    <xf numFmtId="9" fontId="0" fillId="0" borderId="0" xfId="0" applyNumberFormat="1"/>
    <xf numFmtId="2" fontId="0" fillId="0" borderId="0" xfId="1" applyNumberFormat="1" applyFont="1"/>
    <xf numFmtId="165" fontId="2" fillId="0" borderId="0" xfId="0" applyNumberFormat="1" applyFont="1"/>
    <xf numFmtId="165" fontId="0" fillId="0" borderId="0" xfId="0" applyNumberFormat="1"/>
    <xf numFmtId="0" fontId="2" fillId="7" borderId="0" xfId="0" applyFont="1" applyFill="1"/>
    <xf numFmtId="165" fontId="0" fillId="7" borderId="0" xfId="0" applyNumberFormat="1" applyFill="1"/>
    <xf numFmtId="164" fontId="0" fillId="0" borderId="0" xfId="0" applyNumberFormat="1"/>
    <xf numFmtId="0" fontId="4" fillId="0" borderId="0" xfId="0" applyFont="1"/>
    <xf numFmtId="164" fontId="2" fillId="0" borderId="0" xfId="0" applyNumberFormat="1" applyFont="1"/>
    <xf numFmtId="164" fontId="2" fillId="0" borderId="0" xfId="2" applyNumberFormat="1" applyFont="1"/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2" defaultPivotStyle="PivotStyleLight16"/>
  <colors>
    <mruColors>
      <color rgb="FF746D62"/>
      <color rgb="FF9CCAA6"/>
      <color rgb="FF9A62F1"/>
      <color rgb="FF9FC7C7"/>
      <color rgb="FFD0CFC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chartsheet" Target="chartsheets/sheet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4.xml"/><Relationship Id="rId4" Type="http://schemas.openxmlformats.org/officeDocument/2006/relationships/worksheet" Target="worksheets/sheet3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'КАНО. Сводная таблица'!$B$1</c:f>
              <c:strCache>
                <c:ptCount val="1"/>
                <c:pt idx="0">
                  <c:v>Удовлетворенность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ru-RU"/>
                      <a:t>Сенсорная панель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A476-1C49-BBB7-DCBE3524131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ru-RU"/>
                      <a:t>Изменение</a:t>
                    </a:r>
                    <a:r>
                      <a:rPr lang="ru-RU" baseline="0"/>
                      <a:t> цвета</a:t>
                    </a:r>
                    <a:endParaRPr lang="ru-RU"/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A476-1C49-BBB7-DCBE3524131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ru-RU"/>
                      <a:t>Интеграция с голосовым</a:t>
                    </a:r>
                    <a:r>
                      <a:rPr lang="ru-RU" baseline="0"/>
                      <a:t> помощником</a:t>
                    </a:r>
                    <a:endParaRPr lang="ru-RU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A476-1C49-BBB7-DCBE35241314}"/>
                </c:ext>
              </c:extLst>
            </c:dLbl>
            <c:dLbl>
              <c:idx val="3"/>
              <c:layout>
                <c:manualLayout>
                  <c:x val="-0.12932385908472976"/>
                  <c:y val="-1.9915485570365189E-2"/>
                </c:manualLayout>
              </c:layout>
              <c:tx>
                <c:rich>
                  <a:bodyPr/>
                  <a:lstStyle/>
                  <a:p>
                    <a:r>
                      <a:rPr lang="ru-RU"/>
                      <a:t>Встроенные</a:t>
                    </a:r>
                    <a:r>
                      <a:rPr lang="ru-RU" baseline="0"/>
                      <a:t> колонки</a:t>
                    </a:r>
                    <a:endParaRPr lang="ru-RU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A476-1C49-BBB7-DCBE3524131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ru-RU"/>
                      <a:t>Настройка будильника по расписанию</a:t>
                    </a:r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A476-1C49-BBB7-DCBE3524131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FM-</a:t>
                    </a:r>
                    <a:r>
                      <a:rPr lang="ru-RU"/>
                      <a:t>радиоприемник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A476-1C49-BBB7-DCBE3524131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ru-RU"/>
                      <a:t>Интеграция с умными часами</a:t>
                    </a:r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A476-1C49-BBB7-DCBE3524131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r>
                      <a:rPr lang="ru-RU"/>
                      <a:t>Беспроводная зарядка телефона</a:t>
                    </a:r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A476-1C49-BBB7-DCBE35241314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r>
                      <a:rPr lang="ru-RU"/>
                      <a:t>Цифровые часы и анимация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A476-1C49-BBB7-DCBE35241314}"/>
                </c:ext>
              </c:extLst>
            </c:dLbl>
            <c:dLbl>
              <c:idx val="9"/>
              <c:layout>
                <c:manualLayout>
                  <c:x val="-2.5507040891816109E-3"/>
                  <c:y val="1.3599994721971568E-2"/>
                </c:manualLayout>
              </c:layout>
              <c:tx>
                <c:rich>
                  <a:bodyPr/>
                  <a:lstStyle/>
                  <a:p>
                    <a:r>
                      <a:rPr lang="ru-RU"/>
                      <a:t>Музыка</a:t>
                    </a:r>
                    <a:r>
                      <a:rPr lang="ru-RU" baseline="0"/>
                      <a:t> со съемных носителей</a:t>
                    </a:r>
                    <a:endParaRPr lang="ru-RU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A476-1C49-BBB7-DCBE35241314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r>
                      <a:rPr lang="ru-RU"/>
                      <a:t>"Театр</a:t>
                    </a:r>
                    <a:r>
                      <a:rPr lang="ru-RU" baseline="0"/>
                      <a:t> теней"</a:t>
                    </a:r>
                    <a:endParaRPr lang="ru-RU"/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A476-1C49-BBB7-DCBE35241314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r>
                      <a:rPr lang="ru-RU"/>
                      <a:t>Интеграция с "Умным</a:t>
                    </a:r>
                    <a:r>
                      <a:rPr lang="ru-RU" baseline="0"/>
                      <a:t> домом"</a:t>
                    </a:r>
                    <a:endParaRPr lang="ru-RU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A476-1C49-BBB7-DCBE35241314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r>
                      <a:rPr lang="ru-RU"/>
                      <a:t>Датчик температуры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A476-1C49-BBB7-DCBE35241314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r>
                      <a:rPr lang="ru-RU"/>
                      <a:t>Датчик движения</a:t>
                    </a:r>
                  </a:p>
                </c:rich>
              </c:tx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A476-1C49-BBB7-DCBE35241314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r>
                      <a:rPr lang="ru-RU"/>
                      <a:t>Датчик шума</a:t>
                    </a:r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A476-1C49-BBB7-DCBE352413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'КАНО. Сводная таблица'!$C$2:$C$16</c:f>
              <c:numCache>
                <c:formatCode>0.0</c:formatCode>
                <c:ptCount val="15"/>
                <c:pt idx="0">
                  <c:v>-32.04545454545454</c:v>
                </c:pt>
                <c:pt idx="1">
                  <c:v>-23.292273236282192</c:v>
                </c:pt>
                <c:pt idx="2">
                  <c:v>-43.736263736263744</c:v>
                </c:pt>
                <c:pt idx="3">
                  <c:v>-41.002277904328018</c:v>
                </c:pt>
                <c:pt idx="4">
                  <c:v>-32.250839865621501</c:v>
                </c:pt>
                <c:pt idx="5">
                  <c:v>-22.234891676168758</c:v>
                </c:pt>
                <c:pt idx="6">
                  <c:v>-35.67508232711306</c:v>
                </c:pt>
                <c:pt idx="7">
                  <c:v>-23.905723905723907</c:v>
                </c:pt>
                <c:pt idx="8">
                  <c:v>-23.284589426321709</c:v>
                </c:pt>
                <c:pt idx="9">
                  <c:v>-24.355971896955502</c:v>
                </c:pt>
                <c:pt idx="10">
                  <c:v>-14.80637813211845</c:v>
                </c:pt>
                <c:pt idx="11">
                  <c:v>-39.494833524684267</c:v>
                </c:pt>
                <c:pt idx="12">
                  <c:v>-16.845878136200714</c:v>
                </c:pt>
                <c:pt idx="13">
                  <c:v>-18.233944954128447</c:v>
                </c:pt>
                <c:pt idx="14">
                  <c:v>-18.139534883720927</c:v>
                </c:pt>
              </c:numCache>
            </c:numRef>
          </c:xVal>
          <c:yVal>
            <c:numRef>
              <c:f>'КАНО. Сводная таблица'!$B$2:$B$16</c:f>
              <c:numCache>
                <c:formatCode>0.0</c:formatCode>
                <c:ptCount val="15"/>
                <c:pt idx="0">
                  <c:v>39.999999999999993</c:v>
                </c:pt>
                <c:pt idx="1">
                  <c:v>32.698768197088462</c:v>
                </c:pt>
                <c:pt idx="2">
                  <c:v>36.483516483516489</c:v>
                </c:pt>
                <c:pt idx="3">
                  <c:v>32.346241457858774</c:v>
                </c:pt>
                <c:pt idx="4">
                  <c:v>36.84210526315789</c:v>
                </c:pt>
                <c:pt idx="5">
                  <c:v>34.777651083238311</c:v>
                </c:pt>
                <c:pt idx="6">
                  <c:v>30.18660812294182</c:v>
                </c:pt>
                <c:pt idx="7">
                  <c:v>28.619528619528616</c:v>
                </c:pt>
                <c:pt idx="8">
                  <c:v>30.033745781777277</c:v>
                </c:pt>
                <c:pt idx="9">
                  <c:v>33.372365339578458</c:v>
                </c:pt>
                <c:pt idx="10">
                  <c:v>24.259681093394075</c:v>
                </c:pt>
                <c:pt idx="11">
                  <c:v>41.446613088404135</c:v>
                </c:pt>
                <c:pt idx="12">
                  <c:v>27.120669056152924</c:v>
                </c:pt>
                <c:pt idx="13">
                  <c:v>26.261467889908264</c:v>
                </c:pt>
                <c:pt idx="14">
                  <c:v>22.674418604651166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76-1C49-BBB7-DCBE352413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4950752"/>
        <c:axId val="1193229040"/>
      </c:scatterChart>
      <c:valAx>
        <c:axId val="1334950752"/>
        <c:scaling>
          <c:orientation val="maxMin"/>
        </c:scaling>
        <c:delete val="0"/>
        <c:axPos val="b"/>
        <c:numFmt formatCode="0.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93229040"/>
        <c:crossesAt val="31.8"/>
        <c:crossBetween val="midCat"/>
      </c:valAx>
      <c:valAx>
        <c:axId val="1193229040"/>
        <c:scaling>
          <c:orientation val="minMax"/>
        </c:scaling>
        <c:delete val="0"/>
        <c:axPos val="r"/>
        <c:numFmt formatCode="0.0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34950752"/>
        <c:crossesAt val="-27.3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A5DC5A9-C5D7-2541-95D5-9F8BCFD2808E}">
  <sheetPr codeName="Диаграмма3"/>
  <sheetViews>
    <sheetView zoomScale="10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961" cy="6066408"/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B53B7EF-FF9F-AD4E-AACE-27F2F29AF33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3B67F-1D2D-0E44-8564-70DF5BEB483B}">
  <sheetPr codeName="Лист1"/>
  <dimension ref="A1:AC149"/>
  <sheetViews>
    <sheetView zoomScale="82" workbookViewId="0"/>
  </sheetViews>
  <sheetFormatPr defaultColWidth="11.19921875" defaultRowHeight="15.6"/>
  <cols>
    <col min="14" max="14" width="34.296875" customWidth="1"/>
    <col min="18" max="18" width="10.796875" customWidth="1"/>
    <col min="24" max="24" width="13" customWidth="1"/>
    <col min="25" max="25" width="23.19921875" bestFit="1" customWidth="1"/>
    <col min="26" max="26" width="14" bestFit="1" customWidth="1"/>
    <col min="27" max="27" width="13.296875" bestFit="1" customWidth="1"/>
    <col min="28" max="28" width="14.19921875" bestFit="1" customWidth="1"/>
    <col min="29" max="29" width="14.796875" bestFit="1" customWidth="1"/>
  </cols>
  <sheetData>
    <row r="1" spans="1:29">
      <c r="A1" s="2" t="s">
        <v>25</v>
      </c>
      <c r="B1" s="2" t="s">
        <v>11</v>
      </c>
      <c r="C1" s="1"/>
      <c r="L1" s="2" t="s">
        <v>26</v>
      </c>
      <c r="M1" s="2" t="s">
        <v>11</v>
      </c>
      <c r="N1" s="1"/>
      <c r="X1" s="2" t="s">
        <v>11</v>
      </c>
    </row>
    <row r="2" spans="1:29">
      <c r="B2" s="1"/>
      <c r="C2" s="1"/>
      <c r="D2" s="1" t="s">
        <v>0</v>
      </c>
      <c r="E2" s="1"/>
      <c r="F2" s="1"/>
      <c r="G2" s="1"/>
      <c r="H2" s="1"/>
      <c r="M2" s="1"/>
      <c r="N2" s="1"/>
      <c r="O2" s="1" t="s">
        <v>0</v>
      </c>
      <c r="P2" s="1"/>
      <c r="Q2" s="1"/>
      <c r="R2" s="1"/>
      <c r="S2" s="1"/>
      <c r="X2" s="6" t="s">
        <v>27</v>
      </c>
      <c r="Y2" s="4" t="s">
        <v>28</v>
      </c>
      <c r="Z2" s="3" t="s">
        <v>29</v>
      </c>
      <c r="AA2" s="5" t="s">
        <v>30</v>
      </c>
      <c r="AB2" s="1" t="s">
        <v>31</v>
      </c>
      <c r="AC2" s="7" t="s">
        <v>32</v>
      </c>
    </row>
    <row r="3" spans="1:29"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O3" s="1" t="s">
        <v>1</v>
      </c>
      <c r="P3" s="1" t="s">
        <v>2</v>
      </c>
      <c r="Q3" s="1" t="s">
        <v>3</v>
      </c>
      <c r="R3" s="1" t="s">
        <v>4</v>
      </c>
      <c r="S3" s="1" t="s">
        <v>5</v>
      </c>
      <c r="X3" s="16">
        <f>SUM(S5:S7)</f>
        <v>7.2227873855544258E-2</v>
      </c>
      <c r="Y3" s="16">
        <f>S4</f>
        <v>0.18921668362156663</v>
      </c>
      <c r="Z3" s="16">
        <f>SUM(P4:R4)</f>
        <v>0.1688708036622584</v>
      </c>
      <c r="AA3" s="16">
        <f>SUM(Q5:R6,P6:P7,Q7)</f>
        <v>0.43947100712105802</v>
      </c>
      <c r="AB3" s="16">
        <f>SUM(R7:S8,O4,P5)</f>
        <v>0.11393692777212613</v>
      </c>
      <c r="AC3" s="16">
        <f>SUM(O5:O8,P8:R8)</f>
        <v>2.5432349949135302E-2</v>
      </c>
    </row>
    <row r="4" spans="1:29">
      <c r="B4" s="1" t="s">
        <v>6</v>
      </c>
      <c r="C4" s="1" t="s">
        <v>7</v>
      </c>
      <c r="D4" s="1">
        <v>20</v>
      </c>
      <c r="E4" s="1">
        <v>10</v>
      </c>
      <c r="F4" s="1">
        <v>20</v>
      </c>
      <c r="G4" s="1">
        <v>136</v>
      </c>
      <c r="H4" s="1">
        <v>186</v>
      </c>
      <c r="M4" s="1" t="s">
        <v>6</v>
      </c>
      <c r="N4" s="1" t="s">
        <v>7</v>
      </c>
      <c r="O4" s="8">
        <f>D4/$H$9</f>
        <v>2.0345879959308241E-2</v>
      </c>
      <c r="P4" s="9">
        <f t="shared" ref="P4:S8" si="0">E4/$H$9</f>
        <v>1.0172939979654121E-2</v>
      </c>
      <c r="Q4" s="9">
        <f t="shared" si="0"/>
        <v>2.0345879959308241E-2</v>
      </c>
      <c r="R4" s="9">
        <f t="shared" si="0"/>
        <v>0.13835198372329605</v>
      </c>
      <c r="S4" s="10">
        <f t="shared" si="0"/>
        <v>0.18921668362156663</v>
      </c>
    </row>
    <row r="5" spans="1:29">
      <c r="B5" s="1"/>
      <c r="C5" s="1" t="s">
        <v>8</v>
      </c>
      <c r="D5" s="1">
        <v>3</v>
      </c>
      <c r="E5" s="1">
        <v>39</v>
      </c>
      <c r="F5" s="1">
        <v>55</v>
      </c>
      <c r="G5" s="1">
        <v>197</v>
      </c>
      <c r="H5" s="1">
        <v>68</v>
      </c>
      <c r="M5" s="1"/>
      <c r="N5" s="1" t="s">
        <v>8</v>
      </c>
      <c r="O5" s="11">
        <f t="shared" ref="O5:O8" si="1">D5/$H$9</f>
        <v>3.0518819938962359E-3</v>
      </c>
      <c r="P5" s="15">
        <f t="shared" si="0"/>
        <v>3.9674465920651068E-2</v>
      </c>
      <c r="Q5" s="12">
        <f t="shared" si="0"/>
        <v>5.595116988809766E-2</v>
      </c>
      <c r="R5" s="12">
        <f t="shared" si="0"/>
        <v>0.20040691759918616</v>
      </c>
      <c r="S5" s="13">
        <f t="shared" si="0"/>
        <v>6.9175991861648023E-2</v>
      </c>
      <c r="X5" t="s">
        <v>33</v>
      </c>
      <c r="Y5" s="17">
        <f>(Z3+Y3)/(X3+Y3+Z3+AA3+AC3)*100</f>
        <v>39.999999999999993</v>
      </c>
    </row>
    <row r="6" spans="1:29">
      <c r="B6" s="1"/>
      <c r="C6" s="1" t="s">
        <v>3</v>
      </c>
      <c r="D6" s="1">
        <v>1</v>
      </c>
      <c r="E6" s="1">
        <v>10</v>
      </c>
      <c r="F6" s="1">
        <v>118</v>
      </c>
      <c r="G6" s="1">
        <v>13</v>
      </c>
      <c r="H6" s="1">
        <v>1</v>
      </c>
      <c r="M6" s="1"/>
      <c r="N6" s="1" t="s">
        <v>3</v>
      </c>
      <c r="O6" s="11">
        <f t="shared" si="1"/>
        <v>1.017293997965412E-3</v>
      </c>
      <c r="P6" s="12">
        <f t="shared" si="0"/>
        <v>1.0172939979654121E-2</v>
      </c>
      <c r="Q6" s="12">
        <f t="shared" si="0"/>
        <v>0.12004069175991862</v>
      </c>
      <c r="R6" s="12">
        <f t="shared" si="0"/>
        <v>1.3224821973550356E-2</v>
      </c>
      <c r="S6" s="13">
        <f t="shared" si="0"/>
        <v>1.017293997965412E-3</v>
      </c>
      <c r="X6" t="s">
        <v>34</v>
      </c>
      <c r="Y6" s="17">
        <f>(X3+Y3+AC3)/(X3+Y3+Z3+AA3+AC3)*(-100)</f>
        <v>-32.04545454545454</v>
      </c>
    </row>
    <row r="7" spans="1:29">
      <c r="B7" s="1"/>
      <c r="C7" s="1" t="s">
        <v>9</v>
      </c>
      <c r="D7" s="1">
        <v>5</v>
      </c>
      <c r="E7" s="1">
        <v>9</v>
      </c>
      <c r="F7" s="1">
        <v>30</v>
      </c>
      <c r="G7" s="1">
        <v>33</v>
      </c>
      <c r="H7" s="1">
        <v>2</v>
      </c>
      <c r="M7" s="1"/>
      <c r="N7" s="1" t="s">
        <v>9</v>
      </c>
      <c r="O7" s="11">
        <f t="shared" si="1"/>
        <v>5.0864699898270603E-3</v>
      </c>
      <c r="P7" s="12">
        <f t="shared" si="0"/>
        <v>9.1556459816887082E-3</v>
      </c>
      <c r="Q7" s="12">
        <f t="shared" si="0"/>
        <v>3.0518819938962362E-2</v>
      </c>
      <c r="R7" s="15">
        <f t="shared" si="0"/>
        <v>3.3570701932858597E-2</v>
      </c>
      <c r="S7" s="13">
        <f t="shared" si="0"/>
        <v>2.0345879959308239E-3</v>
      </c>
    </row>
    <row r="8" spans="1:29">
      <c r="B8" s="1"/>
      <c r="C8" s="1" t="s">
        <v>10</v>
      </c>
      <c r="D8" s="1">
        <v>2</v>
      </c>
      <c r="E8" s="1">
        <v>7</v>
      </c>
      <c r="F8" s="1">
        <v>0</v>
      </c>
      <c r="G8" s="1">
        <v>7</v>
      </c>
      <c r="H8" s="1">
        <v>11</v>
      </c>
      <c r="M8" s="1"/>
      <c r="N8" s="1" t="s">
        <v>10</v>
      </c>
      <c r="O8" s="11">
        <f t="shared" si="1"/>
        <v>2.0345879959308239E-3</v>
      </c>
      <c r="P8" s="11">
        <f t="shared" si="0"/>
        <v>7.1210579857578843E-3</v>
      </c>
      <c r="Q8" s="11">
        <f t="shared" si="0"/>
        <v>0</v>
      </c>
      <c r="R8" s="11">
        <f t="shared" si="0"/>
        <v>7.1210579857578843E-3</v>
      </c>
      <c r="S8" s="15">
        <f t="shared" si="0"/>
        <v>1.1190233977619531E-2</v>
      </c>
    </row>
    <row r="9" spans="1:29">
      <c r="H9" s="1">
        <v>983</v>
      </c>
      <c r="S9" s="14">
        <f>SUM(O4:S8)</f>
        <v>1</v>
      </c>
    </row>
    <row r="11" spans="1:29">
      <c r="B11" s="2" t="s">
        <v>12</v>
      </c>
      <c r="C11" s="1"/>
      <c r="D11" s="1"/>
      <c r="E11" s="1"/>
      <c r="F11" s="1"/>
      <c r="G11" s="1"/>
      <c r="H11" s="1"/>
      <c r="M11" s="2" t="s">
        <v>12</v>
      </c>
      <c r="N11" s="1"/>
      <c r="O11" s="1"/>
      <c r="P11" s="1"/>
      <c r="Q11" s="1"/>
      <c r="R11" s="1"/>
      <c r="S11" s="1"/>
      <c r="X11" s="2" t="s">
        <v>12</v>
      </c>
    </row>
    <row r="12" spans="1:29">
      <c r="B12" s="1"/>
      <c r="C12" s="1"/>
      <c r="D12" s="1" t="s">
        <v>0</v>
      </c>
      <c r="E12" s="1"/>
      <c r="F12" s="1"/>
      <c r="G12" s="1"/>
      <c r="H12" s="1"/>
      <c r="M12" s="1"/>
      <c r="N12" s="1"/>
      <c r="O12" s="1" t="s">
        <v>0</v>
      </c>
      <c r="P12" s="1"/>
      <c r="Q12" s="1"/>
      <c r="R12" s="1"/>
      <c r="S12" s="1"/>
      <c r="X12" s="6" t="s">
        <v>27</v>
      </c>
      <c r="Y12" s="4" t="s">
        <v>28</v>
      </c>
      <c r="Z12" s="3" t="s">
        <v>29</v>
      </c>
      <c r="AA12" s="5" t="s">
        <v>30</v>
      </c>
      <c r="AB12" s="1" t="s">
        <v>31</v>
      </c>
      <c r="AC12" s="7" t="s">
        <v>32</v>
      </c>
    </row>
    <row r="13" spans="1:29">
      <c r="B13" s="1"/>
      <c r="C13" s="1"/>
      <c r="D13" s="1" t="s">
        <v>1</v>
      </c>
      <c r="E13" s="1" t="s">
        <v>2</v>
      </c>
      <c r="F13" s="1" t="s">
        <v>3</v>
      </c>
      <c r="G13" s="1" t="s">
        <v>4</v>
      </c>
      <c r="H13" s="1" t="s">
        <v>5</v>
      </c>
      <c r="M13" s="1"/>
      <c r="N13" s="1"/>
      <c r="O13" s="1" t="s">
        <v>1</v>
      </c>
      <c r="P13" s="1" t="s">
        <v>2</v>
      </c>
      <c r="Q13" s="1" t="s">
        <v>3</v>
      </c>
      <c r="R13" s="1" t="s">
        <v>4</v>
      </c>
      <c r="S13" s="1" t="s">
        <v>5</v>
      </c>
      <c r="X13" s="16">
        <f>SUM(S15:S17)</f>
        <v>6.1538461538461535E-2</v>
      </c>
      <c r="Y13" s="16">
        <f>S14</f>
        <v>0.13538461538461538</v>
      </c>
      <c r="Z13" s="16">
        <f>SUM(P14:R14)</f>
        <v>0.16410256410256407</v>
      </c>
      <c r="AA13" s="16">
        <f>SUM(Q15:R16,P16:P17,Q17)</f>
        <v>0.53846153846153844</v>
      </c>
      <c r="AB13" s="16">
        <f>SUM(R17:S18,O14,P15)</f>
        <v>9.0256410256410263E-2</v>
      </c>
      <c r="AC13" s="16">
        <f>SUM(O15:O18,P18:R18)</f>
        <v>1.641025641025641E-2</v>
      </c>
    </row>
    <row r="14" spans="1:29">
      <c r="B14" s="1" t="s">
        <v>6</v>
      </c>
      <c r="C14" s="1" t="s">
        <v>7</v>
      </c>
      <c r="D14" s="1">
        <v>11</v>
      </c>
      <c r="E14" s="1">
        <v>11</v>
      </c>
      <c r="F14" s="1">
        <v>24</v>
      </c>
      <c r="G14" s="1">
        <v>125</v>
      </c>
      <c r="H14" s="1">
        <v>132</v>
      </c>
      <c r="M14" s="1" t="s">
        <v>6</v>
      </c>
      <c r="N14" s="1" t="s">
        <v>7</v>
      </c>
      <c r="O14" s="8">
        <f>D14/$H$19</f>
        <v>1.1282051282051283E-2</v>
      </c>
      <c r="P14" s="9">
        <f t="shared" ref="P14:S18" si="2">E14/$H$19</f>
        <v>1.1282051282051283E-2</v>
      </c>
      <c r="Q14" s="9">
        <f t="shared" si="2"/>
        <v>2.4615384615384615E-2</v>
      </c>
      <c r="R14" s="9">
        <f t="shared" si="2"/>
        <v>0.12820512820512819</v>
      </c>
      <c r="S14" s="10">
        <f t="shared" si="2"/>
        <v>0.13538461538461538</v>
      </c>
    </row>
    <row r="15" spans="1:29">
      <c r="B15" s="1"/>
      <c r="C15" s="1" t="s">
        <v>8</v>
      </c>
      <c r="D15" s="1">
        <v>1</v>
      </c>
      <c r="E15" s="1">
        <v>22</v>
      </c>
      <c r="F15" s="1">
        <v>68</v>
      </c>
      <c r="G15" s="1">
        <v>202</v>
      </c>
      <c r="H15" s="1">
        <v>57</v>
      </c>
      <c r="M15" s="1"/>
      <c r="N15" s="1" t="s">
        <v>8</v>
      </c>
      <c r="O15" s="11">
        <f t="shared" ref="O15:O18" si="3">D15/$H$19</f>
        <v>1.0256410256410256E-3</v>
      </c>
      <c r="P15" s="15">
        <f t="shared" si="2"/>
        <v>2.2564102564102566E-2</v>
      </c>
      <c r="Q15" s="12">
        <f t="shared" si="2"/>
        <v>6.974358974358974E-2</v>
      </c>
      <c r="R15" s="12">
        <f t="shared" si="2"/>
        <v>0.20717948717948717</v>
      </c>
      <c r="S15" s="13">
        <f t="shared" si="2"/>
        <v>5.8461538461538461E-2</v>
      </c>
      <c r="X15" t="s">
        <v>33</v>
      </c>
      <c r="Y15" s="17">
        <f>(Z13+Y13)/(X13+Y13+Z13+AA13+AC13)*100</f>
        <v>32.698768197088462</v>
      </c>
    </row>
    <row r="16" spans="1:29">
      <c r="B16" s="1"/>
      <c r="C16" s="1" t="s">
        <v>3</v>
      </c>
      <c r="D16" s="1">
        <v>3</v>
      </c>
      <c r="E16" s="1">
        <v>11</v>
      </c>
      <c r="F16" s="1">
        <v>170</v>
      </c>
      <c r="G16" s="1">
        <v>19</v>
      </c>
      <c r="H16" s="1">
        <v>1</v>
      </c>
      <c r="M16" s="1"/>
      <c r="N16" s="1" t="s">
        <v>3</v>
      </c>
      <c r="O16" s="11">
        <f t="shared" si="3"/>
        <v>3.0769230769230769E-3</v>
      </c>
      <c r="P16" s="12">
        <f t="shared" si="2"/>
        <v>1.1282051282051283E-2</v>
      </c>
      <c r="Q16" s="12">
        <f t="shared" si="2"/>
        <v>0.17435897435897435</v>
      </c>
      <c r="R16" s="12">
        <f t="shared" si="2"/>
        <v>1.9487179487179488E-2</v>
      </c>
      <c r="S16" s="13">
        <f t="shared" si="2"/>
        <v>1.0256410256410256E-3</v>
      </c>
      <c r="X16" t="s">
        <v>34</v>
      </c>
      <c r="Y16" s="17">
        <f>(X13+Y13+AC13)/(X13+Y13+Z13+AA13+AC13)*(-100)</f>
        <v>-23.292273236282192</v>
      </c>
    </row>
    <row r="17" spans="2:29">
      <c r="B17" s="1"/>
      <c r="C17" s="1" t="s">
        <v>9</v>
      </c>
      <c r="D17" s="1">
        <v>1</v>
      </c>
      <c r="E17" s="1">
        <v>13</v>
      </c>
      <c r="F17" s="1">
        <v>42</v>
      </c>
      <c r="G17" s="1">
        <v>41</v>
      </c>
      <c r="H17" s="1">
        <v>2</v>
      </c>
      <c r="M17" s="1"/>
      <c r="N17" s="1" t="s">
        <v>9</v>
      </c>
      <c r="O17" s="11">
        <f t="shared" si="3"/>
        <v>1.0256410256410256E-3</v>
      </c>
      <c r="P17" s="12">
        <f t="shared" si="2"/>
        <v>1.3333333333333334E-2</v>
      </c>
      <c r="Q17" s="12">
        <f t="shared" si="2"/>
        <v>4.3076923076923075E-2</v>
      </c>
      <c r="R17" s="15">
        <f t="shared" si="2"/>
        <v>4.205128205128205E-2</v>
      </c>
      <c r="S17" s="13">
        <f t="shared" si="2"/>
        <v>2.0512820512820513E-3</v>
      </c>
    </row>
    <row r="18" spans="2:29">
      <c r="B18" s="1"/>
      <c r="C18" s="1" t="s">
        <v>10</v>
      </c>
      <c r="D18" s="1">
        <v>6</v>
      </c>
      <c r="E18" s="1">
        <v>0</v>
      </c>
      <c r="F18" s="1">
        <v>1</v>
      </c>
      <c r="G18" s="1">
        <v>4</v>
      </c>
      <c r="H18" s="1">
        <v>8</v>
      </c>
      <c r="M18" s="1"/>
      <c r="N18" s="1" t="s">
        <v>10</v>
      </c>
      <c r="O18" s="11">
        <f t="shared" si="3"/>
        <v>6.1538461538461538E-3</v>
      </c>
      <c r="P18" s="11">
        <f t="shared" si="2"/>
        <v>0</v>
      </c>
      <c r="Q18" s="11">
        <f t="shared" si="2"/>
        <v>1.0256410256410256E-3</v>
      </c>
      <c r="R18" s="11">
        <f t="shared" si="2"/>
        <v>4.1025641025641026E-3</v>
      </c>
      <c r="S18" s="15">
        <f t="shared" si="2"/>
        <v>8.2051282051282051E-3</v>
      </c>
    </row>
    <row r="19" spans="2:29">
      <c r="B19" s="1"/>
      <c r="C19" s="1"/>
      <c r="D19" s="1"/>
      <c r="E19" s="1"/>
      <c r="F19" s="1"/>
      <c r="G19" s="1"/>
      <c r="H19" s="1">
        <v>975</v>
      </c>
      <c r="M19" s="1"/>
      <c r="N19" s="1"/>
      <c r="O19" s="1"/>
      <c r="P19" s="1"/>
      <c r="Q19" s="1"/>
      <c r="R19" s="1"/>
      <c r="S19" s="8">
        <f>SUM(O14:S18)</f>
        <v>1.0000000000000002</v>
      </c>
    </row>
    <row r="21" spans="2:29">
      <c r="B21" s="2" t="s">
        <v>13</v>
      </c>
      <c r="C21" s="1"/>
      <c r="D21" s="1"/>
      <c r="E21" s="1"/>
      <c r="F21" s="1"/>
      <c r="G21" s="1"/>
      <c r="H21" s="1"/>
      <c r="M21" s="2" t="s">
        <v>13</v>
      </c>
      <c r="N21" s="1"/>
      <c r="O21" s="1"/>
      <c r="P21" s="1"/>
      <c r="Q21" s="1"/>
      <c r="R21" s="1"/>
      <c r="S21" s="1"/>
      <c r="X21" s="2" t="s">
        <v>13</v>
      </c>
    </row>
    <row r="22" spans="2:29">
      <c r="B22" s="1"/>
      <c r="C22" s="1"/>
      <c r="D22" s="1" t="s">
        <v>0</v>
      </c>
      <c r="E22" s="1"/>
      <c r="F22" s="1"/>
      <c r="G22" s="1"/>
      <c r="H22" s="1"/>
      <c r="M22" s="1"/>
      <c r="N22" s="1"/>
      <c r="O22" s="1" t="s">
        <v>0</v>
      </c>
      <c r="P22" s="1"/>
      <c r="Q22" s="1"/>
      <c r="R22" s="1"/>
      <c r="S22" s="1"/>
      <c r="X22" s="6" t="s">
        <v>27</v>
      </c>
      <c r="Y22" s="4" t="s">
        <v>28</v>
      </c>
      <c r="Z22" s="3" t="s">
        <v>29</v>
      </c>
      <c r="AA22" s="5" t="s">
        <v>30</v>
      </c>
      <c r="AB22" s="1" t="s">
        <v>31</v>
      </c>
      <c r="AC22" s="7" t="s">
        <v>32</v>
      </c>
    </row>
    <row r="23" spans="2:29">
      <c r="B23" s="1"/>
      <c r="C23" s="1"/>
      <c r="D23" s="1" t="s">
        <v>1</v>
      </c>
      <c r="E23" s="1" t="s">
        <v>2</v>
      </c>
      <c r="F23" s="1" t="s">
        <v>3</v>
      </c>
      <c r="G23" s="1" t="s">
        <v>4</v>
      </c>
      <c r="H23" s="1" t="s">
        <v>5</v>
      </c>
      <c r="M23" s="1"/>
      <c r="N23" s="1"/>
      <c r="O23" s="1" t="s">
        <v>1</v>
      </c>
      <c r="P23" s="1" t="s">
        <v>2</v>
      </c>
      <c r="Q23" s="1" t="s">
        <v>3</v>
      </c>
      <c r="R23" s="1" t="s">
        <v>4</v>
      </c>
      <c r="S23" s="1" t="s">
        <v>5</v>
      </c>
      <c r="X23" s="16">
        <f>SUM(S25:S27)</f>
        <v>0.14457831325301207</v>
      </c>
      <c r="Y23" s="16">
        <f>S24</f>
        <v>0.20883534136546184</v>
      </c>
      <c r="Z23" s="16">
        <f>SUM(P24:R24)</f>
        <v>0.12449799196787148</v>
      </c>
      <c r="AA23" s="16">
        <f>SUM(Q25:R26,P26:P27,Q27)</f>
        <v>0.38955823293172687</v>
      </c>
      <c r="AB23" s="16">
        <f>SUM(R27:S28,O24,P25)</f>
        <v>9.8393574297188757E-2</v>
      </c>
      <c r="AC23" s="16">
        <f>SUM(O25:O28,P28:R28)</f>
        <v>4.6184738955823292E-2</v>
      </c>
    </row>
    <row r="24" spans="2:29">
      <c r="B24" s="1" t="s">
        <v>6</v>
      </c>
      <c r="C24" s="1" t="s">
        <v>7</v>
      </c>
      <c r="D24" s="1">
        <v>6</v>
      </c>
      <c r="E24" s="1">
        <v>7</v>
      </c>
      <c r="F24" s="1">
        <v>10</v>
      </c>
      <c r="G24" s="1">
        <v>45</v>
      </c>
      <c r="H24" s="1">
        <v>104</v>
      </c>
      <c r="M24" s="1" t="s">
        <v>6</v>
      </c>
      <c r="N24" s="1" t="s">
        <v>7</v>
      </c>
      <c r="O24" s="8">
        <f>D24/$H$29</f>
        <v>1.2048192771084338E-2</v>
      </c>
      <c r="P24" s="9">
        <f t="shared" ref="P24:S28" si="4">E24/$H$29</f>
        <v>1.4056224899598393E-2</v>
      </c>
      <c r="Q24" s="9">
        <f t="shared" si="4"/>
        <v>2.0080321285140562E-2</v>
      </c>
      <c r="R24" s="9">
        <f t="shared" si="4"/>
        <v>9.036144578313253E-2</v>
      </c>
      <c r="S24" s="10">
        <f t="shared" si="4"/>
        <v>0.20883534136546184</v>
      </c>
    </row>
    <row r="25" spans="2:29">
      <c r="B25" s="1"/>
      <c r="C25" s="1" t="s">
        <v>8</v>
      </c>
      <c r="D25" s="1">
        <v>3</v>
      </c>
      <c r="E25" s="1">
        <v>14</v>
      </c>
      <c r="F25" s="1">
        <v>23</v>
      </c>
      <c r="G25" s="1">
        <v>62</v>
      </c>
      <c r="H25" s="1">
        <v>66</v>
      </c>
      <c r="M25" s="1"/>
      <c r="N25" s="1" t="s">
        <v>8</v>
      </c>
      <c r="O25" s="11">
        <f t="shared" ref="O25:O28" si="5">D25/$H$29</f>
        <v>6.024096385542169E-3</v>
      </c>
      <c r="P25" s="15">
        <f t="shared" si="4"/>
        <v>2.8112449799196786E-2</v>
      </c>
      <c r="Q25" s="12">
        <f t="shared" si="4"/>
        <v>4.6184738955823292E-2</v>
      </c>
      <c r="R25" s="12">
        <f t="shared" si="4"/>
        <v>0.12449799196787148</v>
      </c>
      <c r="S25" s="13">
        <f t="shared" si="4"/>
        <v>0.13253012048192772</v>
      </c>
      <c r="X25" t="s">
        <v>33</v>
      </c>
      <c r="Y25" s="17">
        <f>(Z23+Y23)/(X23+Y23+Z23+AA23+AC23)*100</f>
        <v>36.483516483516489</v>
      </c>
    </row>
    <row r="26" spans="2:29">
      <c r="B26" s="1"/>
      <c r="C26" s="1" t="s">
        <v>3</v>
      </c>
      <c r="D26" s="1">
        <v>3</v>
      </c>
      <c r="E26" s="1">
        <v>9</v>
      </c>
      <c r="F26" s="1">
        <v>82</v>
      </c>
      <c r="G26" s="1">
        <v>1</v>
      </c>
      <c r="H26" s="1">
        <v>1</v>
      </c>
      <c r="M26" s="1"/>
      <c r="N26" s="1" t="s">
        <v>3</v>
      </c>
      <c r="O26" s="11">
        <f t="shared" si="5"/>
        <v>6.024096385542169E-3</v>
      </c>
      <c r="P26" s="12">
        <f t="shared" si="4"/>
        <v>1.8072289156626505E-2</v>
      </c>
      <c r="Q26" s="12">
        <f t="shared" si="4"/>
        <v>0.1646586345381526</v>
      </c>
      <c r="R26" s="12">
        <f t="shared" si="4"/>
        <v>2.008032128514056E-3</v>
      </c>
      <c r="S26" s="13">
        <f t="shared" si="4"/>
        <v>2.008032128514056E-3</v>
      </c>
      <c r="X26" t="s">
        <v>34</v>
      </c>
      <c r="Y26" s="17">
        <f>(X23+Y23+AC23)/(X23+Y23+Z23+AA23+AC23)*(-100)</f>
        <v>-43.736263736263744</v>
      </c>
    </row>
    <row r="27" spans="2:29">
      <c r="B27" s="1"/>
      <c r="C27" s="1" t="s">
        <v>9</v>
      </c>
      <c r="D27" s="1">
        <v>3</v>
      </c>
      <c r="E27" s="1">
        <v>4</v>
      </c>
      <c r="F27" s="1">
        <v>13</v>
      </c>
      <c r="G27" s="1">
        <v>16</v>
      </c>
      <c r="H27" s="1">
        <v>5</v>
      </c>
      <c r="M27" s="1"/>
      <c r="N27" s="1" t="s">
        <v>9</v>
      </c>
      <c r="O27" s="11">
        <f t="shared" si="5"/>
        <v>6.024096385542169E-3</v>
      </c>
      <c r="P27" s="12">
        <f t="shared" si="4"/>
        <v>8.0321285140562242E-3</v>
      </c>
      <c r="Q27" s="12">
        <f t="shared" si="4"/>
        <v>2.6104417670682729E-2</v>
      </c>
      <c r="R27" s="15">
        <f t="shared" si="4"/>
        <v>3.2128514056224897E-2</v>
      </c>
      <c r="S27" s="13">
        <f t="shared" si="4"/>
        <v>1.0040160642570281E-2</v>
      </c>
    </row>
    <row r="28" spans="2:29">
      <c r="B28" s="1"/>
      <c r="C28" s="1" t="s">
        <v>10</v>
      </c>
      <c r="D28" s="1">
        <v>10</v>
      </c>
      <c r="E28" s="1">
        <v>1</v>
      </c>
      <c r="F28" s="1">
        <v>2</v>
      </c>
      <c r="G28" s="1">
        <v>1</v>
      </c>
      <c r="H28" s="1">
        <v>7</v>
      </c>
      <c r="M28" s="1"/>
      <c r="N28" s="1" t="s">
        <v>10</v>
      </c>
      <c r="O28" s="11">
        <f t="shared" si="5"/>
        <v>2.0080321285140562E-2</v>
      </c>
      <c r="P28" s="11">
        <f t="shared" si="4"/>
        <v>2.008032128514056E-3</v>
      </c>
      <c r="Q28" s="11">
        <f t="shared" si="4"/>
        <v>4.0160642570281121E-3</v>
      </c>
      <c r="R28" s="11">
        <f t="shared" si="4"/>
        <v>2.008032128514056E-3</v>
      </c>
      <c r="S28" s="15">
        <f t="shared" si="4"/>
        <v>1.4056224899598393E-2</v>
      </c>
    </row>
    <row r="29" spans="2:29">
      <c r="H29" s="1">
        <v>498</v>
      </c>
      <c r="S29" s="14">
        <f>SUM(O24:S28)</f>
        <v>1</v>
      </c>
    </row>
    <row r="31" spans="2:29">
      <c r="B31" s="2" t="s">
        <v>14</v>
      </c>
      <c r="M31" s="2" t="s">
        <v>14</v>
      </c>
      <c r="X31" s="2" t="s">
        <v>14</v>
      </c>
    </row>
    <row r="32" spans="2:29">
      <c r="B32" s="1"/>
      <c r="C32" s="1"/>
      <c r="D32" s="1" t="s">
        <v>0</v>
      </c>
      <c r="E32" s="1"/>
      <c r="F32" s="1"/>
      <c r="G32" s="1"/>
      <c r="H32" s="1"/>
      <c r="M32" s="1"/>
      <c r="N32" s="1"/>
      <c r="O32" s="1" t="s">
        <v>0</v>
      </c>
      <c r="P32" s="1"/>
      <c r="Q32" s="1"/>
      <c r="R32" s="1"/>
      <c r="S32" s="1"/>
      <c r="X32" s="6" t="s">
        <v>27</v>
      </c>
      <c r="Y32" s="4" t="s">
        <v>28</v>
      </c>
      <c r="Z32" s="3" t="s">
        <v>29</v>
      </c>
      <c r="AA32" s="5" t="s">
        <v>30</v>
      </c>
      <c r="AB32" s="1" t="s">
        <v>31</v>
      </c>
      <c r="AC32" s="7" t="s">
        <v>32</v>
      </c>
    </row>
    <row r="33" spans="2:29">
      <c r="B33" s="1"/>
      <c r="C33" s="1"/>
      <c r="D33" s="1" t="s">
        <v>1</v>
      </c>
      <c r="E33" s="1" t="s">
        <v>2</v>
      </c>
      <c r="F33" s="1" t="s">
        <v>3</v>
      </c>
      <c r="G33" s="1" t="s">
        <v>4</v>
      </c>
      <c r="H33" s="1" t="s">
        <v>5</v>
      </c>
      <c r="M33" s="1"/>
      <c r="N33" s="1"/>
      <c r="O33" s="1" t="s">
        <v>1</v>
      </c>
      <c r="P33" s="1" t="s">
        <v>2</v>
      </c>
      <c r="Q33" s="1" t="s">
        <v>3</v>
      </c>
      <c r="R33" s="1" t="s">
        <v>4</v>
      </c>
      <c r="S33" s="1" t="s">
        <v>5</v>
      </c>
      <c r="X33" s="16">
        <f>SUM(S35:S37)</f>
        <v>0.11297071129707112</v>
      </c>
      <c r="Y33" s="16">
        <f>S34</f>
        <v>0.19246861924686193</v>
      </c>
      <c r="Z33" s="16">
        <f>SUM(P34:R34)</f>
        <v>0.10460251046025104</v>
      </c>
      <c r="AA33" s="16">
        <f>SUM(Q35:R36,P36:P37,Q37)</f>
        <v>0.43723849372384938</v>
      </c>
      <c r="AB33" s="16">
        <f>SUM(R37:S38,O34,P35)</f>
        <v>9.4142259414225937E-2</v>
      </c>
      <c r="AC33" s="16">
        <f>SUM(O35:O38,P38:R38)</f>
        <v>7.1129707112970703E-2</v>
      </c>
    </row>
    <row r="34" spans="2:29">
      <c r="B34" s="1" t="s">
        <v>6</v>
      </c>
      <c r="C34" s="1" t="s">
        <v>7</v>
      </c>
      <c r="D34" s="1">
        <v>9</v>
      </c>
      <c r="E34" s="1">
        <v>4</v>
      </c>
      <c r="F34" s="1">
        <v>8</v>
      </c>
      <c r="G34" s="1">
        <v>38</v>
      </c>
      <c r="H34" s="1">
        <v>92</v>
      </c>
      <c r="M34" s="1" t="s">
        <v>6</v>
      </c>
      <c r="N34" s="1" t="s">
        <v>7</v>
      </c>
      <c r="O34" s="8">
        <f>D34/$H$39</f>
        <v>1.8828451882845189E-2</v>
      </c>
      <c r="P34" s="9">
        <f t="shared" ref="P34:S38" si="6">E34/$H$39</f>
        <v>8.368200836820083E-3</v>
      </c>
      <c r="Q34" s="9">
        <f t="shared" si="6"/>
        <v>1.6736401673640166E-2</v>
      </c>
      <c r="R34" s="9">
        <f t="shared" si="6"/>
        <v>7.9497907949790794E-2</v>
      </c>
      <c r="S34" s="10">
        <f t="shared" si="6"/>
        <v>0.19246861924686193</v>
      </c>
    </row>
    <row r="35" spans="2:29">
      <c r="B35" s="1"/>
      <c r="C35" s="1" t="s">
        <v>8</v>
      </c>
      <c r="D35" s="1">
        <v>3</v>
      </c>
      <c r="E35" s="1">
        <v>8</v>
      </c>
      <c r="F35" s="1">
        <v>24</v>
      </c>
      <c r="G35" s="1">
        <v>53</v>
      </c>
      <c r="H35" s="1">
        <v>50</v>
      </c>
      <c r="M35" s="1"/>
      <c r="N35" s="1" t="s">
        <v>8</v>
      </c>
      <c r="O35" s="11">
        <f t="shared" ref="O35:O38" si="7">D35/$H$39</f>
        <v>6.2761506276150627E-3</v>
      </c>
      <c r="P35" s="15">
        <f t="shared" si="6"/>
        <v>1.6736401673640166E-2</v>
      </c>
      <c r="Q35" s="12">
        <f t="shared" si="6"/>
        <v>5.0209205020920501E-2</v>
      </c>
      <c r="R35" s="12">
        <f t="shared" si="6"/>
        <v>0.11087866108786611</v>
      </c>
      <c r="S35" s="13">
        <f t="shared" si="6"/>
        <v>0.10460251046025104</v>
      </c>
      <c r="X35" t="s">
        <v>33</v>
      </c>
      <c r="Y35" s="17">
        <f>(Z33+Y33)/(X33+Y33+Z33+AA33+AC33)*100</f>
        <v>32.346241457858774</v>
      </c>
    </row>
    <row r="36" spans="2:29">
      <c r="B36" s="1"/>
      <c r="C36" s="1" t="s">
        <v>3</v>
      </c>
      <c r="D36" s="1">
        <v>3</v>
      </c>
      <c r="E36" s="1">
        <v>4</v>
      </c>
      <c r="F36" s="1">
        <v>80</v>
      </c>
      <c r="G36" s="1">
        <v>10</v>
      </c>
      <c r="H36" s="1">
        <v>0</v>
      </c>
      <c r="M36" s="1"/>
      <c r="N36" s="1" t="s">
        <v>3</v>
      </c>
      <c r="O36" s="11">
        <f t="shared" si="7"/>
        <v>6.2761506276150627E-3</v>
      </c>
      <c r="P36" s="12">
        <f t="shared" si="6"/>
        <v>8.368200836820083E-3</v>
      </c>
      <c r="Q36" s="12">
        <f t="shared" si="6"/>
        <v>0.16736401673640167</v>
      </c>
      <c r="R36" s="12">
        <f t="shared" si="6"/>
        <v>2.0920502092050208E-2</v>
      </c>
      <c r="S36" s="13">
        <f t="shared" si="6"/>
        <v>0</v>
      </c>
      <c r="X36" t="s">
        <v>34</v>
      </c>
      <c r="Y36" s="17">
        <f>(X33+Y33+AC33)/(X33+Y33+Z33+AA33+AC33)*(-100)</f>
        <v>-41.002277904328018</v>
      </c>
    </row>
    <row r="37" spans="2:29">
      <c r="B37" s="1"/>
      <c r="C37" s="1" t="s">
        <v>9</v>
      </c>
      <c r="D37" s="1">
        <v>1</v>
      </c>
      <c r="E37" s="1">
        <v>15</v>
      </c>
      <c r="F37" s="1">
        <v>23</v>
      </c>
      <c r="G37" s="1">
        <v>16</v>
      </c>
      <c r="H37" s="1">
        <v>4</v>
      </c>
      <c r="M37" s="1"/>
      <c r="N37" s="1" t="s">
        <v>9</v>
      </c>
      <c r="O37" s="11">
        <f t="shared" si="7"/>
        <v>2.0920502092050207E-3</v>
      </c>
      <c r="P37" s="12">
        <f t="shared" si="6"/>
        <v>3.1380753138075312E-2</v>
      </c>
      <c r="Q37" s="12">
        <f t="shared" si="6"/>
        <v>4.8117154811715482E-2</v>
      </c>
      <c r="R37" s="15">
        <f t="shared" si="6"/>
        <v>3.3472803347280332E-2</v>
      </c>
      <c r="S37" s="13">
        <f t="shared" si="6"/>
        <v>8.368200836820083E-3</v>
      </c>
    </row>
    <row r="38" spans="2:29">
      <c r="B38" s="1"/>
      <c r="C38" s="1" t="s">
        <v>10</v>
      </c>
      <c r="D38" s="1">
        <v>15</v>
      </c>
      <c r="E38" s="1">
        <v>4</v>
      </c>
      <c r="F38" s="1">
        <v>6</v>
      </c>
      <c r="G38" s="1">
        <v>2</v>
      </c>
      <c r="H38" s="1">
        <v>6</v>
      </c>
      <c r="M38" s="1"/>
      <c r="N38" s="1" t="s">
        <v>10</v>
      </c>
      <c r="O38" s="11">
        <f t="shared" si="7"/>
        <v>3.1380753138075312E-2</v>
      </c>
      <c r="P38" s="11">
        <f t="shared" si="6"/>
        <v>8.368200836820083E-3</v>
      </c>
      <c r="Q38" s="11">
        <f t="shared" si="6"/>
        <v>1.2552301255230125E-2</v>
      </c>
      <c r="R38" s="11">
        <f t="shared" si="6"/>
        <v>4.1841004184100415E-3</v>
      </c>
      <c r="S38" s="15">
        <f t="shared" si="6"/>
        <v>1.2552301255230125E-2</v>
      </c>
    </row>
    <row r="39" spans="2:29">
      <c r="B39" s="1"/>
      <c r="C39" s="1"/>
      <c r="D39" s="1"/>
      <c r="E39" s="1"/>
      <c r="F39" s="1"/>
      <c r="G39" s="1"/>
      <c r="H39" s="1">
        <v>478</v>
      </c>
      <c r="M39" s="1"/>
      <c r="N39" s="1"/>
      <c r="O39" s="1"/>
      <c r="P39" s="1"/>
      <c r="Q39" s="1"/>
      <c r="R39" s="1"/>
      <c r="S39" s="14">
        <f>SUM(O34:S38)</f>
        <v>1</v>
      </c>
    </row>
    <row r="41" spans="2:29">
      <c r="B41" s="2" t="s">
        <v>15</v>
      </c>
      <c r="C41" s="1"/>
      <c r="D41" s="1"/>
      <c r="E41" s="1"/>
      <c r="F41" s="1"/>
      <c r="G41" s="1"/>
      <c r="H41" s="1"/>
      <c r="M41" s="2" t="s">
        <v>15</v>
      </c>
      <c r="N41" s="1"/>
      <c r="O41" s="1"/>
      <c r="P41" s="1"/>
      <c r="Q41" s="1"/>
      <c r="R41" s="1"/>
      <c r="S41" s="1"/>
      <c r="X41" s="2" t="s">
        <v>15</v>
      </c>
    </row>
    <row r="42" spans="2:29">
      <c r="B42" s="1"/>
      <c r="C42" s="1"/>
      <c r="D42" s="1" t="s">
        <v>0</v>
      </c>
      <c r="E42" s="1"/>
      <c r="F42" s="1"/>
      <c r="G42" s="1"/>
      <c r="H42" s="1"/>
      <c r="M42" s="1"/>
      <c r="N42" s="1"/>
      <c r="O42" s="1" t="s">
        <v>0</v>
      </c>
      <c r="P42" s="1"/>
      <c r="Q42" s="1"/>
      <c r="R42" s="1"/>
      <c r="S42" s="1"/>
      <c r="X42" s="6" t="s">
        <v>27</v>
      </c>
      <c r="Y42" s="4" t="s">
        <v>28</v>
      </c>
      <c r="Z42" s="3" t="s">
        <v>29</v>
      </c>
      <c r="AA42" s="5" t="s">
        <v>30</v>
      </c>
      <c r="AB42" s="1" t="s">
        <v>31</v>
      </c>
      <c r="AC42" s="7" t="s">
        <v>32</v>
      </c>
    </row>
    <row r="43" spans="2:29">
      <c r="B43" s="1"/>
      <c r="C43" s="1"/>
      <c r="D43" s="1" t="s">
        <v>1</v>
      </c>
      <c r="E43" s="1" t="s">
        <v>2</v>
      </c>
      <c r="F43" s="1" t="s">
        <v>3</v>
      </c>
      <c r="G43" s="1" t="s">
        <v>4</v>
      </c>
      <c r="H43" s="1" t="s">
        <v>5</v>
      </c>
      <c r="M43" s="1"/>
      <c r="N43" s="1"/>
      <c r="O43" s="1" t="s">
        <v>1</v>
      </c>
      <c r="P43" s="1" t="s">
        <v>2</v>
      </c>
      <c r="Q43" s="1" t="s">
        <v>3</v>
      </c>
      <c r="R43" s="1" t="s">
        <v>4</v>
      </c>
      <c r="S43" s="1" t="s">
        <v>5</v>
      </c>
      <c r="X43" s="16">
        <f>SUM(S45:S47)</f>
        <v>6.5708418891170434E-2</v>
      </c>
      <c r="Y43" s="16">
        <f>S44</f>
        <v>0.19301848049281314</v>
      </c>
      <c r="Z43" s="16">
        <f>SUM(P44:R44)</f>
        <v>0.14476386036960986</v>
      </c>
      <c r="AA43" s="16">
        <f>SUM(Q45:R46,P46:P47,Q47)</f>
        <v>0.47638603696098569</v>
      </c>
      <c r="AB43" s="16">
        <f>SUM(R47:S48,O44,P45)</f>
        <v>8.8295687885010271E-2</v>
      </c>
      <c r="AC43" s="16">
        <f>SUM(O45:O48,P48:R48)</f>
        <v>3.6960985626283374E-2</v>
      </c>
    </row>
    <row r="44" spans="2:29">
      <c r="B44" s="1" t="s">
        <v>6</v>
      </c>
      <c r="C44" s="1" t="s">
        <v>7</v>
      </c>
      <c r="D44" s="1">
        <v>8</v>
      </c>
      <c r="E44" s="1">
        <v>15</v>
      </c>
      <c r="F44" s="1">
        <v>25</v>
      </c>
      <c r="G44" s="1">
        <v>101</v>
      </c>
      <c r="H44" s="1">
        <v>188</v>
      </c>
      <c r="M44" s="1" t="s">
        <v>6</v>
      </c>
      <c r="N44" s="1" t="s">
        <v>7</v>
      </c>
      <c r="O44" s="8">
        <f>D44/$H$49</f>
        <v>8.2135523613963042E-3</v>
      </c>
      <c r="P44" s="9">
        <f t="shared" ref="P44:S48" si="8">E44/$H$49</f>
        <v>1.5400410677618069E-2</v>
      </c>
      <c r="Q44" s="9">
        <f t="shared" si="8"/>
        <v>2.5667351129363448E-2</v>
      </c>
      <c r="R44" s="9">
        <f t="shared" si="8"/>
        <v>0.10369609856262833</v>
      </c>
      <c r="S44" s="10">
        <f t="shared" si="8"/>
        <v>0.19301848049281314</v>
      </c>
    </row>
    <row r="45" spans="2:29">
      <c r="B45" s="1"/>
      <c r="C45" s="1" t="s">
        <v>8</v>
      </c>
      <c r="D45" s="1">
        <v>4</v>
      </c>
      <c r="E45" s="1">
        <v>23</v>
      </c>
      <c r="F45" s="1">
        <v>58</v>
      </c>
      <c r="G45" s="1">
        <v>113</v>
      </c>
      <c r="H45" s="1">
        <v>61</v>
      </c>
      <c r="M45" s="1"/>
      <c r="N45" s="1" t="s">
        <v>8</v>
      </c>
      <c r="O45" s="11">
        <f t="shared" ref="O45:O48" si="9">D45/$H$49</f>
        <v>4.1067761806981521E-3</v>
      </c>
      <c r="P45" s="15">
        <f t="shared" si="8"/>
        <v>2.3613963039014373E-2</v>
      </c>
      <c r="Q45" s="12">
        <f t="shared" si="8"/>
        <v>5.9548254620123205E-2</v>
      </c>
      <c r="R45" s="12">
        <f t="shared" si="8"/>
        <v>0.11601642710472279</v>
      </c>
      <c r="S45" s="13">
        <f t="shared" si="8"/>
        <v>6.2628336755646816E-2</v>
      </c>
      <c r="X45" t="s">
        <v>33</v>
      </c>
      <c r="Y45" s="17">
        <f>(Z43+Y43)/(X43+Y43+Z43+AA43+AC43)*100</f>
        <v>36.84210526315789</v>
      </c>
    </row>
    <row r="46" spans="2:29">
      <c r="B46" s="1"/>
      <c r="C46" s="1" t="s">
        <v>3</v>
      </c>
      <c r="D46" s="1">
        <v>1</v>
      </c>
      <c r="E46" s="1">
        <v>7</v>
      </c>
      <c r="F46" s="1">
        <v>193</v>
      </c>
      <c r="G46" s="1">
        <v>12</v>
      </c>
      <c r="H46" s="1">
        <v>0</v>
      </c>
      <c r="M46" s="1"/>
      <c r="N46" s="1" t="s">
        <v>3</v>
      </c>
      <c r="O46" s="11">
        <f t="shared" si="9"/>
        <v>1.026694045174538E-3</v>
      </c>
      <c r="P46" s="12">
        <f t="shared" si="8"/>
        <v>7.1868583162217657E-3</v>
      </c>
      <c r="Q46" s="12">
        <f t="shared" si="8"/>
        <v>0.19815195071868583</v>
      </c>
      <c r="R46" s="12">
        <f t="shared" si="8"/>
        <v>1.2320328542094456E-2</v>
      </c>
      <c r="S46" s="13">
        <f t="shared" si="8"/>
        <v>0</v>
      </c>
      <c r="X46" t="s">
        <v>34</v>
      </c>
      <c r="Y46" s="17">
        <f>(X43+Y43+AC43)/(X43+Y43+Z43+AA43+AC43)*(-100)</f>
        <v>-32.250839865621501</v>
      </c>
    </row>
    <row r="47" spans="2:29">
      <c r="B47" s="1"/>
      <c r="C47" s="1" t="s">
        <v>9</v>
      </c>
      <c r="D47" s="1">
        <v>3</v>
      </c>
      <c r="E47" s="1">
        <v>20</v>
      </c>
      <c r="F47" s="1">
        <v>61</v>
      </c>
      <c r="G47" s="1">
        <v>42</v>
      </c>
      <c r="H47" s="1">
        <v>3</v>
      </c>
      <c r="M47" s="1"/>
      <c r="N47" s="1" t="s">
        <v>9</v>
      </c>
      <c r="O47" s="11">
        <f t="shared" si="9"/>
        <v>3.0800821355236141E-3</v>
      </c>
      <c r="P47" s="12">
        <f t="shared" si="8"/>
        <v>2.0533880903490759E-2</v>
      </c>
      <c r="Q47" s="12">
        <f t="shared" si="8"/>
        <v>6.2628336755646816E-2</v>
      </c>
      <c r="R47" s="15">
        <f t="shared" si="8"/>
        <v>4.3121149897330596E-2</v>
      </c>
      <c r="S47" s="13">
        <f t="shared" si="8"/>
        <v>3.0800821355236141E-3</v>
      </c>
    </row>
    <row r="48" spans="2:29">
      <c r="B48" s="1"/>
      <c r="C48" s="1" t="s">
        <v>10</v>
      </c>
      <c r="D48" s="1">
        <v>19</v>
      </c>
      <c r="E48" s="1">
        <v>3</v>
      </c>
      <c r="F48" s="1">
        <v>4</v>
      </c>
      <c r="G48" s="1">
        <v>2</v>
      </c>
      <c r="H48" s="1">
        <v>8</v>
      </c>
      <c r="M48" s="1"/>
      <c r="N48" s="1" t="s">
        <v>10</v>
      </c>
      <c r="O48" s="11">
        <f t="shared" si="9"/>
        <v>1.9507186858316223E-2</v>
      </c>
      <c r="P48" s="11">
        <f t="shared" si="8"/>
        <v>3.0800821355236141E-3</v>
      </c>
      <c r="Q48" s="11">
        <f t="shared" si="8"/>
        <v>4.1067761806981521E-3</v>
      </c>
      <c r="R48" s="11">
        <f t="shared" si="8"/>
        <v>2.0533880903490761E-3</v>
      </c>
      <c r="S48" s="15">
        <f t="shared" si="8"/>
        <v>8.2135523613963042E-3</v>
      </c>
    </row>
    <row r="49" spans="2:29">
      <c r="B49" s="1"/>
      <c r="C49" s="1"/>
      <c r="D49" s="1"/>
      <c r="E49" s="1"/>
      <c r="F49" s="1"/>
      <c r="G49" s="1"/>
      <c r="H49" s="1">
        <v>974</v>
      </c>
      <c r="M49" s="1"/>
      <c r="N49" s="1"/>
      <c r="O49" s="1"/>
      <c r="P49" s="1"/>
      <c r="Q49" s="1"/>
      <c r="R49" s="1"/>
      <c r="S49" s="14">
        <f>SUM(O44:S48)</f>
        <v>0.99999999999999978</v>
      </c>
    </row>
    <row r="51" spans="2:29">
      <c r="B51" s="2" t="s">
        <v>16</v>
      </c>
      <c r="C51" s="1"/>
      <c r="D51" s="1"/>
      <c r="E51" s="1"/>
      <c r="F51" s="1"/>
      <c r="G51" s="1"/>
      <c r="H51" s="1"/>
      <c r="M51" s="2" t="s">
        <v>16</v>
      </c>
      <c r="N51" s="1"/>
      <c r="O51" s="1"/>
      <c r="P51" s="1"/>
      <c r="Q51" s="1"/>
      <c r="R51" s="1"/>
      <c r="S51" s="1"/>
      <c r="X51" s="2" t="s">
        <v>16</v>
      </c>
    </row>
    <row r="52" spans="2:29">
      <c r="B52" s="1"/>
      <c r="C52" s="1"/>
      <c r="D52" s="1" t="s">
        <v>0</v>
      </c>
      <c r="E52" s="1"/>
      <c r="F52" s="1"/>
      <c r="G52" s="1"/>
      <c r="H52" s="1"/>
      <c r="M52" s="1"/>
      <c r="N52" s="1"/>
      <c r="O52" s="1" t="s">
        <v>0</v>
      </c>
      <c r="P52" s="1"/>
      <c r="Q52" s="1"/>
      <c r="R52" s="1"/>
      <c r="S52" s="1"/>
      <c r="X52" s="6" t="s">
        <v>27</v>
      </c>
      <c r="Y52" s="4" t="s">
        <v>28</v>
      </c>
      <c r="Z52" s="3" t="s">
        <v>29</v>
      </c>
      <c r="AA52" s="5" t="s">
        <v>30</v>
      </c>
      <c r="AB52" s="1" t="s">
        <v>31</v>
      </c>
      <c r="AC52" s="7" t="s">
        <v>32</v>
      </c>
    </row>
    <row r="53" spans="2:29">
      <c r="B53" s="1"/>
      <c r="C53" s="1"/>
      <c r="D53" s="1" t="s">
        <v>1</v>
      </c>
      <c r="E53" s="1" t="s">
        <v>2</v>
      </c>
      <c r="F53" s="1" t="s">
        <v>3</v>
      </c>
      <c r="G53" s="1" t="s">
        <v>4</v>
      </c>
      <c r="H53" s="1" t="s">
        <v>5</v>
      </c>
      <c r="M53" s="1"/>
      <c r="N53" s="1"/>
      <c r="O53" s="1" t="s">
        <v>1</v>
      </c>
      <c r="P53" s="1" t="s">
        <v>2</v>
      </c>
      <c r="Q53" s="1" t="s">
        <v>3</v>
      </c>
      <c r="R53" s="1" t="s">
        <v>4</v>
      </c>
      <c r="S53" s="1" t="s">
        <v>5</v>
      </c>
      <c r="X53" s="16">
        <f>SUM(S55:S57)</f>
        <v>5.0829875518672199E-2</v>
      </c>
      <c r="Y53" s="16">
        <f>S54</f>
        <v>0.13070539419087138</v>
      </c>
      <c r="Z53" s="16">
        <f>SUM(P54:R54)</f>
        <v>0.18568464730290457</v>
      </c>
      <c r="AA53" s="16">
        <f>SUM(Q55:R56,P56:P57,Q57)</f>
        <v>0.52178423236514526</v>
      </c>
      <c r="AB53" s="16">
        <f>SUM(R57:S58,O54,P55)</f>
        <v>9.7510373443983403E-2</v>
      </c>
      <c r="AC53" s="16">
        <f>SUM(O55:O58,P58:R58)</f>
        <v>2.0746887966804978E-2</v>
      </c>
    </row>
    <row r="54" spans="2:29">
      <c r="B54" s="1" t="s">
        <v>6</v>
      </c>
      <c r="C54" s="1" t="s">
        <v>7</v>
      </c>
      <c r="D54" s="1">
        <v>17</v>
      </c>
      <c r="E54" s="1">
        <v>14</v>
      </c>
      <c r="F54" s="1">
        <v>38</v>
      </c>
      <c r="G54" s="1">
        <v>127</v>
      </c>
      <c r="H54" s="1">
        <v>126</v>
      </c>
      <c r="M54" s="1" t="s">
        <v>6</v>
      </c>
      <c r="N54" s="1" t="s">
        <v>7</v>
      </c>
      <c r="O54" s="8">
        <f>D54/$H$59</f>
        <v>1.7634854771784232E-2</v>
      </c>
      <c r="P54" s="9">
        <f t="shared" ref="P54:S58" si="10">E54/$H$59</f>
        <v>1.4522821576763486E-2</v>
      </c>
      <c r="Q54" s="9">
        <f t="shared" si="10"/>
        <v>3.9419087136929459E-2</v>
      </c>
      <c r="R54" s="9">
        <f t="shared" si="10"/>
        <v>0.13174273858921162</v>
      </c>
      <c r="S54" s="10">
        <f t="shared" si="10"/>
        <v>0.13070539419087138</v>
      </c>
    </row>
    <row r="55" spans="2:29">
      <c r="B55" s="1"/>
      <c r="C55" s="1" t="s">
        <v>8</v>
      </c>
      <c r="D55" s="1">
        <v>1</v>
      </c>
      <c r="E55" s="1">
        <v>27</v>
      </c>
      <c r="F55" s="1">
        <v>54</v>
      </c>
      <c r="G55" s="1">
        <v>168</v>
      </c>
      <c r="H55" s="1">
        <v>44</v>
      </c>
      <c r="M55" s="1"/>
      <c r="N55" s="1" t="s">
        <v>8</v>
      </c>
      <c r="O55" s="11">
        <f t="shared" ref="O55:O58" si="11">D55/$H$59</f>
        <v>1.037344398340249E-3</v>
      </c>
      <c r="P55" s="15">
        <f t="shared" si="10"/>
        <v>2.8008298755186723E-2</v>
      </c>
      <c r="Q55" s="12">
        <f t="shared" si="10"/>
        <v>5.6016597510373446E-2</v>
      </c>
      <c r="R55" s="12">
        <f t="shared" si="10"/>
        <v>0.17427385892116182</v>
      </c>
      <c r="S55" s="13">
        <f t="shared" si="10"/>
        <v>4.5643153526970952E-2</v>
      </c>
      <c r="X55" t="s">
        <v>33</v>
      </c>
      <c r="Y55" s="17">
        <f>(Z53+Y53)/(X53+Y53+Z53+AA53+AC53)*100</f>
        <v>34.777651083238311</v>
      </c>
    </row>
    <row r="56" spans="2:29">
      <c r="B56" s="1"/>
      <c r="C56" s="1" t="s">
        <v>3</v>
      </c>
      <c r="D56" s="1">
        <v>1</v>
      </c>
      <c r="E56" s="1">
        <v>8</v>
      </c>
      <c r="F56" s="1">
        <v>187</v>
      </c>
      <c r="G56" s="1">
        <v>19</v>
      </c>
      <c r="H56" s="1">
        <v>1</v>
      </c>
      <c r="M56" s="1"/>
      <c r="N56" s="1" t="s">
        <v>3</v>
      </c>
      <c r="O56" s="11">
        <f t="shared" si="11"/>
        <v>1.037344398340249E-3</v>
      </c>
      <c r="P56" s="12">
        <f t="shared" si="10"/>
        <v>8.2987551867219917E-3</v>
      </c>
      <c r="Q56" s="12">
        <f t="shared" si="10"/>
        <v>0.19398340248962656</v>
      </c>
      <c r="R56" s="12">
        <f t="shared" si="10"/>
        <v>1.970954356846473E-2</v>
      </c>
      <c r="S56" s="13">
        <f t="shared" si="10"/>
        <v>1.037344398340249E-3</v>
      </c>
      <c r="X56" t="s">
        <v>34</v>
      </c>
      <c r="Y56" s="17">
        <f>(X53+Y53+AC53)/(X53+Y53+Z53+AA53+AC53)*(-100)</f>
        <v>-22.234891676168758</v>
      </c>
    </row>
    <row r="57" spans="2:29">
      <c r="B57" s="1"/>
      <c r="C57" s="1" t="s">
        <v>9</v>
      </c>
      <c r="D57" s="1">
        <v>1</v>
      </c>
      <c r="E57" s="1">
        <v>11</v>
      </c>
      <c r="F57" s="1">
        <v>56</v>
      </c>
      <c r="G57" s="1">
        <v>38</v>
      </c>
      <c r="H57" s="1">
        <v>4</v>
      </c>
      <c r="M57" s="1"/>
      <c r="N57" s="1" t="s">
        <v>9</v>
      </c>
      <c r="O57" s="11">
        <f t="shared" si="11"/>
        <v>1.037344398340249E-3</v>
      </c>
      <c r="P57" s="12">
        <f t="shared" si="10"/>
        <v>1.1410788381742738E-2</v>
      </c>
      <c r="Q57" s="12">
        <f t="shared" si="10"/>
        <v>5.8091286307053944E-2</v>
      </c>
      <c r="R57" s="15">
        <f t="shared" si="10"/>
        <v>3.9419087136929459E-2</v>
      </c>
      <c r="S57" s="13">
        <f t="shared" si="10"/>
        <v>4.1493775933609959E-3</v>
      </c>
    </row>
    <row r="58" spans="2:29">
      <c r="B58" s="1"/>
      <c r="C58" s="1" t="s">
        <v>10</v>
      </c>
      <c r="D58" s="1">
        <v>6</v>
      </c>
      <c r="E58" s="1">
        <v>3</v>
      </c>
      <c r="F58" s="1">
        <v>5</v>
      </c>
      <c r="G58" s="1">
        <v>3</v>
      </c>
      <c r="H58" s="1">
        <v>5</v>
      </c>
      <c r="M58" s="1"/>
      <c r="N58" s="1" t="s">
        <v>10</v>
      </c>
      <c r="O58" s="11">
        <f t="shared" si="11"/>
        <v>6.2240663900414933E-3</v>
      </c>
      <c r="P58" s="11">
        <f t="shared" si="10"/>
        <v>3.1120331950207467E-3</v>
      </c>
      <c r="Q58" s="11">
        <f t="shared" si="10"/>
        <v>5.1867219917012446E-3</v>
      </c>
      <c r="R58" s="11">
        <f t="shared" si="10"/>
        <v>3.1120331950207467E-3</v>
      </c>
      <c r="S58" s="15">
        <f t="shared" si="10"/>
        <v>5.1867219917012446E-3</v>
      </c>
    </row>
    <row r="59" spans="2:29">
      <c r="H59" s="1">
        <v>964</v>
      </c>
      <c r="S59" s="14">
        <f>SUM(O54:S58)</f>
        <v>0.99999999999999989</v>
      </c>
    </row>
    <row r="61" spans="2:29">
      <c r="B61" s="2" t="s">
        <v>72</v>
      </c>
      <c r="C61" s="1"/>
      <c r="D61" s="1"/>
      <c r="E61" s="1"/>
      <c r="F61" s="1"/>
      <c r="G61" s="1"/>
      <c r="H61" s="1"/>
      <c r="M61" s="2" t="s">
        <v>72</v>
      </c>
      <c r="N61" s="1"/>
      <c r="O61" s="1"/>
      <c r="P61" s="1"/>
      <c r="Q61" s="1"/>
      <c r="R61" s="1"/>
      <c r="S61" s="1"/>
      <c r="X61" s="2" t="s">
        <v>72</v>
      </c>
    </row>
    <row r="62" spans="2:29">
      <c r="B62" s="1"/>
      <c r="C62" s="1"/>
      <c r="D62" s="1" t="s">
        <v>0</v>
      </c>
      <c r="E62" s="1"/>
      <c r="F62" s="1"/>
      <c r="G62" s="1"/>
      <c r="H62" s="1"/>
      <c r="M62" s="1"/>
      <c r="N62" s="1"/>
      <c r="O62" s="1" t="s">
        <v>0</v>
      </c>
      <c r="P62" s="1"/>
      <c r="Q62" s="1"/>
      <c r="R62" s="1"/>
      <c r="S62" s="1"/>
      <c r="X62" s="6" t="s">
        <v>27</v>
      </c>
      <c r="Y62" s="4" t="s">
        <v>28</v>
      </c>
      <c r="Z62" s="3" t="s">
        <v>29</v>
      </c>
      <c r="AA62" s="5" t="s">
        <v>30</v>
      </c>
      <c r="AB62" s="1" t="s">
        <v>31</v>
      </c>
      <c r="AC62" s="7" t="s">
        <v>32</v>
      </c>
    </row>
    <row r="63" spans="2:29">
      <c r="B63" s="1"/>
      <c r="C63" s="1"/>
      <c r="D63" s="1" t="s">
        <v>1</v>
      </c>
      <c r="E63" s="1" t="s">
        <v>2</v>
      </c>
      <c r="F63" s="1" t="s">
        <v>3</v>
      </c>
      <c r="G63" s="1" t="s">
        <v>4</v>
      </c>
      <c r="H63" s="1" t="s">
        <v>5</v>
      </c>
      <c r="M63" s="1"/>
      <c r="N63" s="1"/>
      <c r="O63" s="1" t="s">
        <v>1</v>
      </c>
      <c r="P63" s="1" t="s">
        <v>2</v>
      </c>
      <c r="Q63" s="1" t="s">
        <v>3</v>
      </c>
      <c r="R63" s="1" t="s">
        <v>4</v>
      </c>
      <c r="S63" s="1" t="s">
        <v>5</v>
      </c>
      <c r="X63" s="16">
        <f>SUM(S65:S67)</f>
        <v>4.8000000000000001E-2</v>
      </c>
      <c r="Y63" s="16">
        <f>S64</f>
        <v>0.16400000000000001</v>
      </c>
      <c r="Z63" s="16">
        <f>SUM(P64:R64)</f>
        <v>0.11099999999999999</v>
      </c>
      <c r="AA63" s="16">
        <f>SUM(Q65:R66,P66:P67,Q67)</f>
        <v>0.47500000000000009</v>
      </c>
      <c r="AB63" s="16">
        <f>SUM(R67:S68,O64,P65)</f>
        <v>9.8000000000000004E-2</v>
      </c>
      <c r="AC63" s="16">
        <f>SUM(O65:O68,P68:R68)</f>
        <v>0.113</v>
      </c>
    </row>
    <row r="64" spans="2:29">
      <c r="B64" s="1" t="s">
        <v>6</v>
      </c>
      <c r="C64" s="1" t="s">
        <v>7</v>
      </c>
      <c r="D64" s="1">
        <v>14</v>
      </c>
      <c r="E64" s="1">
        <v>14</v>
      </c>
      <c r="F64" s="1">
        <v>11</v>
      </c>
      <c r="G64" s="1">
        <v>86</v>
      </c>
      <c r="H64" s="1">
        <v>164</v>
      </c>
      <c r="M64" s="1" t="s">
        <v>6</v>
      </c>
      <c r="N64" s="1" t="s">
        <v>7</v>
      </c>
      <c r="O64" s="8">
        <f>D64/$H$69</f>
        <v>1.4E-2</v>
      </c>
      <c r="P64" s="9">
        <f t="shared" ref="P64:S68" si="12">E64/$H$69</f>
        <v>1.4E-2</v>
      </c>
      <c r="Q64" s="9">
        <f t="shared" si="12"/>
        <v>1.0999999999999999E-2</v>
      </c>
      <c r="R64" s="9">
        <f t="shared" si="12"/>
        <v>8.5999999999999993E-2</v>
      </c>
      <c r="S64" s="10">
        <f t="shared" si="12"/>
        <v>0.16400000000000001</v>
      </c>
    </row>
    <row r="65" spans="2:29">
      <c r="B65" s="1"/>
      <c r="C65" s="1" t="s">
        <v>8</v>
      </c>
      <c r="D65" s="1">
        <v>9</v>
      </c>
      <c r="E65" s="1">
        <v>21</v>
      </c>
      <c r="F65" s="1">
        <v>50</v>
      </c>
      <c r="G65" s="1">
        <v>95</v>
      </c>
      <c r="H65" s="1">
        <v>40</v>
      </c>
      <c r="M65" s="1"/>
      <c r="N65" s="1" t="s">
        <v>8</v>
      </c>
      <c r="O65" s="11">
        <f t="shared" ref="O65:O68" si="13">D65/$H$69</f>
        <v>8.9999999999999993E-3</v>
      </c>
      <c r="P65" s="15">
        <f t="shared" si="12"/>
        <v>2.1000000000000001E-2</v>
      </c>
      <c r="Q65" s="12">
        <f t="shared" si="12"/>
        <v>0.05</v>
      </c>
      <c r="R65" s="12">
        <f t="shared" si="12"/>
        <v>9.5000000000000001E-2</v>
      </c>
      <c r="S65" s="13">
        <f t="shared" si="12"/>
        <v>0.04</v>
      </c>
      <c r="X65" t="s">
        <v>33</v>
      </c>
      <c r="Y65" s="17">
        <f>(Z63+Y63)/(X63+Y63+Z63+AA63+AC63)*100</f>
        <v>30.18660812294182</v>
      </c>
    </row>
    <row r="66" spans="2:29">
      <c r="B66" s="1"/>
      <c r="C66" s="1" t="s">
        <v>3</v>
      </c>
      <c r="D66" s="1">
        <v>1</v>
      </c>
      <c r="E66" s="1">
        <v>8</v>
      </c>
      <c r="F66" s="1">
        <v>197</v>
      </c>
      <c r="G66" s="1">
        <v>9</v>
      </c>
      <c r="H66" s="1">
        <v>2</v>
      </c>
      <c r="M66" s="1"/>
      <c r="N66" s="1" t="s">
        <v>3</v>
      </c>
      <c r="O66" s="11">
        <f t="shared" si="13"/>
        <v>1E-3</v>
      </c>
      <c r="P66" s="12">
        <f t="shared" si="12"/>
        <v>8.0000000000000002E-3</v>
      </c>
      <c r="Q66" s="12">
        <f t="shared" si="12"/>
        <v>0.19700000000000001</v>
      </c>
      <c r="R66" s="12">
        <f t="shared" si="12"/>
        <v>8.9999999999999993E-3</v>
      </c>
      <c r="S66" s="13">
        <f t="shared" si="12"/>
        <v>2E-3</v>
      </c>
      <c r="X66" t="s">
        <v>34</v>
      </c>
      <c r="Y66" s="17">
        <f>(X63+Y63+AC63)/(X63+Y63+Z63+AA63+AC63)*(-100)</f>
        <v>-35.67508232711306</v>
      </c>
    </row>
    <row r="67" spans="2:29">
      <c r="B67" s="1"/>
      <c r="C67" s="1" t="s">
        <v>9</v>
      </c>
      <c r="D67" s="1">
        <v>11</v>
      </c>
      <c r="E67" s="1">
        <v>15</v>
      </c>
      <c r="F67" s="1">
        <v>101</v>
      </c>
      <c r="G67" s="1">
        <v>39</v>
      </c>
      <c r="H67" s="1">
        <v>6</v>
      </c>
      <c r="M67" s="1"/>
      <c r="N67" s="1" t="s">
        <v>9</v>
      </c>
      <c r="O67" s="11">
        <f t="shared" si="13"/>
        <v>1.0999999999999999E-2</v>
      </c>
      <c r="P67" s="12">
        <f t="shared" si="12"/>
        <v>1.4999999999999999E-2</v>
      </c>
      <c r="Q67" s="12">
        <f t="shared" si="12"/>
        <v>0.10100000000000001</v>
      </c>
      <c r="R67" s="15">
        <f t="shared" si="12"/>
        <v>3.9E-2</v>
      </c>
      <c r="S67" s="13">
        <f t="shared" si="12"/>
        <v>6.0000000000000001E-3</v>
      </c>
    </row>
    <row r="68" spans="2:29">
      <c r="B68" s="1"/>
      <c r="C68" s="1" t="s">
        <v>10</v>
      </c>
      <c r="D68" s="1">
        <v>58</v>
      </c>
      <c r="E68" s="1">
        <v>11</v>
      </c>
      <c r="F68" s="1">
        <v>20</v>
      </c>
      <c r="G68" s="1">
        <v>3</v>
      </c>
      <c r="H68" s="1">
        <v>15</v>
      </c>
      <c r="M68" s="1"/>
      <c r="N68" s="1" t="s">
        <v>10</v>
      </c>
      <c r="O68" s="11">
        <f t="shared" si="13"/>
        <v>5.8000000000000003E-2</v>
      </c>
      <c r="P68" s="11">
        <f t="shared" si="12"/>
        <v>1.0999999999999999E-2</v>
      </c>
      <c r="Q68" s="11">
        <f t="shared" si="12"/>
        <v>0.02</v>
      </c>
      <c r="R68" s="11">
        <f t="shared" si="12"/>
        <v>3.0000000000000001E-3</v>
      </c>
      <c r="S68" s="15">
        <f t="shared" si="12"/>
        <v>1.4999999999999999E-2</v>
      </c>
    </row>
    <row r="69" spans="2:29">
      <c r="H69" s="1">
        <v>1000</v>
      </c>
      <c r="S69" s="14">
        <f>SUM(O64:S68)</f>
        <v>1.0000000000000002</v>
      </c>
    </row>
    <row r="71" spans="2:29">
      <c r="B71" s="2" t="s">
        <v>17</v>
      </c>
      <c r="M71" s="2" t="s">
        <v>17</v>
      </c>
      <c r="X71" s="2" t="s">
        <v>17</v>
      </c>
    </row>
    <row r="72" spans="2:29">
      <c r="B72" s="1"/>
      <c r="C72" s="1"/>
      <c r="D72" s="1" t="s">
        <v>0</v>
      </c>
      <c r="E72" s="1"/>
      <c r="F72" s="1"/>
      <c r="G72" s="1"/>
      <c r="H72" s="1"/>
      <c r="M72" s="1"/>
      <c r="N72" s="1"/>
      <c r="O72" s="1" t="s">
        <v>0</v>
      </c>
      <c r="P72" s="1"/>
      <c r="Q72" s="1"/>
      <c r="R72" s="1"/>
      <c r="S72" s="1"/>
      <c r="X72" s="6" t="s">
        <v>27</v>
      </c>
      <c r="Y72" s="4" t="s">
        <v>28</v>
      </c>
      <c r="Z72" s="3" t="s">
        <v>29</v>
      </c>
      <c r="AA72" s="5" t="s">
        <v>30</v>
      </c>
      <c r="AB72" s="1" t="s">
        <v>31</v>
      </c>
      <c r="AC72" s="7" t="s">
        <v>32</v>
      </c>
    </row>
    <row r="73" spans="2:29">
      <c r="B73" s="1"/>
      <c r="C73" s="1"/>
      <c r="D73" s="1" t="s">
        <v>1</v>
      </c>
      <c r="E73" s="1" t="s">
        <v>2</v>
      </c>
      <c r="F73" s="1" t="s">
        <v>3</v>
      </c>
      <c r="G73" s="1" t="s">
        <v>4</v>
      </c>
      <c r="H73" s="1" t="s">
        <v>5</v>
      </c>
      <c r="M73" s="1"/>
      <c r="N73" s="1"/>
      <c r="O73" s="1" t="s">
        <v>1</v>
      </c>
      <c r="P73" s="1" t="s">
        <v>2</v>
      </c>
      <c r="Q73" s="1" t="s">
        <v>3</v>
      </c>
      <c r="R73" s="1" t="s">
        <v>4</v>
      </c>
      <c r="S73" s="1" t="s">
        <v>5</v>
      </c>
      <c r="X73" s="16">
        <f>SUM(S75:S77)</f>
        <v>4.048582995951417E-2</v>
      </c>
      <c r="Y73" s="16">
        <f>S74</f>
        <v>0.12955465587044535</v>
      </c>
      <c r="Z73" s="16">
        <f>SUM(P74:R74)</f>
        <v>0.12854251012145748</v>
      </c>
      <c r="AA73" s="16">
        <f>SUM(Q75:R76,P76:P77,Q77)</f>
        <v>0.55769230769230771</v>
      </c>
      <c r="AB73" s="16">
        <f>SUM(R77:S78,O74,P75)</f>
        <v>0.1062753036437247</v>
      </c>
      <c r="AC73" s="16">
        <f>SUM(O75:O78,P78:R78)</f>
        <v>4.5546558704453441E-2</v>
      </c>
    </row>
    <row r="74" spans="2:29">
      <c r="B74" s="1" t="s">
        <v>6</v>
      </c>
      <c r="C74" s="1" t="s">
        <v>7</v>
      </c>
      <c r="D74" s="1">
        <v>11</v>
      </c>
      <c r="E74" s="1">
        <v>8</v>
      </c>
      <c r="F74" s="1">
        <v>20</v>
      </c>
      <c r="G74" s="1">
        <v>99</v>
      </c>
      <c r="H74" s="1">
        <v>128</v>
      </c>
      <c r="M74" s="1" t="s">
        <v>6</v>
      </c>
      <c r="N74" s="1" t="s">
        <v>7</v>
      </c>
      <c r="O74" s="8">
        <f>D74/$H$79</f>
        <v>1.1133603238866396E-2</v>
      </c>
      <c r="P74" s="9">
        <f t="shared" ref="P74:S78" si="14">E74/$H$79</f>
        <v>8.0971659919028341E-3</v>
      </c>
      <c r="Q74" s="9">
        <f t="shared" si="14"/>
        <v>2.0242914979757085E-2</v>
      </c>
      <c r="R74" s="9">
        <f t="shared" si="14"/>
        <v>0.10020242914979757</v>
      </c>
      <c r="S74" s="10">
        <f t="shared" si="14"/>
        <v>0.12955465587044535</v>
      </c>
    </row>
    <row r="75" spans="2:29">
      <c r="B75" s="1"/>
      <c r="C75" s="1" t="s">
        <v>8</v>
      </c>
      <c r="D75" s="1">
        <v>2</v>
      </c>
      <c r="E75" s="1">
        <v>28</v>
      </c>
      <c r="F75" s="1">
        <v>63</v>
      </c>
      <c r="G75" s="1">
        <v>109</v>
      </c>
      <c r="H75" s="1">
        <v>34</v>
      </c>
      <c r="M75" s="1"/>
      <c r="N75" s="1" t="s">
        <v>8</v>
      </c>
      <c r="O75" s="11">
        <f t="shared" ref="O75:O78" si="15">D75/$H$79</f>
        <v>2.0242914979757085E-3</v>
      </c>
      <c r="P75" s="15">
        <f t="shared" si="14"/>
        <v>2.8340080971659919E-2</v>
      </c>
      <c r="Q75" s="12">
        <f t="shared" si="14"/>
        <v>6.3765182186234823E-2</v>
      </c>
      <c r="R75" s="12">
        <f t="shared" si="14"/>
        <v>0.11032388663967611</v>
      </c>
      <c r="S75" s="13">
        <f t="shared" si="14"/>
        <v>3.4412955465587043E-2</v>
      </c>
      <c r="X75" t="s">
        <v>33</v>
      </c>
      <c r="Y75" s="17">
        <f>(Z73+Y73)/(X73+Y73+Z73+AA73+AC73)*100</f>
        <v>28.619528619528616</v>
      </c>
    </row>
    <row r="76" spans="2:29">
      <c r="B76" s="1"/>
      <c r="C76" s="1" t="s">
        <v>3</v>
      </c>
      <c r="D76" s="1">
        <v>2</v>
      </c>
      <c r="E76" s="1">
        <v>13</v>
      </c>
      <c r="F76" s="1">
        <v>245</v>
      </c>
      <c r="G76" s="1">
        <v>11</v>
      </c>
      <c r="H76" s="1">
        <v>4</v>
      </c>
      <c r="M76" s="1"/>
      <c r="N76" s="1" t="s">
        <v>3</v>
      </c>
      <c r="O76" s="11">
        <f t="shared" si="15"/>
        <v>2.0242914979757085E-3</v>
      </c>
      <c r="P76" s="12">
        <f t="shared" si="14"/>
        <v>1.3157894736842105E-2</v>
      </c>
      <c r="Q76" s="12">
        <f t="shared" si="14"/>
        <v>0.2479757085020243</v>
      </c>
      <c r="R76" s="12">
        <f t="shared" si="14"/>
        <v>1.1133603238866396E-2</v>
      </c>
      <c r="S76" s="13">
        <f t="shared" si="14"/>
        <v>4.048582995951417E-3</v>
      </c>
      <c r="X76" t="s">
        <v>34</v>
      </c>
      <c r="Y76" s="17">
        <f>(X73+Y73+AC73)/(X73+Y73+Z73+AA73+AC73)*(-100)</f>
        <v>-23.905723905723907</v>
      </c>
    </row>
    <row r="77" spans="2:29">
      <c r="B77" s="1"/>
      <c r="C77" s="1" t="s">
        <v>9</v>
      </c>
      <c r="D77" s="1">
        <v>6</v>
      </c>
      <c r="E77" s="1">
        <v>26</v>
      </c>
      <c r="F77" s="1">
        <v>84</v>
      </c>
      <c r="G77" s="1">
        <v>53</v>
      </c>
      <c r="H77" s="1">
        <v>2</v>
      </c>
      <c r="M77" s="1"/>
      <c r="N77" s="1" t="s">
        <v>9</v>
      </c>
      <c r="O77" s="11">
        <f t="shared" si="15"/>
        <v>6.0728744939271256E-3</v>
      </c>
      <c r="P77" s="12">
        <f t="shared" si="14"/>
        <v>2.6315789473684209E-2</v>
      </c>
      <c r="Q77" s="12">
        <f t="shared" si="14"/>
        <v>8.5020242914979755E-2</v>
      </c>
      <c r="R77" s="15">
        <f t="shared" si="14"/>
        <v>5.3643724696356275E-2</v>
      </c>
      <c r="S77" s="13">
        <f t="shared" si="14"/>
        <v>2.0242914979757085E-3</v>
      </c>
    </row>
    <row r="78" spans="2:29">
      <c r="B78" s="1"/>
      <c r="C78" s="1" t="s">
        <v>10</v>
      </c>
      <c r="D78" s="1">
        <v>16</v>
      </c>
      <c r="E78" s="1">
        <v>5</v>
      </c>
      <c r="F78" s="1">
        <v>8</v>
      </c>
      <c r="G78" s="1">
        <v>6</v>
      </c>
      <c r="H78" s="1">
        <v>5</v>
      </c>
      <c r="M78" s="1"/>
      <c r="N78" s="1" t="s">
        <v>10</v>
      </c>
      <c r="O78" s="11">
        <f t="shared" si="15"/>
        <v>1.6194331983805668E-2</v>
      </c>
      <c r="P78" s="11">
        <f t="shared" si="14"/>
        <v>5.0607287449392713E-3</v>
      </c>
      <c r="Q78" s="11">
        <f t="shared" si="14"/>
        <v>8.0971659919028341E-3</v>
      </c>
      <c r="R78" s="11">
        <f t="shared" si="14"/>
        <v>6.0728744939271256E-3</v>
      </c>
      <c r="S78" s="15">
        <f t="shared" si="14"/>
        <v>5.0607287449392713E-3</v>
      </c>
    </row>
    <row r="79" spans="2:29">
      <c r="B79" s="1"/>
      <c r="C79" s="1"/>
      <c r="D79" s="1"/>
      <c r="E79" s="1"/>
      <c r="F79" s="1"/>
      <c r="G79" s="1"/>
      <c r="H79" s="1">
        <v>988</v>
      </c>
      <c r="M79" s="1"/>
      <c r="N79" s="1"/>
      <c r="O79" s="1"/>
      <c r="P79" s="1"/>
      <c r="Q79" s="1"/>
      <c r="R79" s="1"/>
      <c r="S79" s="14">
        <f>SUM(O74:S78)</f>
        <v>1</v>
      </c>
    </row>
    <row r="80" spans="2:29">
      <c r="B80" s="1"/>
      <c r="C80" s="1"/>
      <c r="D80" s="1"/>
      <c r="E80" s="1"/>
      <c r="F80" s="1"/>
      <c r="G80" s="1"/>
      <c r="H80" s="1"/>
      <c r="M80" s="1"/>
      <c r="N80" s="1"/>
      <c r="O80" s="1"/>
      <c r="P80" s="1"/>
      <c r="Q80" s="1"/>
      <c r="R80" s="1"/>
      <c r="S80" s="1"/>
    </row>
    <row r="81" spans="2:29">
      <c r="B81" s="2" t="s">
        <v>18</v>
      </c>
      <c r="C81" s="1"/>
      <c r="D81" s="1"/>
      <c r="E81" s="1"/>
      <c r="F81" s="1"/>
      <c r="G81" s="1"/>
      <c r="H81" s="1"/>
      <c r="M81" s="2" t="s">
        <v>18</v>
      </c>
      <c r="N81" s="1"/>
      <c r="O81" s="1"/>
      <c r="P81" s="1"/>
      <c r="Q81" s="1"/>
      <c r="R81" s="1"/>
      <c r="S81" s="1"/>
      <c r="X81" s="2" t="s">
        <v>18</v>
      </c>
    </row>
    <row r="82" spans="2:29">
      <c r="B82" s="1"/>
      <c r="C82" s="1"/>
      <c r="D82" s="1" t="s">
        <v>0</v>
      </c>
      <c r="E82" s="1"/>
      <c r="F82" s="1"/>
      <c r="G82" s="1"/>
      <c r="H82" s="1"/>
      <c r="M82" s="1"/>
      <c r="N82" s="1"/>
      <c r="O82" s="1" t="s">
        <v>0</v>
      </c>
      <c r="P82" s="1"/>
      <c r="Q82" s="1"/>
      <c r="R82" s="1"/>
      <c r="S82" s="1"/>
      <c r="X82" s="6" t="s">
        <v>27</v>
      </c>
      <c r="Y82" s="4" t="s">
        <v>28</v>
      </c>
      <c r="Z82" s="3" t="s">
        <v>29</v>
      </c>
      <c r="AA82" s="5" t="s">
        <v>30</v>
      </c>
      <c r="AB82" s="1" t="s">
        <v>31</v>
      </c>
      <c r="AC82" s="7" t="s">
        <v>32</v>
      </c>
    </row>
    <row r="83" spans="2:29">
      <c r="B83" s="1"/>
      <c r="C83" s="1"/>
      <c r="D83" s="1" t="s">
        <v>1</v>
      </c>
      <c r="E83" s="1" t="s">
        <v>2</v>
      </c>
      <c r="F83" s="1" t="s">
        <v>3</v>
      </c>
      <c r="G83" s="1" t="s">
        <v>4</v>
      </c>
      <c r="H83" s="1" t="s">
        <v>5</v>
      </c>
      <c r="M83" s="1"/>
      <c r="N83" s="1"/>
      <c r="O83" s="1" t="s">
        <v>1</v>
      </c>
      <c r="P83" s="1" t="s">
        <v>2</v>
      </c>
      <c r="Q83" s="1" t="s">
        <v>3</v>
      </c>
      <c r="R83" s="1" t="s">
        <v>4</v>
      </c>
      <c r="S83" s="1" t="s">
        <v>5</v>
      </c>
      <c r="X83" s="16">
        <f>SUM(S85:S87)</f>
        <v>4.5454545454545456E-2</v>
      </c>
      <c r="Y83" s="16">
        <f>S84</f>
        <v>0.12603305785123967</v>
      </c>
      <c r="Z83" s="16">
        <f>SUM(P84:R84)</f>
        <v>0.14979338842975207</v>
      </c>
      <c r="AA83" s="16">
        <f>SUM(Q85:R86,P86:P87,Q87)</f>
        <v>0.55475206611570249</v>
      </c>
      <c r="AB83" s="16">
        <f>SUM(R87:S88,O84,P85)</f>
        <v>8.6776859504132234E-2</v>
      </c>
      <c r="AC83" s="16">
        <f>SUM(O85:O88,P88:R88)</f>
        <v>4.2355371900826451E-2</v>
      </c>
    </row>
    <row r="84" spans="2:29">
      <c r="B84" s="1" t="s">
        <v>6</v>
      </c>
      <c r="C84" s="1" t="s">
        <v>7</v>
      </c>
      <c r="D84" s="1">
        <v>10</v>
      </c>
      <c r="E84" s="1">
        <v>11</v>
      </c>
      <c r="F84" s="1">
        <v>27</v>
      </c>
      <c r="G84" s="1">
        <v>107</v>
      </c>
      <c r="H84" s="1">
        <v>122</v>
      </c>
      <c r="M84" s="1" t="s">
        <v>6</v>
      </c>
      <c r="N84" s="1" t="s">
        <v>7</v>
      </c>
      <c r="O84" s="8">
        <f>D84/$H$89</f>
        <v>1.0330578512396695E-2</v>
      </c>
      <c r="P84" s="9">
        <f t="shared" ref="P84:S88" si="16">E84/$H$89</f>
        <v>1.1363636363636364E-2</v>
      </c>
      <c r="Q84" s="9">
        <f t="shared" si="16"/>
        <v>2.7892561983471075E-2</v>
      </c>
      <c r="R84" s="9">
        <f t="shared" si="16"/>
        <v>0.11053719008264463</v>
      </c>
      <c r="S84" s="10">
        <f t="shared" si="16"/>
        <v>0.12603305785123967</v>
      </c>
    </row>
    <row r="85" spans="2:29">
      <c r="B85" s="1"/>
      <c r="C85" s="1" t="s">
        <v>8</v>
      </c>
      <c r="D85" s="1">
        <v>6</v>
      </c>
      <c r="E85" s="1">
        <v>23</v>
      </c>
      <c r="F85" s="1">
        <v>52</v>
      </c>
      <c r="G85" s="1">
        <v>152</v>
      </c>
      <c r="H85" s="1">
        <v>40</v>
      </c>
      <c r="M85" s="1"/>
      <c r="N85" s="1" t="s">
        <v>8</v>
      </c>
      <c r="O85" s="11">
        <f t="shared" ref="O85:O88" si="17">D85/$H$89</f>
        <v>6.1983471074380167E-3</v>
      </c>
      <c r="P85" s="15">
        <f t="shared" si="16"/>
        <v>2.3760330578512397E-2</v>
      </c>
      <c r="Q85" s="12">
        <f t="shared" si="16"/>
        <v>5.3719008264462811E-2</v>
      </c>
      <c r="R85" s="12">
        <f t="shared" si="16"/>
        <v>0.15702479338842976</v>
      </c>
      <c r="S85" s="13">
        <f t="shared" si="16"/>
        <v>4.1322314049586778E-2</v>
      </c>
      <c r="X85" t="s">
        <v>33</v>
      </c>
      <c r="Y85" s="17">
        <f>(Z83+Y83)/(X83+Y83+Z83+AA83+AC83)*100</f>
        <v>30.033745781777277</v>
      </c>
    </row>
    <row r="86" spans="2:29">
      <c r="B86" s="1"/>
      <c r="C86" s="1" t="s">
        <v>3</v>
      </c>
      <c r="D86" s="1">
        <v>4</v>
      </c>
      <c r="E86" s="1">
        <v>18</v>
      </c>
      <c r="F86" s="1">
        <v>227</v>
      </c>
      <c r="G86" s="1">
        <v>19</v>
      </c>
      <c r="H86" s="1">
        <v>1</v>
      </c>
      <c r="M86" s="1"/>
      <c r="N86" s="1" t="s">
        <v>3</v>
      </c>
      <c r="O86" s="11">
        <f t="shared" si="17"/>
        <v>4.1322314049586778E-3</v>
      </c>
      <c r="P86" s="12">
        <f t="shared" si="16"/>
        <v>1.859504132231405E-2</v>
      </c>
      <c r="Q86" s="12">
        <f t="shared" si="16"/>
        <v>0.23450413223140495</v>
      </c>
      <c r="R86" s="12">
        <f t="shared" si="16"/>
        <v>1.962809917355372E-2</v>
      </c>
      <c r="S86" s="13">
        <f t="shared" si="16"/>
        <v>1.0330578512396695E-3</v>
      </c>
      <c r="X86" t="s">
        <v>34</v>
      </c>
      <c r="Y86" s="17">
        <f>(X83+Y83+AC83)/(X83+Y83+Z83+AA83+AC83)*(-100)</f>
        <v>-23.284589426321709</v>
      </c>
    </row>
    <row r="87" spans="2:29">
      <c r="B87" s="1"/>
      <c r="C87" s="1" t="s">
        <v>9</v>
      </c>
      <c r="D87" s="1">
        <v>2</v>
      </c>
      <c r="E87" s="1">
        <v>18</v>
      </c>
      <c r="F87" s="1">
        <v>51</v>
      </c>
      <c r="G87" s="1">
        <v>42</v>
      </c>
      <c r="H87" s="1">
        <v>3</v>
      </c>
      <c r="M87" s="1"/>
      <c r="N87" s="1" t="s">
        <v>9</v>
      </c>
      <c r="O87" s="11">
        <f t="shared" si="17"/>
        <v>2.0661157024793389E-3</v>
      </c>
      <c r="P87" s="12">
        <f t="shared" si="16"/>
        <v>1.859504132231405E-2</v>
      </c>
      <c r="Q87" s="12">
        <f t="shared" si="16"/>
        <v>5.2685950413223138E-2</v>
      </c>
      <c r="R87" s="15">
        <f t="shared" si="16"/>
        <v>4.3388429752066117E-2</v>
      </c>
      <c r="S87" s="13">
        <f t="shared" si="16"/>
        <v>3.0991735537190084E-3</v>
      </c>
    </row>
    <row r="88" spans="2:29">
      <c r="B88" s="1"/>
      <c r="C88" s="1" t="s">
        <v>10</v>
      </c>
      <c r="D88" s="1">
        <v>14</v>
      </c>
      <c r="E88" s="1">
        <v>6</v>
      </c>
      <c r="F88" s="1">
        <v>7</v>
      </c>
      <c r="G88" s="1">
        <v>2</v>
      </c>
      <c r="H88" s="1">
        <v>4</v>
      </c>
      <c r="M88" s="1"/>
      <c r="N88" s="1" t="s">
        <v>10</v>
      </c>
      <c r="O88" s="11">
        <f t="shared" si="17"/>
        <v>1.4462809917355372E-2</v>
      </c>
      <c r="P88" s="11">
        <f t="shared" si="16"/>
        <v>6.1983471074380167E-3</v>
      </c>
      <c r="Q88" s="11">
        <f t="shared" si="16"/>
        <v>7.2314049586776862E-3</v>
      </c>
      <c r="R88" s="11">
        <f t="shared" si="16"/>
        <v>2.0661157024793389E-3</v>
      </c>
      <c r="S88" s="15">
        <f t="shared" si="16"/>
        <v>4.1322314049586778E-3</v>
      </c>
    </row>
    <row r="89" spans="2:29">
      <c r="H89" s="1">
        <v>968</v>
      </c>
      <c r="S89" s="14">
        <f>SUM(O84:S88)</f>
        <v>1</v>
      </c>
    </row>
    <row r="91" spans="2:29">
      <c r="B91" s="2" t="s">
        <v>19</v>
      </c>
      <c r="M91" s="2" t="s">
        <v>19</v>
      </c>
      <c r="X91" s="2" t="s">
        <v>19</v>
      </c>
    </row>
    <row r="92" spans="2:29">
      <c r="B92" s="1"/>
      <c r="C92" s="1"/>
      <c r="D92" s="1" t="s">
        <v>0</v>
      </c>
      <c r="E92" s="1"/>
      <c r="F92" s="1"/>
      <c r="G92" s="1"/>
      <c r="H92" s="1"/>
      <c r="M92" s="1"/>
      <c r="N92" s="1"/>
      <c r="O92" s="1" t="s">
        <v>0</v>
      </c>
      <c r="P92" s="1"/>
      <c r="Q92" s="1"/>
      <c r="R92" s="1"/>
      <c r="S92" s="1"/>
      <c r="X92" s="6" t="s">
        <v>27</v>
      </c>
      <c r="Y92" s="4" t="s">
        <v>28</v>
      </c>
      <c r="Z92" s="3" t="s">
        <v>29</v>
      </c>
      <c r="AA92" s="5" t="s">
        <v>30</v>
      </c>
      <c r="AB92" s="1" t="s">
        <v>31</v>
      </c>
      <c r="AC92" s="7" t="s">
        <v>32</v>
      </c>
    </row>
    <row r="93" spans="2:29">
      <c r="B93" s="1"/>
      <c r="C93" s="1"/>
      <c r="D93" s="1" t="s">
        <v>1</v>
      </c>
      <c r="E93" s="1" t="s">
        <v>2</v>
      </c>
      <c r="F93" s="1" t="s">
        <v>3</v>
      </c>
      <c r="G93" s="1" t="s">
        <v>4</v>
      </c>
      <c r="H93" s="1" t="s">
        <v>5</v>
      </c>
      <c r="M93" s="1"/>
      <c r="N93" s="1"/>
      <c r="O93" s="1" t="s">
        <v>1</v>
      </c>
      <c r="P93" s="1" t="s">
        <v>2</v>
      </c>
      <c r="Q93" s="1" t="s">
        <v>3</v>
      </c>
      <c r="R93" s="1" t="s">
        <v>4</v>
      </c>
      <c r="S93" s="1" t="s">
        <v>5</v>
      </c>
      <c r="X93" s="16">
        <f>SUM(S95:S97)</f>
        <v>5.1227321237993596E-2</v>
      </c>
      <c r="Y93" s="16">
        <f>S94</f>
        <v>0.14194236926360726</v>
      </c>
      <c r="Z93" s="16">
        <f>SUM(P94:R94)</f>
        <v>0.16221985058697974</v>
      </c>
      <c r="AA93" s="16">
        <f>SUM(Q95:R96,P96:P97,Q97)</f>
        <v>0.52721451440768408</v>
      </c>
      <c r="AB93" s="16">
        <f>SUM(R97:S98,O94,P95)</f>
        <v>9.9252934898612588E-2</v>
      </c>
      <c r="AC93" s="16">
        <f>SUM(O95:O98,P98:R98)</f>
        <v>2.8815368196371399E-2</v>
      </c>
    </row>
    <row r="94" spans="2:29">
      <c r="B94" s="1" t="s">
        <v>6</v>
      </c>
      <c r="C94" s="1" t="s">
        <v>7</v>
      </c>
      <c r="D94" s="1">
        <v>10</v>
      </c>
      <c r="E94" s="1">
        <v>17</v>
      </c>
      <c r="F94" s="1">
        <v>28</v>
      </c>
      <c r="G94" s="1">
        <v>107</v>
      </c>
      <c r="H94" s="1">
        <v>133</v>
      </c>
      <c r="M94" s="1" t="s">
        <v>6</v>
      </c>
      <c r="N94" s="1" t="s">
        <v>7</v>
      </c>
      <c r="O94" s="8">
        <f>D94/$H$99</f>
        <v>1.0672358591248666E-2</v>
      </c>
      <c r="P94" s="9">
        <f t="shared" ref="P94:S98" si="18">E94/$H$99</f>
        <v>1.8143009605122731E-2</v>
      </c>
      <c r="Q94" s="9">
        <f t="shared" si="18"/>
        <v>2.9882604055496264E-2</v>
      </c>
      <c r="R94" s="9">
        <f t="shared" si="18"/>
        <v>0.11419423692636073</v>
      </c>
      <c r="S94" s="10">
        <f t="shared" si="18"/>
        <v>0.14194236926360726</v>
      </c>
    </row>
    <row r="95" spans="2:29">
      <c r="B95" s="1"/>
      <c r="C95" s="1" t="s">
        <v>8</v>
      </c>
      <c r="D95" s="1">
        <v>4</v>
      </c>
      <c r="E95" s="1">
        <v>24</v>
      </c>
      <c r="F95" s="1">
        <v>57</v>
      </c>
      <c r="G95" s="1">
        <v>179</v>
      </c>
      <c r="H95" s="1">
        <v>42</v>
      </c>
      <c r="M95" s="1"/>
      <c r="N95" s="1" t="s">
        <v>8</v>
      </c>
      <c r="O95" s="11">
        <f t="shared" ref="O95:O98" si="19">D95/$H$99</f>
        <v>4.2689434364994666E-3</v>
      </c>
      <c r="P95" s="15">
        <f t="shared" si="18"/>
        <v>2.5613660618996798E-2</v>
      </c>
      <c r="Q95" s="12">
        <f t="shared" si="18"/>
        <v>6.0832443970117396E-2</v>
      </c>
      <c r="R95" s="12">
        <f t="shared" si="18"/>
        <v>0.19103521878335111</v>
      </c>
      <c r="S95" s="13">
        <f t="shared" si="18"/>
        <v>4.4823906083244394E-2</v>
      </c>
      <c r="X95" t="s">
        <v>33</v>
      </c>
      <c r="Y95" s="17">
        <f>(Z93+Y93)/(X93+Y93+Z93+AA93+AC93)*100</f>
        <v>33.372365339578458</v>
      </c>
    </row>
    <row r="96" spans="2:29">
      <c r="B96" s="1"/>
      <c r="C96" s="1" t="s">
        <v>3</v>
      </c>
      <c r="D96" s="1">
        <v>4</v>
      </c>
      <c r="E96" s="1">
        <v>15</v>
      </c>
      <c r="F96" s="1">
        <v>185</v>
      </c>
      <c r="G96" s="1">
        <v>12</v>
      </c>
      <c r="H96" s="1">
        <v>1</v>
      </c>
      <c r="M96" s="1"/>
      <c r="N96" s="1" t="s">
        <v>3</v>
      </c>
      <c r="O96" s="11">
        <f t="shared" si="19"/>
        <v>4.2689434364994666E-3</v>
      </c>
      <c r="P96" s="12">
        <f t="shared" si="18"/>
        <v>1.6008537886872998E-2</v>
      </c>
      <c r="Q96" s="12">
        <f t="shared" si="18"/>
        <v>0.19743863393810032</v>
      </c>
      <c r="R96" s="12">
        <f t="shared" si="18"/>
        <v>1.2806830309498399E-2</v>
      </c>
      <c r="S96" s="13">
        <f t="shared" si="18"/>
        <v>1.0672358591248667E-3</v>
      </c>
      <c r="X96" t="s">
        <v>34</v>
      </c>
      <c r="Y96" s="17">
        <f>(X93+Y93+AC93)/(X93+Y93+Z93+AA93+AC93)*(-100)</f>
        <v>-24.355971896955502</v>
      </c>
    </row>
    <row r="97" spans="2:29">
      <c r="B97" s="1"/>
      <c r="C97" s="1" t="s">
        <v>9</v>
      </c>
      <c r="D97" s="1">
        <v>2</v>
      </c>
      <c r="E97" s="1">
        <v>6</v>
      </c>
      <c r="F97" s="1">
        <v>40</v>
      </c>
      <c r="G97" s="1">
        <v>39</v>
      </c>
      <c r="H97" s="1">
        <v>5</v>
      </c>
      <c r="M97" s="1"/>
      <c r="N97" s="1" t="s">
        <v>9</v>
      </c>
      <c r="O97" s="11">
        <f t="shared" si="19"/>
        <v>2.1344717182497333E-3</v>
      </c>
      <c r="P97" s="12">
        <f t="shared" si="18"/>
        <v>6.4034151547491995E-3</v>
      </c>
      <c r="Q97" s="12">
        <f t="shared" si="18"/>
        <v>4.2689434364994665E-2</v>
      </c>
      <c r="R97" s="15">
        <f t="shared" si="18"/>
        <v>4.1622198505869797E-2</v>
      </c>
      <c r="S97" s="13">
        <f t="shared" si="18"/>
        <v>5.3361792956243331E-3</v>
      </c>
    </row>
    <row r="98" spans="2:29">
      <c r="B98" s="1"/>
      <c r="C98" s="1" t="s">
        <v>10</v>
      </c>
      <c r="D98" s="1">
        <v>1</v>
      </c>
      <c r="E98" s="1">
        <v>4</v>
      </c>
      <c r="F98" s="1">
        <v>7</v>
      </c>
      <c r="G98" s="1">
        <v>5</v>
      </c>
      <c r="H98" s="1">
        <v>10</v>
      </c>
      <c r="M98" s="1"/>
      <c r="N98" s="1" t="s">
        <v>10</v>
      </c>
      <c r="O98" s="11">
        <f t="shared" si="19"/>
        <v>1.0672358591248667E-3</v>
      </c>
      <c r="P98" s="11">
        <f t="shared" si="18"/>
        <v>4.2689434364994666E-3</v>
      </c>
      <c r="Q98" s="11">
        <f t="shared" si="18"/>
        <v>7.470651013874066E-3</v>
      </c>
      <c r="R98" s="11">
        <f t="shared" si="18"/>
        <v>5.3361792956243331E-3</v>
      </c>
      <c r="S98" s="15">
        <f t="shared" si="18"/>
        <v>1.0672358591248666E-2</v>
      </c>
    </row>
    <row r="99" spans="2:29">
      <c r="B99" s="1"/>
      <c r="C99" s="1"/>
      <c r="D99" s="1"/>
      <c r="E99" s="1"/>
      <c r="F99" s="1"/>
      <c r="G99" s="1"/>
      <c r="H99" s="1">
        <v>937</v>
      </c>
      <c r="M99" s="1"/>
      <c r="N99" s="1"/>
      <c r="O99" s="1"/>
      <c r="P99" s="1"/>
      <c r="Q99" s="1"/>
      <c r="R99" s="1"/>
      <c r="S99" s="14">
        <f>SUM(O94:S98)</f>
        <v>0.99999999999999989</v>
      </c>
    </row>
    <row r="100" spans="2:29">
      <c r="B100" s="1"/>
      <c r="C100" s="1"/>
      <c r="D100" s="1"/>
      <c r="E100" s="1"/>
      <c r="F100" s="1"/>
      <c r="G100" s="1"/>
      <c r="H100" s="1"/>
      <c r="M100" s="1"/>
      <c r="N100" s="1"/>
      <c r="O100" s="1"/>
      <c r="P100" s="1"/>
      <c r="Q100" s="1"/>
      <c r="R100" s="1"/>
      <c r="S100" s="1"/>
    </row>
    <row r="101" spans="2:29">
      <c r="B101" s="2" t="s">
        <v>20</v>
      </c>
      <c r="C101" s="1"/>
      <c r="D101" s="1"/>
      <c r="E101" s="1"/>
      <c r="F101" s="1"/>
      <c r="G101" s="1"/>
      <c r="H101" s="1"/>
      <c r="I101" s="1"/>
      <c r="M101" s="2" t="s">
        <v>20</v>
      </c>
      <c r="N101" s="1"/>
      <c r="O101" s="1"/>
      <c r="P101" s="1"/>
      <c r="Q101" s="1"/>
      <c r="R101" s="1"/>
      <c r="S101" s="1"/>
      <c r="X101" s="2" t="s">
        <v>20</v>
      </c>
    </row>
    <row r="102" spans="2:29">
      <c r="B102" s="1"/>
      <c r="C102" s="1"/>
      <c r="D102" s="1" t="s">
        <v>0</v>
      </c>
      <c r="E102" s="1"/>
      <c r="F102" s="1"/>
      <c r="G102" s="1"/>
      <c r="H102" s="1"/>
      <c r="I102" s="1"/>
      <c r="M102" s="1"/>
      <c r="N102" s="1"/>
      <c r="O102" s="1" t="s">
        <v>0</v>
      </c>
      <c r="P102" s="1"/>
      <c r="Q102" s="1"/>
      <c r="R102" s="1"/>
      <c r="S102" s="1"/>
      <c r="X102" s="6" t="s">
        <v>27</v>
      </c>
      <c r="Y102" s="4" t="s">
        <v>28</v>
      </c>
      <c r="Z102" s="3" t="s">
        <v>29</v>
      </c>
      <c r="AA102" s="5" t="s">
        <v>30</v>
      </c>
      <c r="AB102" s="1" t="s">
        <v>31</v>
      </c>
      <c r="AC102" s="7" t="s">
        <v>32</v>
      </c>
    </row>
    <row r="103" spans="2:29">
      <c r="B103" s="1"/>
      <c r="C103" s="1"/>
      <c r="D103" s="1" t="s">
        <v>1</v>
      </c>
      <c r="E103" s="1" t="s">
        <v>2</v>
      </c>
      <c r="F103" s="1" t="s">
        <v>3</v>
      </c>
      <c r="G103" s="1" t="s">
        <v>4</v>
      </c>
      <c r="H103" s="1" t="s">
        <v>5</v>
      </c>
      <c r="I103" s="1"/>
      <c r="M103" s="1"/>
      <c r="N103" s="1"/>
      <c r="O103" s="1" t="s">
        <v>1</v>
      </c>
      <c r="P103" s="1" t="s">
        <v>2</v>
      </c>
      <c r="Q103" s="1" t="s">
        <v>3</v>
      </c>
      <c r="R103" s="1" t="s">
        <v>4</v>
      </c>
      <c r="S103" s="1" t="s">
        <v>5</v>
      </c>
      <c r="X103" s="16">
        <f>SUM(S105:S107)</f>
        <v>2.5157232704402517E-2</v>
      </c>
      <c r="Y103" s="16">
        <f>S104</f>
        <v>7.1278825995807121E-2</v>
      </c>
      <c r="Z103" s="16">
        <f>SUM(P104:R104)</f>
        <v>0.15199161425576518</v>
      </c>
      <c r="AA103" s="16">
        <f>SUM(Q105:R106,P106:P107,Q107)</f>
        <v>0.63207547169811318</v>
      </c>
      <c r="AB103" s="16">
        <f>SUM(R107:S108,O104,P105)</f>
        <v>9.7484276729559741E-2</v>
      </c>
      <c r="AC103" s="16">
        <f>SUM(O105:O108,P108:R108)</f>
        <v>3.9832285115303984E-2</v>
      </c>
    </row>
    <row r="104" spans="2:29">
      <c r="B104" s="1" t="s">
        <v>6</v>
      </c>
      <c r="C104" s="1" t="s">
        <v>7</v>
      </c>
      <c r="D104" s="1">
        <v>7</v>
      </c>
      <c r="E104" s="1">
        <v>18</v>
      </c>
      <c r="F104" s="1">
        <v>35</v>
      </c>
      <c r="G104" s="1">
        <v>92</v>
      </c>
      <c r="H104" s="1">
        <v>68</v>
      </c>
      <c r="I104" s="1"/>
      <c r="M104" s="1" t="s">
        <v>6</v>
      </c>
      <c r="N104" s="1" t="s">
        <v>7</v>
      </c>
      <c r="O104" s="8">
        <f>D104/$H$109</f>
        <v>7.3375262054507341E-3</v>
      </c>
      <c r="P104" s="9">
        <f t="shared" ref="P104:S108" si="20">E104/$H$109</f>
        <v>1.8867924528301886E-2</v>
      </c>
      <c r="Q104" s="9">
        <f t="shared" si="20"/>
        <v>3.668763102725367E-2</v>
      </c>
      <c r="R104" s="9">
        <f t="shared" si="20"/>
        <v>9.6436058700209645E-2</v>
      </c>
      <c r="S104" s="10">
        <f t="shared" si="20"/>
        <v>7.1278825995807121E-2</v>
      </c>
    </row>
    <row r="105" spans="2:29">
      <c r="B105" s="1"/>
      <c r="C105" s="1" t="s">
        <v>8</v>
      </c>
      <c r="D105" s="1">
        <v>4</v>
      </c>
      <c r="E105" s="1">
        <v>21</v>
      </c>
      <c r="F105" s="1">
        <v>59</v>
      </c>
      <c r="G105" s="1">
        <v>145</v>
      </c>
      <c r="H105" s="1">
        <v>12</v>
      </c>
      <c r="I105" s="1"/>
      <c r="M105" s="1"/>
      <c r="N105" s="1" t="s">
        <v>8</v>
      </c>
      <c r="O105" s="11">
        <f t="shared" ref="O105:O108" si="21">D105/$H$109</f>
        <v>4.1928721174004195E-3</v>
      </c>
      <c r="P105" s="15">
        <f t="shared" si="20"/>
        <v>2.20125786163522E-2</v>
      </c>
      <c r="Q105" s="12">
        <f t="shared" si="20"/>
        <v>6.1844863731656187E-2</v>
      </c>
      <c r="R105" s="12">
        <f t="shared" si="20"/>
        <v>0.15199161425576521</v>
      </c>
      <c r="S105" s="13">
        <f t="shared" si="20"/>
        <v>1.2578616352201259E-2</v>
      </c>
      <c r="X105" t="s">
        <v>33</v>
      </c>
      <c r="Y105" s="17">
        <f>(Z103+Y103)/(X103+Y103+Z103+AA103+AC103)*100</f>
        <v>24.259681093394075</v>
      </c>
    </row>
    <row r="106" spans="2:29">
      <c r="B106" s="1"/>
      <c r="C106" s="1" t="s">
        <v>3</v>
      </c>
      <c r="D106" s="1">
        <v>4</v>
      </c>
      <c r="E106" s="1">
        <v>15</v>
      </c>
      <c r="F106" s="1">
        <v>282</v>
      </c>
      <c r="G106" s="1">
        <v>15</v>
      </c>
      <c r="H106" s="1">
        <v>1</v>
      </c>
      <c r="I106" s="1"/>
      <c r="M106" s="1"/>
      <c r="N106" s="1" t="s">
        <v>3</v>
      </c>
      <c r="O106" s="11">
        <f t="shared" si="21"/>
        <v>4.1928721174004195E-3</v>
      </c>
      <c r="P106" s="12">
        <f t="shared" si="20"/>
        <v>1.5723270440251572E-2</v>
      </c>
      <c r="Q106" s="12">
        <f t="shared" si="20"/>
        <v>0.29559748427672955</v>
      </c>
      <c r="R106" s="12">
        <f t="shared" si="20"/>
        <v>1.5723270440251572E-2</v>
      </c>
      <c r="S106" s="13">
        <f t="shared" si="20"/>
        <v>1.0482180293501049E-3</v>
      </c>
      <c r="X106" t="s">
        <v>34</v>
      </c>
      <c r="Y106" s="17">
        <f>(X103+Y103+AC103)/(X103+Y103+Z103+AA103+AC103)*(-100)</f>
        <v>-14.80637813211845</v>
      </c>
    </row>
    <row r="107" spans="2:29">
      <c r="B107" s="1"/>
      <c r="C107" s="1" t="s">
        <v>9</v>
      </c>
      <c r="D107" s="1">
        <v>1</v>
      </c>
      <c r="E107" s="1">
        <v>19</v>
      </c>
      <c r="F107" s="1">
        <v>68</v>
      </c>
      <c r="G107" s="1">
        <v>38</v>
      </c>
      <c r="H107" s="1">
        <v>11</v>
      </c>
      <c r="I107" s="1"/>
      <c r="M107" s="1"/>
      <c r="N107" s="1" t="s">
        <v>9</v>
      </c>
      <c r="O107" s="11">
        <f t="shared" si="21"/>
        <v>1.0482180293501049E-3</v>
      </c>
      <c r="P107" s="12">
        <f t="shared" si="20"/>
        <v>1.9916142557651992E-2</v>
      </c>
      <c r="Q107" s="12">
        <f t="shared" si="20"/>
        <v>7.1278825995807121E-2</v>
      </c>
      <c r="R107" s="15">
        <f t="shared" si="20"/>
        <v>3.9832285115303984E-2</v>
      </c>
      <c r="S107" s="13">
        <f t="shared" si="20"/>
        <v>1.1530398322851153E-2</v>
      </c>
    </row>
    <row r="108" spans="2:29">
      <c r="B108" s="1"/>
      <c r="C108" s="1" t="s">
        <v>10</v>
      </c>
      <c r="D108" s="1">
        <v>14</v>
      </c>
      <c r="E108" s="1">
        <v>5</v>
      </c>
      <c r="F108" s="1">
        <v>4</v>
      </c>
      <c r="G108" s="1">
        <v>6</v>
      </c>
      <c r="H108" s="1">
        <v>10</v>
      </c>
      <c r="I108" s="1"/>
      <c r="M108" s="1"/>
      <c r="N108" s="1" t="s">
        <v>10</v>
      </c>
      <c r="O108" s="11">
        <f t="shared" si="21"/>
        <v>1.4675052410901468E-2</v>
      </c>
      <c r="P108" s="11">
        <f t="shared" si="20"/>
        <v>5.2410901467505244E-3</v>
      </c>
      <c r="Q108" s="11">
        <f t="shared" si="20"/>
        <v>4.1928721174004195E-3</v>
      </c>
      <c r="R108" s="11">
        <f t="shared" si="20"/>
        <v>6.2893081761006293E-3</v>
      </c>
      <c r="S108" s="15">
        <f t="shared" si="20"/>
        <v>1.0482180293501049E-2</v>
      </c>
    </row>
    <row r="109" spans="2:29">
      <c r="H109" s="1">
        <v>954</v>
      </c>
      <c r="S109" s="14">
        <f>SUM(O104:S108)</f>
        <v>1</v>
      </c>
    </row>
    <row r="111" spans="2:29">
      <c r="B111" s="2" t="s">
        <v>21</v>
      </c>
      <c r="C111" s="1"/>
      <c r="D111" s="1"/>
      <c r="E111" s="1"/>
      <c r="F111" s="1"/>
      <c r="G111" s="1"/>
      <c r="H111" s="1"/>
      <c r="M111" s="2" t="s">
        <v>21</v>
      </c>
      <c r="N111" s="1"/>
      <c r="O111" s="1"/>
      <c r="P111" s="1"/>
      <c r="Q111" s="1"/>
      <c r="R111" s="1"/>
      <c r="S111" s="1"/>
      <c r="X111" s="2" t="s">
        <v>21</v>
      </c>
    </row>
    <row r="112" spans="2:29">
      <c r="B112" s="1"/>
      <c r="C112" s="1"/>
      <c r="D112" s="1" t="s">
        <v>0</v>
      </c>
      <c r="E112" s="1"/>
      <c r="F112" s="1"/>
      <c r="G112" s="1"/>
      <c r="H112" s="1"/>
      <c r="M112" s="1"/>
      <c r="N112" s="1"/>
      <c r="O112" s="1" t="s">
        <v>0</v>
      </c>
      <c r="P112" s="1"/>
      <c r="Q112" s="1"/>
      <c r="R112" s="1"/>
      <c r="S112" s="1"/>
      <c r="X112" s="6" t="s">
        <v>27</v>
      </c>
      <c r="Y112" s="4" t="s">
        <v>28</v>
      </c>
      <c r="Z112" s="3" t="s">
        <v>29</v>
      </c>
      <c r="AA112" s="5" t="s">
        <v>30</v>
      </c>
      <c r="AB112" s="1" t="s">
        <v>31</v>
      </c>
      <c r="AC112" s="7" t="s">
        <v>32</v>
      </c>
    </row>
    <row r="113" spans="2:29">
      <c r="B113" s="1"/>
      <c r="C113" s="1"/>
      <c r="D113" s="1" t="s">
        <v>1</v>
      </c>
      <c r="E113" s="1" t="s">
        <v>2</v>
      </c>
      <c r="F113" s="1" t="s">
        <v>3</v>
      </c>
      <c r="G113" s="1" t="s">
        <v>4</v>
      </c>
      <c r="H113" s="1" t="s">
        <v>5</v>
      </c>
      <c r="M113" s="1"/>
      <c r="N113" s="1"/>
      <c r="O113" s="1" t="s">
        <v>1</v>
      </c>
      <c r="P113" s="1" t="s">
        <v>2</v>
      </c>
      <c r="Q113" s="1" t="s">
        <v>3</v>
      </c>
      <c r="R113" s="1" t="s">
        <v>4</v>
      </c>
      <c r="S113" s="1" t="s">
        <v>5</v>
      </c>
      <c r="X113" s="16">
        <f>SUM(S115:S117)</f>
        <v>8.2035306334371755E-2</v>
      </c>
      <c r="Y113" s="16">
        <f>S114</f>
        <v>0.23364485981308411</v>
      </c>
      <c r="Z113" s="16">
        <f>SUM(P114:R114)</f>
        <v>0.14122533748701974</v>
      </c>
      <c r="AA113" s="16">
        <f>SUM(Q115:R116,P116:P117,Q117)</f>
        <v>0.40602284527518173</v>
      </c>
      <c r="AB113" s="16">
        <f>SUM(R117:S118,O114,P115)</f>
        <v>0.10695742471443406</v>
      </c>
      <c r="AC113" s="16">
        <f>SUM(O115:O118,P118:R118)</f>
        <v>4.1536863966770504E-2</v>
      </c>
    </row>
    <row r="114" spans="2:29">
      <c r="B114" s="1" t="s">
        <v>6</v>
      </c>
      <c r="C114" s="1" t="s">
        <v>7</v>
      </c>
      <c r="D114" s="1">
        <v>17</v>
      </c>
      <c r="E114" s="1">
        <v>15</v>
      </c>
      <c r="F114" s="1">
        <v>19</v>
      </c>
      <c r="G114" s="1">
        <v>102</v>
      </c>
      <c r="H114" s="1">
        <v>225</v>
      </c>
      <c r="M114" s="1" t="s">
        <v>6</v>
      </c>
      <c r="N114" s="1" t="s">
        <v>7</v>
      </c>
      <c r="O114" s="8">
        <f t="shared" ref="O114:O117" si="22">D114/$H$119</f>
        <v>1.7653167185877467E-2</v>
      </c>
      <c r="P114" s="9">
        <f t="shared" ref="P114:P117" si="23">E114/$H$119</f>
        <v>1.5576323987538941E-2</v>
      </c>
      <c r="Q114" s="9">
        <f t="shared" ref="Q114:Q117" si="24">F114/$H$119</f>
        <v>1.9730010384215992E-2</v>
      </c>
      <c r="R114" s="9">
        <f t="shared" ref="R114:R117" si="25">G114/$H$119</f>
        <v>0.1059190031152648</v>
      </c>
      <c r="S114" s="10">
        <f t="shared" ref="S114:S117" si="26">H114/$H$119</f>
        <v>0.23364485981308411</v>
      </c>
    </row>
    <row r="115" spans="2:29">
      <c r="B115" s="1"/>
      <c r="C115" s="1" t="s">
        <v>8</v>
      </c>
      <c r="D115" s="1">
        <v>5</v>
      </c>
      <c r="E115" s="1">
        <v>27</v>
      </c>
      <c r="F115" s="1">
        <v>48</v>
      </c>
      <c r="G115" s="1">
        <v>110</v>
      </c>
      <c r="H115" s="1">
        <v>75</v>
      </c>
      <c r="M115" s="1"/>
      <c r="N115" s="1" t="s">
        <v>8</v>
      </c>
      <c r="O115" s="11">
        <f t="shared" si="22"/>
        <v>5.1921079958463139E-3</v>
      </c>
      <c r="P115" s="15">
        <f t="shared" si="23"/>
        <v>2.8037383177570093E-2</v>
      </c>
      <c r="Q115" s="12">
        <f t="shared" si="24"/>
        <v>4.9844236760124609E-2</v>
      </c>
      <c r="R115" s="12">
        <f t="shared" si="25"/>
        <v>0.11422637590861889</v>
      </c>
      <c r="S115" s="13">
        <f t="shared" si="26"/>
        <v>7.7881619937694699E-2</v>
      </c>
      <c r="X115" t="s">
        <v>33</v>
      </c>
      <c r="Y115" s="17">
        <f>(Z113+Y113)/(X113+Y113+Z113+AA113+AC113)*100</f>
        <v>41.446613088404135</v>
      </c>
    </row>
    <row r="116" spans="2:29">
      <c r="B116" s="1"/>
      <c r="C116" s="1" t="s">
        <v>3</v>
      </c>
      <c r="D116" s="1">
        <v>2</v>
      </c>
      <c r="E116" s="1">
        <v>7</v>
      </c>
      <c r="F116" s="1">
        <v>149</v>
      </c>
      <c r="G116" s="1">
        <v>8</v>
      </c>
      <c r="H116" s="1">
        <v>1</v>
      </c>
      <c r="M116" s="1"/>
      <c r="N116" s="1" t="s">
        <v>3</v>
      </c>
      <c r="O116" s="11">
        <f t="shared" si="22"/>
        <v>2.0768431983385254E-3</v>
      </c>
      <c r="P116" s="12">
        <f t="shared" si="23"/>
        <v>7.2689511941848393E-3</v>
      </c>
      <c r="Q116" s="12">
        <f t="shared" si="24"/>
        <v>0.15472481827622014</v>
      </c>
      <c r="R116" s="12">
        <f t="shared" si="25"/>
        <v>8.3073727933541015E-3</v>
      </c>
      <c r="S116" s="13">
        <f t="shared" si="26"/>
        <v>1.0384215991692627E-3</v>
      </c>
      <c r="X116" t="s">
        <v>34</v>
      </c>
      <c r="Y116" s="17">
        <f>(X113+Y113+AC113)/(X113+Y113+Z113+AA113+AC113)*(-100)</f>
        <v>-39.494833524684267</v>
      </c>
    </row>
    <row r="117" spans="2:29">
      <c r="B117" s="1"/>
      <c r="C117" s="1" t="s">
        <v>9</v>
      </c>
      <c r="D117" s="1">
        <v>3</v>
      </c>
      <c r="E117" s="1">
        <v>16</v>
      </c>
      <c r="F117" s="1">
        <v>53</v>
      </c>
      <c r="G117" s="1">
        <v>33</v>
      </c>
      <c r="H117" s="1">
        <v>3</v>
      </c>
      <c r="M117" s="1"/>
      <c r="N117" s="1" t="s">
        <v>9</v>
      </c>
      <c r="O117" s="11">
        <f t="shared" si="22"/>
        <v>3.1152647975077881E-3</v>
      </c>
      <c r="P117" s="12">
        <f t="shared" si="23"/>
        <v>1.6614745586708203E-2</v>
      </c>
      <c r="Q117" s="12">
        <f t="shared" si="24"/>
        <v>5.5036344755970926E-2</v>
      </c>
      <c r="R117" s="15">
        <f t="shared" si="25"/>
        <v>3.4267912772585667E-2</v>
      </c>
      <c r="S117" s="13">
        <f t="shared" si="26"/>
        <v>3.1152647975077881E-3</v>
      </c>
    </row>
    <row r="118" spans="2:29">
      <c r="B118" s="1"/>
      <c r="C118" s="1" t="s">
        <v>10</v>
      </c>
      <c r="D118" s="1">
        <v>14</v>
      </c>
      <c r="E118" s="1">
        <v>4</v>
      </c>
      <c r="F118" s="1">
        <v>4</v>
      </c>
      <c r="G118" s="1">
        <v>8</v>
      </c>
      <c r="H118" s="1">
        <v>15</v>
      </c>
      <c r="M118" s="1"/>
      <c r="N118" s="1" t="s">
        <v>10</v>
      </c>
      <c r="O118" s="11">
        <f t="shared" ref="O118" si="27">D118/$H$119</f>
        <v>1.4537902388369679E-2</v>
      </c>
      <c r="P118" s="11">
        <f t="shared" ref="P118" si="28">E118/$H$119</f>
        <v>4.1536863966770508E-3</v>
      </c>
      <c r="Q118" s="11">
        <f t="shared" ref="Q118" si="29">F118/$H$119</f>
        <v>4.1536863966770508E-3</v>
      </c>
      <c r="R118" s="11">
        <f t="shared" ref="R118" si="30">G118/$H$119</f>
        <v>8.3073727933541015E-3</v>
      </c>
      <c r="S118" s="15">
        <f t="shared" ref="S118" si="31">H118/$H$119</f>
        <v>1.5576323987538941E-2</v>
      </c>
    </row>
    <row r="119" spans="2:29">
      <c r="H119" s="1">
        <v>963</v>
      </c>
      <c r="S119" s="14">
        <f>SUM(O114:S118)</f>
        <v>1</v>
      </c>
    </row>
    <row r="121" spans="2:29">
      <c r="B121" s="2" t="s">
        <v>22</v>
      </c>
      <c r="C121" s="1"/>
      <c r="D121" s="1"/>
      <c r="E121" s="1"/>
      <c r="F121" s="1"/>
      <c r="G121" s="1"/>
      <c r="H121" s="1"/>
      <c r="M121" s="2" t="s">
        <v>22</v>
      </c>
      <c r="N121" s="1"/>
      <c r="O121" s="1"/>
      <c r="P121" s="1"/>
      <c r="Q121" s="1"/>
      <c r="R121" s="1"/>
      <c r="S121" s="1"/>
      <c r="X121" s="2" t="s">
        <v>22</v>
      </c>
    </row>
    <row r="122" spans="2:29">
      <c r="B122" s="1"/>
      <c r="C122" s="1"/>
      <c r="D122" s="1" t="s">
        <v>0</v>
      </c>
      <c r="E122" s="1"/>
      <c r="F122" s="1"/>
      <c r="G122" s="1"/>
      <c r="H122" s="1"/>
      <c r="M122" s="1"/>
      <c r="N122" s="1"/>
      <c r="O122" s="1" t="s">
        <v>0</v>
      </c>
      <c r="P122" s="1"/>
      <c r="Q122" s="1"/>
      <c r="R122" s="1"/>
      <c r="S122" s="1"/>
      <c r="X122" s="6" t="s">
        <v>27</v>
      </c>
      <c r="Y122" s="4" t="s">
        <v>28</v>
      </c>
      <c r="Z122" s="3" t="s">
        <v>29</v>
      </c>
      <c r="AA122" s="5" t="s">
        <v>30</v>
      </c>
      <c r="AB122" s="1" t="s">
        <v>31</v>
      </c>
      <c r="AC122" s="7" t="s">
        <v>32</v>
      </c>
    </row>
    <row r="123" spans="2:29">
      <c r="B123" s="1"/>
      <c r="C123" s="1"/>
      <c r="D123" s="1" t="s">
        <v>1</v>
      </c>
      <c r="E123" s="1" t="s">
        <v>2</v>
      </c>
      <c r="F123" s="1" t="s">
        <v>3</v>
      </c>
      <c r="G123" s="1" t="s">
        <v>4</v>
      </c>
      <c r="H123" s="1" t="s">
        <v>5</v>
      </c>
      <c r="M123" s="1"/>
      <c r="N123" s="1"/>
      <c r="O123" s="1" t="s">
        <v>1</v>
      </c>
      <c r="P123" s="1" t="s">
        <v>2</v>
      </c>
      <c r="Q123" s="1" t="s">
        <v>3</v>
      </c>
      <c r="R123" s="1" t="s">
        <v>4</v>
      </c>
      <c r="S123" s="1" t="s">
        <v>5</v>
      </c>
      <c r="X123" s="16">
        <f>SUM(S125:S127)</f>
        <v>3.4042553191489362E-2</v>
      </c>
      <c r="Y123" s="16">
        <f>S124</f>
        <v>8.4042553191489358E-2</v>
      </c>
      <c r="Z123" s="16">
        <f>SUM(P124:R124)</f>
        <v>0.15744680851063828</v>
      </c>
      <c r="AA123" s="16">
        <f>SUM(Q125:R126,P126:P127,Q127)</f>
        <v>0.58297872340425538</v>
      </c>
      <c r="AB123" s="16">
        <f>SUM(R127:S128,O124,P125)</f>
        <v>0.11808510638297873</v>
      </c>
      <c r="AC123" s="16">
        <f>SUM(O125:O128,P128:R128)</f>
        <v>3.1914893617021274E-2</v>
      </c>
    </row>
    <row r="124" spans="2:29">
      <c r="B124" s="1" t="s">
        <v>6</v>
      </c>
      <c r="C124" s="1" t="s">
        <v>7</v>
      </c>
      <c r="D124" s="1">
        <v>14</v>
      </c>
      <c r="E124" s="1">
        <v>4</v>
      </c>
      <c r="F124" s="1">
        <v>26</v>
      </c>
      <c r="G124" s="1">
        <v>118</v>
      </c>
      <c r="H124" s="1">
        <v>79</v>
      </c>
      <c r="M124" s="1" t="s">
        <v>6</v>
      </c>
      <c r="N124" s="1" t="s">
        <v>7</v>
      </c>
      <c r="O124" s="8">
        <f>D124/$H$129</f>
        <v>1.4893617021276596E-2</v>
      </c>
      <c r="P124" s="9">
        <f t="shared" ref="P124:S128" si="32">E124/$H$129</f>
        <v>4.2553191489361703E-3</v>
      </c>
      <c r="Q124" s="9">
        <f t="shared" si="32"/>
        <v>2.7659574468085105E-2</v>
      </c>
      <c r="R124" s="9">
        <f t="shared" si="32"/>
        <v>0.12553191489361701</v>
      </c>
      <c r="S124" s="10">
        <f t="shared" si="32"/>
        <v>8.4042553191489358E-2</v>
      </c>
    </row>
    <row r="125" spans="2:29">
      <c r="B125" s="1"/>
      <c r="C125" s="1" t="s">
        <v>8</v>
      </c>
      <c r="D125" s="1">
        <v>3</v>
      </c>
      <c r="E125" s="1">
        <v>23</v>
      </c>
      <c r="F125" s="1">
        <v>40</v>
      </c>
      <c r="G125" s="1">
        <v>148</v>
      </c>
      <c r="H125" s="1">
        <v>26</v>
      </c>
      <c r="M125" s="1"/>
      <c r="N125" s="1" t="s">
        <v>8</v>
      </c>
      <c r="O125" s="11">
        <f t="shared" ref="O125:O128" si="33">D125/$H$129</f>
        <v>3.1914893617021275E-3</v>
      </c>
      <c r="P125" s="15">
        <f t="shared" si="32"/>
        <v>2.4468085106382979E-2</v>
      </c>
      <c r="Q125" s="12">
        <f t="shared" si="32"/>
        <v>4.2553191489361701E-2</v>
      </c>
      <c r="R125" s="12">
        <f t="shared" si="32"/>
        <v>0.1574468085106383</v>
      </c>
      <c r="S125" s="13">
        <f t="shared" si="32"/>
        <v>2.7659574468085105E-2</v>
      </c>
      <c r="X125" t="s">
        <v>33</v>
      </c>
      <c r="Y125" s="17">
        <f>(Z123+Y123)/(X123+Y123+Z123+AA123+AC123)*100</f>
        <v>27.120669056152924</v>
      </c>
    </row>
    <row r="126" spans="2:29">
      <c r="B126" s="1"/>
      <c r="C126" s="1" t="s">
        <v>3</v>
      </c>
      <c r="D126" s="1">
        <v>2</v>
      </c>
      <c r="E126" s="1">
        <v>15</v>
      </c>
      <c r="F126" s="1">
        <v>226</v>
      </c>
      <c r="G126" s="1">
        <v>21</v>
      </c>
      <c r="H126" s="1">
        <v>2</v>
      </c>
      <c r="M126" s="1"/>
      <c r="N126" s="1" t="s">
        <v>3</v>
      </c>
      <c r="O126" s="11">
        <f t="shared" si="33"/>
        <v>2.1276595744680851E-3</v>
      </c>
      <c r="P126" s="12">
        <f t="shared" si="32"/>
        <v>1.5957446808510637E-2</v>
      </c>
      <c r="Q126" s="12">
        <f t="shared" si="32"/>
        <v>0.2404255319148936</v>
      </c>
      <c r="R126" s="12">
        <f t="shared" si="32"/>
        <v>2.2340425531914895E-2</v>
      </c>
      <c r="S126" s="13">
        <f t="shared" si="32"/>
        <v>2.1276595744680851E-3</v>
      </c>
      <c r="X126" t="s">
        <v>34</v>
      </c>
      <c r="Y126" s="17">
        <f>(X123+Y123+AC123)/(X123+Y123+Z123+AA123+AC123)*(-100)</f>
        <v>-16.845878136200714</v>
      </c>
    </row>
    <row r="127" spans="2:29">
      <c r="B127" s="1"/>
      <c r="C127" s="1" t="s">
        <v>9</v>
      </c>
      <c r="D127" s="1">
        <v>5</v>
      </c>
      <c r="E127" s="1">
        <v>30</v>
      </c>
      <c r="F127" s="1">
        <v>68</v>
      </c>
      <c r="G127" s="1">
        <v>60</v>
      </c>
      <c r="H127" s="1">
        <v>4</v>
      </c>
      <c r="M127" s="1"/>
      <c r="N127" s="1" t="s">
        <v>9</v>
      </c>
      <c r="O127" s="11">
        <f t="shared" si="33"/>
        <v>5.3191489361702126E-3</v>
      </c>
      <c r="P127" s="12">
        <f t="shared" si="32"/>
        <v>3.1914893617021274E-2</v>
      </c>
      <c r="Q127" s="12">
        <f t="shared" si="32"/>
        <v>7.2340425531914887E-2</v>
      </c>
      <c r="R127" s="15">
        <f t="shared" si="32"/>
        <v>6.3829787234042548E-2</v>
      </c>
      <c r="S127" s="13">
        <f t="shared" si="32"/>
        <v>4.2553191489361703E-3</v>
      </c>
    </row>
    <row r="128" spans="2:29">
      <c r="B128" s="1"/>
      <c r="C128" s="1" t="s">
        <v>10</v>
      </c>
      <c r="D128" s="1">
        <v>7</v>
      </c>
      <c r="E128" s="1">
        <v>6</v>
      </c>
      <c r="F128" s="1">
        <v>3</v>
      </c>
      <c r="G128" s="1">
        <v>4</v>
      </c>
      <c r="H128" s="1">
        <v>6</v>
      </c>
      <c r="M128" s="1"/>
      <c r="N128" s="1" t="s">
        <v>10</v>
      </c>
      <c r="O128" s="11">
        <f t="shared" si="33"/>
        <v>7.4468085106382982E-3</v>
      </c>
      <c r="P128" s="11">
        <f t="shared" si="32"/>
        <v>6.382978723404255E-3</v>
      </c>
      <c r="Q128" s="11">
        <f t="shared" si="32"/>
        <v>3.1914893617021275E-3</v>
      </c>
      <c r="R128" s="11">
        <f t="shared" si="32"/>
        <v>4.2553191489361703E-3</v>
      </c>
      <c r="S128" s="15">
        <f t="shared" si="32"/>
        <v>6.382978723404255E-3</v>
      </c>
    </row>
    <row r="129" spans="2:29">
      <c r="H129" s="1">
        <v>940</v>
      </c>
      <c r="S129" s="14">
        <f>SUM(O124:S128)</f>
        <v>0.99999999999999967</v>
      </c>
    </row>
    <row r="131" spans="2:29">
      <c r="B131" s="2" t="s">
        <v>23</v>
      </c>
      <c r="C131" s="1"/>
      <c r="D131" s="1"/>
      <c r="E131" s="1"/>
      <c r="F131" s="1"/>
      <c r="G131" s="1"/>
      <c r="H131" s="1"/>
      <c r="M131" s="2" t="s">
        <v>23</v>
      </c>
      <c r="N131" s="1"/>
      <c r="O131" s="1"/>
      <c r="P131" s="1"/>
      <c r="Q131" s="1"/>
      <c r="R131" s="1"/>
      <c r="S131" s="1"/>
      <c r="X131" s="2" t="s">
        <v>23</v>
      </c>
    </row>
    <row r="132" spans="2:29">
      <c r="B132" s="1"/>
      <c r="C132" s="1"/>
      <c r="D132" s="1" t="s">
        <v>0</v>
      </c>
      <c r="E132" s="1"/>
      <c r="F132" s="1"/>
      <c r="G132" s="1"/>
      <c r="H132" s="1"/>
      <c r="M132" s="1"/>
      <c r="N132" s="1"/>
      <c r="O132" s="1" t="s">
        <v>0</v>
      </c>
      <c r="P132" s="1"/>
      <c r="Q132" s="1"/>
      <c r="R132" s="1"/>
      <c r="S132" s="1"/>
      <c r="X132" s="6" t="s">
        <v>27</v>
      </c>
      <c r="Y132" s="4" t="s">
        <v>28</v>
      </c>
      <c r="Z132" s="3" t="s">
        <v>29</v>
      </c>
      <c r="AA132" s="5" t="s">
        <v>30</v>
      </c>
      <c r="AB132" s="1" t="s">
        <v>31</v>
      </c>
      <c r="AC132" s="7" t="s">
        <v>32</v>
      </c>
    </row>
    <row r="133" spans="2:29">
      <c r="B133" s="1"/>
      <c r="C133" s="1"/>
      <c r="D133" s="1" t="s">
        <v>1</v>
      </c>
      <c r="E133" s="1" t="s">
        <v>2</v>
      </c>
      <c r="F133" s="1" t="s">
        <v>3</v>
      </c>
      <c r="G133" s="1" t="s">
        <v>4</v>
      </c>
      <c r="H133" s="1" t="s">
        <v>5</v>
      </c>
      <c r="M133" s="1"/>
      <c r="N133" s="1"/>
      <c r="O133" s="1" t="s">
        <v>1</v>
      </c>
      <c r="P133" s="1" t="s">
        <v>2</v>
      </c>
      <c r="Q133" s="1" t="s">
        <v>3</v>
      </c>
      <c r="R133" s="1" t="s">
        <v>4</v>
      </c>
      <c r="S133" s="1" t="s">
        <v>5</v>
      </c>
      <c r="X133" s="16">
        <f>SUM(S135:S137)</f>
        <v>2.7339642481598318E-2</v>
      </c>
      <c r="Y133" s="16">
        <f>S134</f>
        <v>9.5688748685594113E-2</v>
      </c>
      <c r="Z133" s="16">
        <f>SUM(P134:R134)</f>
        <v>0.14511041009463724</v>
      </c>
      <c r="AA133" s="16">
        <f>SUM(Q135:R136,P136:P137,Q137)</f>
        <v>0.604626708727655</v>
      </c>
      <c r="AB133" s="16">
        <f>SUM(R137:S138,O134,P135)</f>
        <v>9.5688748685594127E-2</v>
      </c>
      <c r="AC133" s="16">
        <f>SUM(O135:O138,P138:R138)</f>
        <v>4.4164037854889593E-2</v>
      </c>
    </row>
    <row r="134" spans="2:29">
      <c r="B134" s="1" t="s">
        <v>6</v>
      </c>
      <c r="C134" s="1" t="s">
        <v>7</v>
      </c>
      <c r="D134" s="1">
        <v>10</v>
      </c>
      <c r="E134" s="1">
        <v>14</v>
      </c>
      <c r="F134" s="1">
        <v>21</v>
      </c>
      <c r="G134" s="1">
        <v>103</v>
      </c>
      <c r="H134" s="1">
        <v>91</v>
      </c>
      <c r="M134" s="1" t="s">
        <v>6</v>
      </c>
      <c r="N134" s="1" t="s">
        <v>7</v>
      </c>
      <c r="O134" s="8">
        <f>D134/$H$139</f>
        <v>1.0515247108307046E-2</v>
      </c>
      <c r="P134" s="9">
        <f t="shared" ref="P134:S138" si="34">E134/$H$139</f>
        <v>1.4721345951629864E-2</v>
      </c>
      <c r="Q134" s="9">
        <f t="shared" si="34"/>
        <v>2.2082018927444796E-2</v>
      </c>
      <c r="R134" s="9">
        <f t="shared" si="34"/>
        <v>0.10830704521556257</v>
      </c>
      <c r="S134" s="10">
        <f t="shared" si="34"/>
        <v>9.5688748685594113E-2</v>
      </c>
    </row>
    <row r="135" spans="2:29">
      <c r="B135" s="1"/>
      <c r="C135" s="1" t="s">
        <v>8</v>
      </c>
      <c r="D135" s="1">
        <v>3</v>
      </c>
      <c r="E135" s="1">
        <v>20</v>
      </c>
      <c r="F135" s="1">
        <v>52</v>
      </c>
      <c r="G135" s="1">
        <v>139</v>
      </c>
      <c r="H135" s="1">
        <v>19</v>
      </c>
      <c r="M135" s="1"/>
      <c r="N135" s="1" t="s">
        <v>8</v>
      </c>
      <c r="O135" s="11">
        <f t="shared" ref="O135:O138" si="35">D135/$H$139</f>
        <v>3.1545741324921135E-3</v>
      </c>
      <c r="P135" s="15">
        <f t="shared" si="34"/>
        <v>2.1030494216614092E-2</v>
      </c>
      <c r="Q135" s="12">
        <f t="shared" si="34"/>
        <v>5.4679284963196635E-2</v>
      </c>
      <c r="R135" s="12">
        <f t="shared" si="34"/>
        <v>0.14616193480546794</v>
      </c>
      <c r="S135" s="13">
        <f t="shared" si="34"/>
        <v>1.9978969505783387E-2</v>
      </c>
      <c r="X135" t="s">
        <v>33</v>
      </c>
      <c r="Y135" s="17">
        <f>(Z133+Y133)/(X133+Y133+Z133+AA133+AC133)*100</f>
        <v>26.261467889908264</v>
      </c>
    </row>
    <row r="136" spans="2:29">
      <c r="B136" s="1"/>
      <c r="C136" s="1" t="s">
        <v>3</v>
      </c>
      <c r="D136" s="1">
        <v>1</v>
      </c>
      <c r="E136" s="1">
        <v>10</v>
      </c>
      <c r="F136" s="1">
        <v>253</v>
      </c>
      <c r="G136" s="1">
        <v>17</v>
      </c>
      <c r="H136" s="1">
        <v>0</v>
      </c>
      <c r="M136" s="1"/>
      <c r="N136" s="1" t="s">
        <v>3</v>
      </c>
      <c r="O136" s="11">
        <f t="shared" si="35"/>
        <v>1.0515247108307045E-3</v>
      </c>
      <c r="P136" s="12">
        <f t="shared" si="34"/>
        <v>1.0515247108307046E-2</v>
      </c>
      <c r="Q136" s="12">
        <f t="shared" si="34"/>
        <v>0.26603575184016826</v>
      </c>
      <c r="R136" s="12">
        <f t="shared" si="34"/>
        <v>1.7875920084121977E-2</v>
      </c>
      <c r="S136" s="13">
        <f t="shared" si="34"/>
        <v>0</v>
      </c>
      <c r="X136" t="s">
        <v>34</v>
      </c>
      <c r="Y136" s="17">
        <f>(X133+Y133+AC133)/(X133+Y133+Z133+AA133+AC133)*(-100)</f>
        <v>-18.233944954128447</v>
      </c>
    </row>
    <row r="137" spans="2:29">
      <c r="B137" s="1"/>
      <c r="C137" s="1" t="s">
        <v>9</v>
      </c>
      <c r="D137" s="1">
        <v>1</v>
      </c>
      <c r="E137" s="1">
        <v>30</v>
      </c>
      <c r="F137" s="1">
        <v>74</v>
      </c>
      <c r="G137" s="1">
        <v>43</v>
      </c>
      <c r="H137" s="1">
        <v>7</v>
      </c>
      <c r="M137" s="1"/>
      <c r="N137" s="1" t="s">
        <v>9</v>
      </c>
      <c r="O137" s="11">
        <f t="shared" si="35"/>
        <v>1.0515247108307045E-3</v>
      </c>
      <c r="P137" s="12">
        <f t="shared" si="34"/>
        <v>3.1545741324921134E-2</v>
      </c>
      <c r="Q137" s="12">
        <f t="shared" si="34"/>
        <v>7.7812828601472137E-2</v>
      </c>
      <c r="R137" s="15">
        <f t="shared" si="34"/>
        <v>4.5215562565720298E-2</v>
      </c>
      <c r="S137" s="13">
        <f t="shared" si="34"/>
        <v>7.3606729758149319E-3</v>
      </c>
    </row>
    <row r="138" spans="2:29">
      <c r="B138" s="1"/>
      <c r="C138" s="1" t="s">
        <v>10</v>
      </c>
      <c r="D138" s="1">
        <v>24</v>
      </c>
      <c r="E138" s="1">
        <v>5</v>
      </c>
      <c r="F138" s="1">
        <v>3</v>
      </c>
      <c r="G138" s="1">
        <v>5</v>
      </c>
      <c r="H138" s="1">
        <v>6</v>
      </c>
      <c r="M138" s="1"/>
      <c r="N138" s="1" t="s">
        <v>10</v>
      </c>
      <c r="O138" s="11">
        <f t="shared" si="35"/>
        <v>2.5236593059936908E-2</v>
      </c>
      <c r="P138" s="11">
        <f t="shared" si="34"/>
        <v>5.2576235541535229E-3</v>
      </c>
      <c r="Q138" s="11">
        <f t="shared" si="34"/>
        <v>3.1545741324921135E-3</v>
      </c>
      <c r="R138" s="11">
        <f t="shared" si="34"/>
        <v>5.2576235541535229E-3</v>
      </c>
      <c r="S138" s="15">
        <f t="shared" si="34"/>
        <v>6.3091482649842269E-3</v>
      </c>
    </row>
    <row r="139" spans="2:29">
      <c r="H139" s="1">
        <v>951</v>
      </c>
      <c r="S139" s="14">
        <f>SUM(O134:S138)</f>
        <v>0.99999999999999978</v>
      </c>
    </row>
    <row r="141" spans="2:29">
      <c r="B141" s="2" t="s">
        <v>24</v>
      </c>
      <c r="C141" s="1"/>
      <c r="D141" s="1"/>
      <c r="E141" s="1"/>
      <c r="F141" s="1"/>
      <c r="G141" s="1"/>
      <c r="H141" s="1"/>
      <c r="M141" s="2" t="s">
        <v>24</v>
      </c>
      <c r="N141" s="1"/>
      <c r="O141" s="1"/>
      <c r="P141" s="1"/>
      <c r="Q141" s="1"/>
      <c r="R141" s="1"/>
      <c r="S141" s="1"/>
      <c r="X141" s="2" t="s">
        <v>24</v>
      </c>
    </row>
    <row r="142" spans="2:29">
      <c r="B142" s="1"/>
      <c r="C142" s="1"/>
      <c r="D142" s="1" t="s">
        <v>0</v>
      </c>
      <c r="E142" s="1"/>
      <c r="F142" s="1"/>
      <c r="G142" s="1"/>
      <c r="H142" s="1"/>
      <c r="M142" s="1"/>
      <c r="N142" s="1"/>
      <c r="O142" s="1" t="s">
        <v>0</v>
      </c>
      <c r="P142" s="1"/>
      <c r="Q142" s="1"/>
      <c r="R142" s="1"/>
      <c r="S142" s="1"/>
      <c r="X142" s="6" t="s">
        <v>27</v>
      </c>
      <c r="Y142" s="4" t="s">
        <v>28</v>
      </c>
      <c r="Z142" s="3" t="s">
        <v>29</v>
      </c>
      <c r="AA142" s="5" t="s">
        <v>30</v>
      </c>
      <c r="AB142" s="1" t="s">
        <v>31</v>
      </c>
      <c r="AC142" s="7" t="s">
        <v>32</v>
      </c>
    </row>
    <row r="143" spans="2:29">
      <c r="B143" s="1"/>
      <c r="C143" s="1"/>
      <c r="D143" s="1" t="s">
        <v>1</v>
      </c>
      <c r="E143" s="1" t="s">
        <v>2</v>
      </c>
      <c r="F143" s="1" t="s">
        <v>3</v>
      </c>
      <c r="G143" s="1" t="s">
        <v>4</v>
      </c>
      <c r="H143" s="1" t="s">
        <v>5</v>
      </c>
      <c r="M143" s="1"/>
      <c r="N143" s="1"/>
      <c r="O143" s="1" t="s">
        <v>1</v>
      </c>
      <c r="P143" s="1" t="s">
        <v>2</v>
      </c>
      <c r="Q143" s="1" t="s">
        <v>3</v>
      </c>
      <c r="R143" s="1" t="s">
        <v>4</v>
      </c>
      <c r="S143" s="1" t="s">
        <v>5</v>
      </c>
      <c r="X143" s="16">
        <f>SUM(S145:S147)</f>
        <v>3.4375000000000003E-2</v>
      </c>
      <c r="Y143" s="16">
        <f>S144</f>
        <v>9.2708333333333337E-2</v>
      </c>
      <c r="Z143" s="16">
        <f>SUM(P144:R144)</f>
        <v>0.11041666666666666</v>
      </c>
      <c r="AA143" s="16">
        <f>SUM(Q145:R146,P146:P147,Q147)</f>
        <v>0.62291666666666667</v>
      </c>
      <c r="AB143" s="16">
        <f>SUM(R147:S148,O144,P145)</f>
        <v>0.10833333333333334</v>
      </c>
      <c r="AC143" s="16">
        <f>SUM(O145:O148,P148:R148)</f>
        <v>3.5416666666666666E-2</v>
      </c>
    </row>
    <row r="144" spans="2:29">
      <c r="B144" s="1" t="s">
        <v>6</v>
      </c>
      <c r="C144" s="1" t="s">
        <v>7</v>
      </c>
      <c r="D144" s="1">
        <v>14</v>
      </c>
      <c r="E144" s="1">
        <v>6</v>
      </c>
      <c r="F144" s="1">
        <v>21</v>
      </c>
      <c r="G144" s="1">
        <v>79</v>
      </c>
      <c r="H144" s="1">
        <v>89</v>
      </c>
      <c r="M144" s="1" t="s">
        <v>6</v>
      </c>
      <c r="N144" s="1" t="s">
        <v>7</v>
      </c>
      <c r="O144" s="8">
        <f>D144/$H$149</f>
        <v>1.4583333333333334E-2</v>
      </c>
      <c r="P144" s="9">
        <f t="shared" ref="P144:S148" si="36">E144/$H$149</f>
        <v>6.2500000000000003E-3</v>
      </c>
      <c r="Q144" s="9">
        <f t="shared" si="36"/>
        <v>2.1874999999999999E-2</v>
      </c>
      <c r="R144" s="9">
        <f t="shared" si="36"/>
        <v>8.2291666666666666E-2</v>
      </c>
      <c r="S144" s="10">
        <f t="shared" si="36"/>
        <v>9.2708333333333337E-2</v>
      </c>
    </row>
    <row r="145" spans="2:25">
      <c r="B145" s="1"/>
      <c r="C145" s="1" t="s">
        <v>8</v>
      </c>
      <c r="D145" s="1">
        <v>3</v>
      </c>
      <c r="E145" s="1">
        <v>23</v>
      </c>
      <c r="F145" s="1">
        <v>52</v>
      </c>
      <c r="G145" s="1">
        <v>148</v>
      </c>
      <c r="H145" s="1">
        <v>33</v>
      </c>
      <c r="M145" s="1"/>
      <c r="N145" s="1" t="s">
        <v>8</v>
      </c>
      <c r="O145" s="11">
        <f t="shared" ref="O145:O148" si="37">D145/$H$149</f>
        <v>3.1250000000000002E-3</v>
      </c>
      <c r="P145" s="15">
        <f t="shared" si="36"/>
        <v>2.3958333333333335E-2</v>
      </c>
      <c r="Q145" s="12">
        <f t="shared" si="36"/>
        <v>5.4166666666666669E-2</v>
      </c>
      <c r="R145" s="12">
        <f t="shared" si="36"/>
        <v>0.15416666666666667</v>
      </c>
      <c r="S145" s="13">
        <f t="shared" si="36"/>
        <v>3.4375000000000003E-2</v>
      </c>
      <c r="X145" t="s">
        <v>33</v>
      </c>
      <c r="Y145" s="17">
        <f>(Z143+Y143)/(X143+Y143+Z143+AA143+AC143)*100</f>
        <v>22.674418604651166</v>
      </c>
    </row>
    <row r="146" spans="2:25">
      <c r="B146" s="1"/>
      <c r="C146" s="1" t="s">
        <v>3</v>
      </c>
      <c r="D146" s="1">
        <v>4</v>
      </c>
      <c r="E146" s="1">
        <v>13</v>
      </c>
      <c r="F146" s="1">
        <v>280</v>
      </c>
      <c r="G146" s="1">
        <v>13</v>
      </c>
      <c r="H146" s="1">
        <v>0</v>
      </c>
      <c r="M146" s="1"/>
      <c r="N146" s="1" t="s">
        <v>3</v>
      </c>
      <c r="O146" s="11">
        <f t="shared" si="37"/>
        <v>4.1666666666666666E-3</v>
      </c>
      <c r="P146" s="12">
        <f t="shared" si="36"/>
        <v>1.3541666666666667E-2</v>
      </c>
      <c r="Q146" s="12">
        <f t="shared" si="36"/>
        <v>0.29166666666666669</v>
      </c>
      <c r="R146" s="12">
        <f t="shared" si="36"/>
        <v>1.3541666666666667E-2</v>
      </c>
      <c r="S146" s="13">
        <f t="shared" si="36"/>
        <v>0</v>
      </c>
      <c r="X146" t="s">
        <v>34</v>
      </c>
      <c r="Y146" s="17">
        <f>(X143+Y143+AC143)/(X143+Y143+Z143+AA143+AC143)*(-100)</f>
        <v>-18.139534883720927</v>
      </c>
    </row>
    <row r="147" spans="2:25">
      <c r="B147" s="1"/>
      <c r="C147" s="1" t="s">
        <v>9</v>
      </c>
      <c r="D147" s="1">
        <v>2</v>
      </c>
      <c r="E147" s="1">
        <v>26</v>
      </c>
      <c r="F147" s="1">
        <v>66</v>
      </c>
      <c r="G147" s="1">
        <v>57</v>
      </c>
      <c r="H147" s="1">
        <v>0</v>
      </c>
      <c r="M147" s="1"/>
      <c r="N147" s="1" t="s">
        <v>9</v>
      </c>
      <c r="O147" s="11">
        <f t="shared" si="37"/>
        <v>2.0833333333333333E-3</v>
      </c>
      <c r="P147" s="12">
        <f t="shared" si="36"/>
        <v>2.7083333333333334E-2</v>
      </c>
      <c r="Q147" s="12">
        <f t="shared" si="36"/>
        <v>6.8750000000000006E-2</v>
      </c>
      <c r="R147" s="15">
        <f t="shared" si="36"/>
        <v>5.9374999999999997E-2</v>
      </c>
      <c r="S147" s="13">
        <f t="shared" si="36"/>
        <v>0</v>
      </c>
    </row>
    <row r="148" spans="2:25">
      <c r="B148" s="1"/>
      <c r="C148" s="1" t="s">
        <v>10</v>
      </c>
      <c r="D148" s="1">
        <v>5</v>
      </c>
      <c r="E148" s="1">
        <v>6</v>
      </c>
      <c r="F148" s="1">
        <v>10</v>
      </c>
      <c r="G148" s="1">
        <v>4</v>
      </c>
      <c r="H148" s="1">
        <v>6</v>
      </c>
      <c r="M148" s="1"/>
      <c r="N148" s="1" t="s">
        <v>10</v>
      </c>
      <c r="O148" s="11">
        <f t="shared" si="37"/>
        <v>5.208333333333333E-3</v>
      </c>
      <c r="P148" s="11">
        <f t="shared" si="36"/>
        <v>6.2500000000000003E-3</v>
      </c>
      <c r="Q148" s="11">
        <f t="shared" si="36"/>
        <v>1.0416666666666666E-2</v>
      </c>
      <c r="R148" s="11">
        <f t="shared" si="36"/>
        <v>4.1666666666666666E-3</v>
      </c>
      <c r="S148" s="15">
        <f t="shared" si="36"/>
        <v>6.2500000000000003E-3</v>
      </c>
    </row>
    <row r="149" spans="2:25">
      <c r="B149" s="1"/>
      <c r="C149" s="1"/>
      <c r="D149" s="1"/>
      <c r="E149" s="1"/>
      <c r="F149" s="1"/>
      <c r="G149" s="1"/>
      <c r="H149" s="1">
        <v>960</v>
      </c>
      <c r="M149" s="1"/>
      <c r="N149" s="1"/>
      <c r="O149" s="1"/>
      <c r="P149" s="1"/>
      <c r="Q149" s="1"/>
      <c r="R149" s="1"/>
      <c r="S149" s="8">
        <f>SUM(O144:S148)</f>
        <v>0.99999999999999989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17EDE-BBA0-BA41-A24B-E66C1E8FC084}">
  <sheetPr codeName="Лист2"/>
  <dimension ref="A1:C17"/>
  <sheetViews>
    <sheetView workbookViewId="0"/>
  </sheetViews>
  <sheetFormatPr defaultColWidth="11.19921875" defaultRowHeight="15.6"/>
  <cols>
    <col min="1" max="1" width="36.69921875" customWidth="1"/>
    <col min="2" max="2" width="18.19921875" bestFit="1" customWidth="1"/>
    <col min="3" max="3" width="20.19921875" bestFit="1" customWidth="1"/>
  </cols>
  <sheetData>
    <row r="1" spans="1:3">
      <c r="A1" s="1"/>
      <c r="B1" s="1" t="s">
        <v>35</v>
      </c>
      <c r="C1" s="1" t="s">
        <v>36</v>
      </c>
    </row>
    <row r="2" spans="1:3">
      <c r="A2" s="1" t="s">
        <v>37</v>
      </c>
      <c r="B2" s="18">
        <v>39.999999999999993</v>
      </c>
      <c r="C2" s="18">
        <v>-32.04545454545454</v>
      </c>
    </row>
    <row r="3" spans="1:3">
      <c r="A3" s="1" t="s">
        <v>38</v>
      </c>
      <c r="B3" s="19">
        <v>32.698768197088462</v>
      </c>
      <c r="C3" s="19">
        <v>-23.292273236282192</v>
      </c>
    </row>
    <row r="4" spans="1:3">
      <c r="A4" s="1" t="s">
        <v>39</v>
      </c>
      <c r="B4" s="19">
        <v>36.483516483516489</v>
      </c>
      <c r="C4" s="19">
        <v>-43.736263736263744</v>
      </c>
    </row>
    <row r="5" spans="1:3">
      <c r="A5" s="1" t="s">
        <v>40</v>
      </c>
      <c r="B5" s="19">
        <v>32.346241457858774</v>
      </c>
      <c r="C5" s="19">
        <v>-41.002277904328018</v>
      </c>
    </row>
    <row r="6" spans="1:3">
      <c r="A6" s="1" t="s">
        <v>41</v>
      </c>
      <c r="B6" s="19">
        <v>36.84210526315789</v>
      </c>
      <c r="C6" s="19">
        <v>-32.250839865621501</v>
      </c>
    </row>
    <row r="7" spans="1:3">
      <c r="A7" s="1" t="s">
        <v>42</v>
      </c>
      <c r="B7" s="19">
        <v>34.777651083238311</v>
      </c>
      <c r="C7" s="19">
        <v>-22.234891676168758</v>
      </c>
    </row>
    <row r="8" spans="1:3">
      <c r="A8" s="1" t="s">
        <v>73</v>
      </c>
      <c r="B8" s="19">
        <v>30.18660812294182</v>
      </c>
      <c r="C8" s="19">
        <v>-35.67508232711306</v>
      </c>
    </row>
    <row r="9" spans="1:3">
      <c r="A9" s="1" t="s">
        <v>43</v>
      </c>
      <c r="B9" s="19">
        <v>28.619528619528616</v>
      </c>
      <c r="C9" s="19">
        <v>-23.905723905723907</v>
      </c>
    </row>
    <row r="10" spans="1:3">
      <c r="A10" s="1" t="s">
        <v>44</v>
      </c>
      <c r="B10" s="19">
        <v>30.033745781777277</v>
      </c>
      <c r="C10" s="19">
        <v>-23.284589426321709</v>
      </c>
    </row>
    <row r="11" spans="1:3">
      <c r="A11" s="1" t="s">
        <v>45</v>
      </c>
      <c r="B11" s="19">
        <v>33.372365339578458</v>
      </c>
      <c r="C11" s="19">
        <v>-24.355971896955502</v>
      </c>
    </row>
    <row r="12" spans="1:3">
      <c r="A12" s="1" t="s">
        <v>46</v>
      </c>
      <c r="B12" s="19">
        <v>24.259681093394075</v>
      </c>
      <c r="C12" s="19">
        <v>-14.80637813211845</v>
      </c>
    </row>
    <row r="13" spans="1:3">
      <c r="A13" s="1" t="s">
        <v>47</v>
      </c>
      <c r="B13" s="19">
        <v>41.446613088404135</v>
      </c>
      <c r="C13" s="19">
        <v>-39.494833524684267</v>
      </c>
    </row>
    <row r="14" spans="1:3">
      <c r="A14" s="1" t="s">
        <v>48</v>
      </c>
      <c r="B14" s="19">
        <v>27.120669056152924</v>
      </c>
      <c r="C14" s="19">
        <v>-16.845878136200714</v>
      </c>
    </row>
    <row r="15" spans="1:3">
      <c r="A15" s="1" t="s">
        <v>49</v>
      </c>
      <c r="B15" s="19">
        <v>26.261467889908264</v>
      </c>
      <c r="C15" s="19">
        <v>-18.233944954128447</v>
      </c>
    </row>
    <row r="16" spans="1:3">
      <c r="A16" s="1" t="s">
        <v>50</v>
      </c>
      <c r="B16" s="19">
        <v>22.674418604651166</v>
      </c>
      <c r="C16" s="19">
        <v>-18.139534883720927</v>
      </c>
    </row>
    <row r="17" spans="1:3">
      <c r="A17" s="20" t="s">
        <v>51</v>
      </c>
      <c r="B17" s="21">
        <f>AVERAGE(B2:B16)</f>
        <v>31.808225338746446</v>
      </c>
      <c r="C17" s="21">
        <f>AVERAGE(C2:C16)</f>
        <v>-27.286929210072383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C6B71-11A2-4B4A-8BA9-25733DC4280A}">
  <dimension ref="A1:D16"/>
  <sheetViews>
    <sheetView workbookViewId="0"/>
  </sheetViews>
  <sheetFormatPr defaultColWidth="11.19921875" defaultRowHeight="15.6"/>
  <cols>
    <col min="2" max="3" width="12.296875" bestFit="1" customWidth="1"/>
    <col min="4" max="4" width="6.796875" bestFit="1" customWidth="1"/>
    <col min="5" max="5" width="12.5" customWidth="1"/>
  </cols>
  <sheetData>
    <row r="1" spans="1:4">
      <c r="B1" t="s">
        <v>69</v>
      </c>
      <c r="C1" t="s">
        <v>70</v>
      </c>
      <c r="D1" t="s">
        <v>71</v>
      </c>
    </row>
    <row r="2" spans="1:4">
      <c r="A2" t="s">
        <v>60</v>
      </c>
      <c r="B2" s="22">
        <v>0.55300000000000005</v>
      </c>
      <c r="C2" s="22">
        <v>0.26100000000000001</v>
      </c>
      <c r="D2" s="22">
        <v>0.29200000000000004</v>
      </c>
    </row>
    <row r="3" spans="1:4">
      <c r="A3" t="s">
        <v>53</v>
      </c>
      <c r="B3" s="22">
        <v>0.53400000000000003</v>
      </c>
      <c r="C3" s="22">
        <v>0.24299999999999999</v>
      </c>
      <c r="D3" s="22">
        <v>0.29100000000000004</v>
      </c>
    </row>
    <row r="4" spans="1:4">
      <c r="A4" t="s">
        <v>54</v>
      </c>
      <c r="B4" s="22">
        <v>0.53900000000000003</v>
      </c>
      <c r="C4" s="22">
        <v>0.28699999999999998</v>
      </c>
      <c r="D4" s="22">
        <v>0.25200000000000006</v>
      </c>
    </row>
    <row r="5" spans="1:4">
      <c r="A5" t="s">
        <v>11</v>
      </c>
      <c r="B5" s="22">
        <v>0.48899999999999999</v>
      </c>
      <c r="C5" s="22">
        <v>0.29799999999999999</v>
      </c>
      <c r="D5" s="22">
        <v>0.191</v>
      </c>
    </row>
    <row r="6" spans="1:4">
      <c r="A6" t="s">
        <v>55</v>
      </c>
      <c r="B6" s="22">
        <v>0.45500000000000002</v>
      </c>
      <c r="C6" s="22">
        <v>0.32400000000000001</v>
      </c>
      <c r="D6" s="22">
        <v>0.13100000000000001</v>
      </c>
    </row>
    <row r="7" spans="1:4">
      <c r="A7" t="s">
        <v>57</v>
      </c>
      <c r="B7" s="22">
        <v>0.36199999999999999</v>
      </c>
      <c r="C7" s="22">
        <v>0.41899999999999998</v>
      </c>
      <c r="D7" s="22">
        <v>-5.6999999999999995E-2</v>
      </c>
    </row>
    <row r="8" spans="1:4">
      <c r="A8" t="s">
        <v>58</v>
      </c>
      <c r="B8" s="22">
        <v>0.33900000000000002</v>
      </c>
      <c r="C8" s="22">
        <v>0.44500000000000001</v>
      </c>
      <c r="D8" s="22">
        <v>-0.10599999999999998</v>
      </c>
    </row>
    <row r="9" spans="1:4">
      <c r="A9" t="s">
        <v>56</v>
      </c>
      <c r="B9" s="22">
        <v>0.32400000000000001</v>
      </c>
      <c r="C9" s="22">
        <v>0.443</v>
      </c>
      <c r="D9" s="22">
        <v>-0.11899999999999999</v>
      </c>
    </row>
    <row r="10" spans="1:4">
      <c r="A10" t="s">
        <v>74</v>
      </c>
      <c r="B10" s="22">
        <v>0.35100000000000003</v>
      </c>
      <c r="C10" s="22">
        <v>0.48099999999999998</v>
      </c>
      <c r="D10" s="22">
        <v>-0.12999999999999995</v>
      </c>
    </row>
    <row r="11" spans="1:4">
      <c r="A11" t="s">
        <v>62</v>
      </c>
      <c r="B11" s="22">
        <v>0.28199999999999997</v>
      </c>
      <c r="C11" s="22">
        <v>0.498</v>
      </c>
      <c r="D11" s="22">
        <v>-0.21600000000000003</v>
      </c>
    </row>
    <row r="12" spans="1:4">
      <c r="A12" t="s">
        <v>68</v>
      </c>
      <c r="B12" s="22">
        <v>0.23799999999999999</v>
      </c>
      <c r="C12" s="22">
        <v>0.52900000000000003</v>
      </c>
      <c r="D12" s="22">
        <v>-0.29100000000000004</v>
      </c>
    </row>
    <row r="13" spans="1:4">
      <c r="A13" t="s">
        <v>63</v>
      </c>
      <c r="B13" s="22">
        <v>0.23499999999999999</v>
      </c>
      <c r="C13" s="22">
        <v>0.54700000000000004</v>
      </c>
      <c r="D13" s="22">
        <v>-0.31200000000000006</v>
      </c>
    </row>
    <row r="14" spans="1:4">
      <c r="A14" t="s">
        <v>52</v>
      </c>
      <c r="B14" s="22">
        <v>0.215</v>
      </c>
      <c r="C14" s="22">
        <v>0.52900000000000003</v>
      </c>
      <c r="D14" s="22">
        <v>-0.31400000000000006</v>
      </c>
    </row>
    <row r="15" spans="1:4">
      <c r="A15" t="s">
        <v>61</v>
      </c>
      <c r="B15" s="22">
        <v>0.23499999999999999</v>
      </c>
      <c r="C15" s="22">
        <v>0.56699999999999995</v>
      </c>
      <c r="D15" s="22">
        <v>-0.33199999999999996</v>
      </c>
    </row>
    <row r="16" spans="1:4">
      <c r="A16" t="s">
        <v>59</v>
      </c>
      <c r="B16" s="22">
        <v>0.14899999999999999</v>
      </c>
      <c r="C16" s="22">
        <v>0.71499999999999997</v>
      </c>
      <c r="D16" s="22">
        <v>-0.56599999999999995</v>
      </c>
    </row>
  </sheetData>
  <sortState xmlns:xlrd2="http://schemas.microsoft.com/office/spreadsheetml/2017/richdata2" ref="A2:D16">
    <sortCondition descending="1" ref="D2:D16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3FF19-77C6-D446-AA04-18D969498A24}">
  <dimension ref="A1:F29"/>
  <sheetViews>
    <sheetView tabSelected="1" workbookViewId="0"/>
  </sheetViews>
  <sheetFormatPr defaultColWidth="11.19921875" defaultRowHeight="15.6"/>
  <cols>
    <col min="1" max="1" width="34.796875" bestFit="1" customWidth="1"/>
  </cols>
  <sheetData>
    <row r="1" spans="1:6">
      <c r="B1" s="1" t="s">
        <v>64</v>
      </c>
      <c r="C1" s="1" t="s">
        <v>67</v>
      </c>
    </row>
    <row r="2" spans="1:6">
      <c r="A2" s="1" t="s">
        <v>65</v>
      </c>
      <c r="B2" s="24">
        <v>0.55300000000000005</v>
      </c>
      <c r="C2" s="1"/>
    </row>
    <row r="3" spans="1:6">
      <c r="A3" s="1" t="s">
        <v>39</v>
      </c>
      <c r="B3" s="25">
        <v>0.83099999999999996</v>
      </c>
      <c r="C3" s="24">
        <f>B3-B2</f>
        <v>0.27799999999999991</v>
      </c>
    </row>
    <row r="4" spans="1:6">
      <c r="A4" s="1" t="s">
        <v>37</v>
      </c>
      <c r="B4" s="24">
        <v>0.93500000000000005</v>
      </c>
      <c r="C4" s="24">
        <f t="shared" ref="C4:C16" si="0">B4-B3</f>
        <v>0.10400000000000009</v>
      </c>
    </row>
    <row r="5" spans="1:6">
      <c r="A5" s="1" t="s">
        <v>66</v>
      </c>
      <c r="B5" s="24">
        <v>0.97199999999999998</v>
      </c>
      <c r="C5" s="24">
        <f t="shared" si="0"/>
        <v>3.6999999999999922E-2</v>
      </c>
    </row>
    <row r="6" spans="1:6">
      <c r="A6" s="1" t="s">
        <v>40</v>
      </c>
      <c r="B6" s="24">
        <v>0.98899999999999999</v>
      </c>
      <c r="C6" s="24">
        <f t="shared" si="0"/>
        <v>1.7000000000000015E-2</v>
      </c>
    </row>
    <row r="7" spans="1:6">
      <c r="A7" s="1" t="s">
        <v>48</v>
      </c>
      <c r="B7" s="24">
        <v>0.995</v>
      </c>
      <c r="C7" s="24">
        <f t="shared" si="0"/>
        <v>6.0000000000000053E-3</v>
      </c>
    </row>
    <row r="8" spans="1:6">
      <c r="A8" s="1" t="s">
        <v>50</v>
      </c>
      <c r="B8" s="24">
        <v>0.999</v>
      </c>
      <c r="C8" s="24">
        <f t="shared" si="0"/>
        <v>4.0000000000000036E-3</v>
      </c>
    </row>
    <row r="9" spans="1:6">
      <c r="A9" s="1" t="s">
        <v>38</v>
      </c>
      <c r="B9" s="14">
        <v>1</v>
      </c>
      <c r="C9" s="24">
        <f t="shared" si="0"/>
        <v>1.0000000000000009E-3</v>
      </c>
    </row>
    <row r="10" spans="1:6">
      <c r="A10" s="1" t="s">
        <v>41</v>
      </c>
      <c r="B10" s="14">
        <v>1</v>
      </c>
      <c r="C10" s="24">
        <f t="shared" si="0"/>
        <v>0</v>
      </c>
    </row>
    <row r="11" spans="1:6">
      <c r="A11" s="1" t="s">
        <v>73</v>
      </c>
      <c r="B11" s="14">
        <v>1</v>
      </c>
      <c r="C11" s="24">
        <f t="shared" si="0"/>
        <v>0</v>
      </c>
    </row>
    <row r="12" spans="1:6">
      <c r="A12" s="1" t="s">
        <v>43</v>
      </c>
      <c r="B12" s="14">
        <v>1</v>
      </c>
      <c r="C12" s="24">
        <f t="shared" si="0"/>
        <v>0</v>
      </c>
    </row>
    <row r="13" spans="1:6">
      <c r="A13" s="1" t="s">
        <v>44</v>
      </c>
      <c r="B13" s="14">
        <v>1</v>
      </c>
      <c r="C13" s="24">
        <f t="shared" si="0"/>
        <v>0</v>
      </c>
    </row>
    <row r="14" spans="1:6">
      <c r="A14" s="1" t="s">
        <v>45</v>
      </c>
      <c r="B14" s="14">
        <v>1</v>
      </c>
      <c r="C14" s="24">
        <f t="shared" si="0"/>
        <v>0</v>
      </c>
    </row>
    <row r="15" spans="1:6">
      <c r="A15" s="1" t="s">
        <v>46</v>
      </c>
      <c r="B15" s="14">
        <v>1</v>
      </c>
      <c r="C15" s="24">
        <f t="shared" si="0"/>
        <v>0</v>
      </c>
      <c r="E15" s="1"/>
    </row>
    <row r="16" spans="1:6">
      <c r="A16" s="1" t="s">
        <v>49</v>
      </c>
      <c r="B16" s="14">
        <v>1</v>
      </c>
      <c r="C16" s="24">
        <f t="shared" si="0"/>
        <v>0</v>
      </c>
      <c r="E16" s="1"/>
      <c r="F16" s="23"/>
    </row>
    <row r="17" spans="5:5">
      <c r="E17" s="1"/>
    </row>
    <row r="18" spans="5:5">
      <c r="E18" s="1"/>
    </row>
    <row r="27" spans="5:5">
      <c r="E27" s="1"/>
    </row>
    <row r="29" spans="5:5">
      <c r="E2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Диаграммы</vt:lpstr>
      </vt:variant>
      <vt:variant>
        <vt:i4>1</vt:i4>
      </vt:variant>
    </vt:vector>
  </HeadingPairs>
  <TitlesOfParts>
    <vt:vector size="5" baseType="lpstr">
      <vt:lpstr>КАНО. Count &amp; %</vt:lpstr>
      <vt:lpstr>КАНО. Сводная таблица</vt:lpstr>
      <vt:lpstr>MaxDiff</vt:lpstr>
      <vt:lpstr>TURF</vt:lpstr>
      <vt:lpstr>КАНО. Диаграмма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Vadim Saprykin</cp:lastModifiedBy>
  <dcterms:created xsi:type="dcterms:W3CDTF">2024-10-31T20:58:24Z</dcterms:created>
  <dcterms:modified xsi:type="dcterms:W3CDTF">2025-11-05T18:23:52Z</dcterms:modified>
</cp:coreProperties>
</file>