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дебренд\"/>
    </mc:Choice>
  </mc:AlternateContent>
  <xr:revisionPtr revIDLastSave="0" documentId="13_ncr:1_{C3B3AE3D-6F94-4AB4-975B-6AF8BBB7BA42}" xr6:coauthVersionLast="47" xr6:coauthVersionMax="47" xr10:uidLastSave="{00000000-0000-0000-0000-000000000000}"/>
  <bookViews>
    <workbookView xWindow="-108" yWindow="-108" windowWidth="23256" windowHeight="13896" activeTab="3" xr2:uid="{5F97BF62-0FB8-6A4C-B984-992DD43FADFA}"/>
  </bookViews>
  <sheets>
    <sheet name="Ортогональный план" sheetId="1" r:id="rId1"/>
    <sheet name="RBC" sheetId="2" r:id="rId2"/>
    <sheet name="Оптимизация продукта" sheetId="3" r:id="rId3"/>
    <sheet name="Кривая спроса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4" l="1"/>
  <c r="B9" i="4" l="1"/>
  <c r="C9" i="4" s="1"/>
  <c r="E9" i="4" s="1"/>
  <c r="B8" i="4"/>
  <c r="C8" i="4" s="1"/>
  <c r="B7" i="4"/>
  <c r="C7" i="4" s="1"/>
  <c r="B6" i="4"/>
  <c r="B5" i="4"/>
  <c r="C5" i="4" s="1"/>
  <c r="G7" i="3"/>
  <c r="I7" i="3"/>
  <c r="I9" i="3" s="1"/>
  <c r="C7" i="3"/>
  <c r="C8" i="3"/>
  <c r="E5" i="3"/>
  <c r="E4" i="3"/>
  <c r="E3" i="3"/>
  <c r="G9" i="2"/>
  <c r="E7" i="4" l="1"/>
  <c r="D7" i="4"/>
  <c r="D8" i="4"/>
  <c r="E8" i="4"/>
  <c r="D6" i="4"/>
  <c r="E5" i="4"/>
  <c r="G9" i="3"/>
  <c r="G8" i="3" s="1"/>
  <c r="E7" i="3"/>
  <c r="E9" i="3" s="1"/>
  <c r="E8" i="3" s="1"/>
  <c r="D9" i="4"/>
  <c r="I8" i="3"/>
</calcChain>
</file>

<file path=xl/sharedStrings.xml><?xml version="1.0" encoding="utf-8"?>
<sst xmlns="http://schemas.openxmlformats.org/spreadsheetml/2006/main" count="115" uniqueCount="30">
  <si>
    <t>Список карт</t>
  </si>
  <si>
    <t>ID карты</t>
  </si>
  <si>
    <t>Brand</t>
  </si>
  <si>
    <t>Price</t>
  </si>
  <si>
    <t>Taste</t>
  </si>
  <si>
    <t>Травяной</t>
  </si>
  <si>
    <t>Зеленый с добавками</t>
  </si>
  <si>
    <t>Черный с добавками</t>
  </si>
  <si>
    <t>Зеленый без добавок</t>
  </si>
  <si>
    <t>Черный без добавок</t>
  </si>
  <si>
    <t>Оценка полезности</t>
  </si>
  <si>
    <t>Стандартная ошибка</t>
  </si>
  <si>
    <t>(Константа)</t>
  </si>
  <si>
    <t>Полезности</t>
  </si>
  <si>
    <t>Важности</t>
  </si>
  <si>
    <t>R-квадрат</t>
  </si>
  <si>
    <t>R Пирсона</t>
  </si>
  <si>
    <t>Уровень</t>
  </si>
  <si>
    <t>Полезность</t>
  </si>
  <si>
    <t>Атрибут</t>
  </si>
  <si>
    <t>Utility</t>
  </si>
  <si>
    <t>Revenue</t>
  </si>
  <si>
    <t>Share</t>
  </si>
  <si>
    <t>Продукт по цене ниже оптимальной</t>
  </si>
  <si>
    <t>Оптимальный продукт по выручке</t>
  </si>
  <si>
    <t>Оптимальный продукт по пенетрации</t>
  </si>
  <si>
    <t>Price Level</t>
  </si>
  <si>
    <t>Elasticity</t>
  </si>
  <si>
    <t>Текущий продукт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</si>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</sst>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\ &quot;₽&quot;"/>
    <numFmt numFmtId="166" formatCode="_-* #,##0\ &quot;₽&quot;_-;\-* #,##0\ &quot;₽&quot;_-;_-* &quot;-&quot;??\ &quot;₽&quot;_-;_-@_-"/>
  </numFmts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5" xfId="0" applyNumberFormat="1" applyBorder="1"/>
    <xf numFmtId="0" fontId="0" fillId="0" borderId="6" xfId="0" applyBorder="1"/>
    <xf numFmtId="0" fontId="0" fillId="0" borderId="7" xfId="0" applyBorder="1"/>
    <xf numFmtId="2" fontId="0" fillId="0" borderId="7" xfId="0" applyNumberFormat="1" applyBorder="1"/>
    <xf numFmtId="2" fontId="0" fillId="0" borderId="8" xfId="0" applyNumberFormat="1" applyBorder="1"/>
    <xf numFmtId="0" fontId="1" fillId="0" borderId="4" xfId="0" applyFont="1" applyBorder="1"/>
    <xf numFmtId="0" fontId="1" fillId="0" borderId="6" xfId="0" applyFont="1" applyBorder="1"/>
    <xf numFmtId="0" fontId="0" fillId="0" borderId="8" xfId="0" applyBorder="1"/>
    <xf numFmtId="164" fontId="0" fillId="0" borderId="3" xfId="0" applyNumberFormat="1" applyBorder="1"/>
    <xf numFmtId="1" fontId="0" fillId="0" borderId="3" xfId="0" applyNumberFormat="1" applyBorder="1"/>
    <xf numFmtId="1" fontId="0" fillId="0" borderId="5" xfId="0" applyNumberFormat="1" applyBorder="1"/>
    <xf numFmtId="1" fontId="0" fillId="0" borderId="8" xfId="0" applyNumberFormat="1" applyBorder="1"/>
    <xf numFmtId="164" fontId="0" fillId="0" borderId="7" xfId="0" applyNumberFormat="1" applyBorder="1"/>
    <xf numFmtId="0" fontId="0" fillId="0" borderId="4" xfId="0" applyBorder="1" applyAlignment="1">
      <alignment horizontal="center"/>
    </xf>
    <xf numFmtId="165" fontId="0" fillId="0" borderId="5" xfId="0" applyNumberFormat="1" applyBorder="1"/>
    <xf numFmtId="166" fontId="0" fillId="0" borderId="5" xfId="0" applyNumberFormat="1" applyBorder="1"/>
    <xf numFmtId="1" fontId="0" fillId="0" borderId="0" xfId="0" applyNumberFormat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Кривая спроса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'Кривая спроса'!$A$5:$A$9</c:f>
              <c:numCache>
                <c:formatCode>General</c:formatCode>
                <c:ptCount val="5"/>
                <c:pt idx="0">
                  <c:v>149</c:v>
                </c:pt>
                <c:pt idx="1">
                  <c:v>249</c:v>
                </c:pt>
                <c:pt idx="2">
                  <c:v>349</c:v>
                </c:pt>
                <c:pt idx="3">
                  <c:v>449</c:v>
                </c:pt>
                <c:pt idx="4">
                  <c:v>549</c:v>
                </c:pt>
              </c:numCache>
            </c:numRef>
          </c:xVal>
          <c:yVal>
            <c:numRef>
              <c:f>'Кривая спроса'!$C$5:$C$9</c:f>
              <c:numCache>
                <c:formatCode>0.00</c:formatCode>
                <c:ptCount val="5"/>
                <c:pt idx="0">
                  <c:v>0.10643316654753397</c:v>
                </c:pt>
                <c:pt idx="1">
                  <c:v>0.1</c:v>
                </c:pt>
                <c:pt idx="2">
                  <c:v>9.3609721229449605E-2</c:v>
                </c:pt>
                <c:pt idx="3">
                  <c:v>8.9035025017869918E-2</c:v>
                </c:pt>
                <c:pt idx="4">
                  <c:v>8.7691208005718377E-2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AB-8A48-A0E9-BFA9E7EEF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340031"/>
        <c:axId val="1631342047"/>
      </c:scatterChart>
      <c:valAx>
        <c:axId val="163134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1342047"/>
        <c:crosses val="autoZero"/>
        <c:crossBetween val="midCat"/>
      </c:valAx>
      <c:valAx>
        <c:axId val="163134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1340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Выручка</a:t>
            </a:r>
            <a:r>
              <a:rPr lang="ru-RU" baseline="0"/>
              <a:t> на 1000 юнитов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'Кривая спроса'!$A$5:$A$9</c:f>
              <c:numCache>
                <c:formatCode>General</c:formatCode>
                <c:ptCount val="5"/>
                <c:pt idx="0">
                  <c:v>149</c:v>
                </c:pt>
                <c:pt idx="1">
                  <c:v>249</c:v>
                </c:pt>
                <c:pt idx="2">
                  <c:v>349</c:v>
                </c:pt>
                <c:pt idx="3">
                  <c:v>449</c:v>
                </c:pt>
                <c:pt idx="4">
                  <c:v>549</c:v>
                </c:pt>
              </c:numCache>
            </c:numRef>
          </c:xVal>
          <c:yVal>
            <c:numRef>
              <c:f>'Кривая спроса'!$E$5:$E$9</c:f>
              <c:numCache>
                <c:formatCode>0</c:formatCode>
                <c:ptCount val="5"/>
                <c:pt idx="0">
                  <c:v>15858.541815582563</c:v>
                </c:pt>
                <c:pt idx="1">
                  <c:v>24900.000000000004</c:v>
                </c:pt>
                <c:pt idx="2">
                  <c:v>32669.792709077912</c:v>
                </c:pt>
                <c:pt idx="3">
                  <c:v>39976.72623302359</c:v>
                </c:pt>
                <c:pt idx="4">
                  <c:v>48142.473195139391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F8-3B42-AD9D-1B161848E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340031"/>
        <c:axId val="1631342047"/>
      </c:scatterChart>
      <c:valAx>
        <c:axId val="163134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1342047"/>
        <c:crosses val="autoZero"/>
        <c:crossBetween val="midCat"/>
      </c:valAx>
      <c:valAx>
        <c:axId val="163134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1340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13564</xdr:colOff>
      <xdr:row>0</xdr:row>
      <xdr:rowOff>194322</xdr:rowOff>
    </xdr:from>
    <xdr:to>
      <xdr:col>12</xdr:col>
      <xdr:colOff>454981</xdr:colOff>
      <xdr:row>14</xdr:row>
      <xdr:rowOff>175580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5AEF511-C379-8749-89AB-071C99C264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98641</xdr:rowOff>
    </xdr:from>
    <xdr:to>
      <xdr:col>12</xdr:col>
      <xdr:colOff>441417</xdr:colOff>
      <xdr:row>29</xdr:row>
      <xdr:rowOff>79899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398074C-A866-A244-AEB5-5FF58422B2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B8978-48B0-9946-9402-830203BA79D4}">
  <dimension ref="A1:D27"/>
  <sheetViews>
    <sheetView workbookViewId="0"/>
  </sheetViews>
  <sheetFormatPr defaultColWidth="11.19921875" defaultRowHeight="15.6" x14ac:dyDescent="0.3"/>
  <cols>
    <col min="1" max="1" width="11.69921875" bestFit="1" customWidth="1"/>
    <col min="4" max="4" width="20" bestFit="1" customWidth="1"/>
  </cols>
  <sheetData>
    <row r="1" spans="1:4" x14ac:dyDescent="0.3">
      <c r="A1" s="1" t="s">
        <v>0</v>
      </c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>
        <v>1</v>
      </c>
      <c r="B3" t="s">
        <v>29</v>
      </c>
      <c r="C3">
        <v>149</v>
      </c>
      <c r="D3" t="s">
        <v>5</v>
      </c>
    </row>
    <row r="4" spans="1:4" x14ac:dyDescent="0.3">
      <c r="A4">
        <v>2</v>
      </c>
      <c r="B4" t="s">
        <v>29</v>
      </c>
      <c r="C4">
        <v>449</v>
      </c>
      <c r="D4" t="s">
        <v>6</v>
      </c>
    </row>
    <row r="5" spans="1:4" x14ac:dyDescent="0.3">
      <c r="A5">
        <v>3</v>
      </c>
      <c r="B5" t="s">
        <v>29</v>
      </c>
      <c r="C5">
        <v>549</v>
      </c>
      <c r="D5" t="s">
        <v>7</v>
      </c>
    </row>
    <row r="6" spans="1:4" x14ac:dyDescent="0.3">
      <c r="A6">
        <v>4</v>
      </c>
      <c r="B6" t="s">
        <v>29</v>
      </c>
      <c r="C6">
        <v>449</v>
      </c>
      <c r="D6" t="s">
        <v>5</v>
      </c>
    </row>
    <row r="7" spans="1:4" x14ac:dyDescent="0.3">
      <c r="A7">
        <v>5</v>
      </c>
      <c r="B7" t="s">
        <v>29</v>
      </c>
      <c r="C7">
        <v>249</v>
      </c>
      <c r="D7" t="s">
        <v>8</v>
      </c>
    </row>
    <row r="8" spans="1:4" x14ac:dyDescent="0.3">
      <c r="A8">
        <v>6</v>
      </c>
      <c r="B8" t="s">
        <v>29</v>
      </c>
      <c r="C8">
        <v>249</v>
      </c>
      <c r="D8" t="s">
        <v>5</v>
      </c>
    </row>
    <row r="9" spans="1:4" x14ac:dyDescent="0.3">
      <c r="A9">
        <v>7</v>
      </c>
      <c r="B9" t="s">
        <v>29</v>
      </c>
      <c r="C9">
        <v>249</v>
      </c>
      <c r="D9" t="s">
        <v>9</v>
      </c>
    </row>
    <row r="10" spans="1:4" x14ac:dyDescent="0.3">
      <c r="A10">
        <v>8</v>
      </c>
      <c r="B10" t="s">
        <v>29</v>
      </c>
      <c r="C10">
        <v>249</v>
      </c>
      <c r="D10" t="s">
        <v>7</v>
      </c>
    </row>
    <row r="11" spans="1:4" x14ac:dyDescent="0.3">
      <c r="A11">
        <v>9</v>
      </c>
      <c r="B11" t="s">
        <v>29</v>
      </c>
      <c r="C11">
        <v>349</v>
      </c>
      <c r="D11" t="s">
        <v>5</v>
      </c>
    </row>
    <row r="12" spans="1:4" x14ac:dyDescent="0.3">
      <c r="A12">
        <v>10</v>
      </c>
      <c r="B12" t="s">
        <v>29</v>
      </c>
      <c r="C12">
        <v>149</v>
      </c>
      <c r="D12" t="s">
        <v>6</v>
      </c>
    </row>
    <row r="13" spans="1:4" x14ac:dyDescent="0.3">
      <c r="A13">
        <v>11</v>
      </c>
      <c r="B13" t="s">
        <v>29</v>
      </c>
      <c r="C13">
        <v>349</v>
      </c>
      <c r="D13" t="s">
        <v>7</v>
      </c>
    </row>
    <row r="14" spans="1:4" x14ac:dyDescent="0.3">
      <c r="A14">
        <v>12</v>
      </c>
      <c r="B14" t="s">
        <v>29</v>
      </c>
      <c r="C14">
        <v>149</v>
      </c>
      <c r="D14" t="s">
        <v>9</v>
      </c>
    </row>
    <row r="15" spans="1:4" x14ac:dyDescent="0.3">
      <c r="A15">
        <v>13</v>
      </c>
      <c r="B15" t="s">
        <v>29</v>
      </c>
      <c r="C15">
        <v>549</v>
      </c>
      <c r="D15" t="s">
        <v>8</v>
      </c>
    </row>
    <row r="16" spans="1:4" x14ac:dyDescent="0.3">
      <c r="A16">
        <v>14</v>
      </c>
      <c r="B16" t="s">
        <v>29</v>
      </c>
      <c r="C16">
        <v>449</v>
      </c>
      <c r="D16" t="s">
        <v>9</v>
      </c>
    </row>
    <row r="17" spans="1:4" x14ac:dyDescent="0.3">
      <c r="A17">
        <v>15</v>
      </c>
      <c r="B17" t="s">
        <v>29</v>
      </c>
      <c r="C17">
        <v>249</v>
      </c>
      <c r="D17" t="s">
        <v>6</v>
      </c>
    </row>
    <row r="18" spans="1:4" x14ac:dyDescent="0.3">
      <c r="A18">
        <v>16</v>
      </c>
      <c r="B18" t="s">
        <v>29</v>
      </c>
      <c r="C18">
        <v>549</v>
      </c>
      <c r="D18" t="s">
        <v>9</v>
      </c>
    </row>
    <row r="19" spans="1:4" x14ac:dyDescent="0.3">
      <c r="A19">
        <v>17</v>
      </c>
      <c r="B19" t="s">
        <v>29</v>
      </c>
      <c r="C19">
        <v>349</v>
      </c>
      <c r="D19" t="s">
        <v>9</v>
      </c>
    </row>
    <row r="20" spans="1:4" x14ac:dyDescent="0.3">
      <c r="A20">
        <v>18</v>
      </c>
      <c r="B20" t="s">
        <v>29</v>
      </c>
      <c r="C20">
        <v>449</v>
      </c>
      <c r="D20" t="s">
        <v>7</v>
      </c>
    </row>
    <row r="21" spans="1:4" x14ac:dyDescent="0.3">
      <c r="A21">
        <v>19</v>
      </c>
      <c r="B21" t="s">
        <v>29</v>
      </c>
      <c r="C21">
        <v>149</v>
      </c>
      <c r="D21" t="s">
        <v>8</v>
      </c>
    </row>
    <row r="22" spans="1:4" x14ac:dyDescent="0.3">
      <c r="A22">
        <v>20</v>
      </c>
      <c r="B22" t="s">
        <v>29</v>
      </c>
      <c r="C22">
        <v>449</v>
      </c>
      <c r="D22" t="s">
        <v>8</v>
      </c>
    </row>
    <row r="23" spans="1:4" x14ac:dyDescent="0.3">
      <c r="A23">
        <v>21</v>
      </c>
      <c r="B23" t="s">
        <v>29</v>
      </c>
      <c r="C23">
        <v>149</v>
      </c>
      <c r="D23" t="s">
        <v>7</v>
      </c>
    </row>
    <row r="24" spans="1:4" x14ac:dyDescent="0.3">
      <c r="A24">
        <v>22</v>
      </c>
      <c r="B24" t="s">
        <v>29</v>
      </c>
      <c r="C24">
        <v>549</v>
      </c>
      <c r="D24" t="s">
        <v>6</v>
      </c>
    </row>
    <row r="25" spans="1:4" x14ac:dyDescent="0.3">
      <c r="A25">
        <v>23</v>
      </c>
      <c r="B25" t="s">
        <v>29</v>
      </c>
      <c r="C25">
        <v>549</v>
      </c>
      <c r="D25" t="s">
        <v>5</v>
      </c>
    </row>
    <row r="26" spans="1:4" x14ac:dyDescent="0.3">
      <c r="A26">
        <v>24</v>
      </c>
      <c r="B26" t="s">
        <v>29</v>
      </c>
      <c r="C26">
        <v>349</v>
      </c>
      <c r="D26" t="s">
        <v>6</v>
      </c>
    </row>
    <row r="27" spans="1:4" x14ac:dyDescent="0.3">
      <c r="A27">
        <v>25</v>
      </c>
      <c r="B27" t="s">
        <v>29</v>
      </c>
      <c r="C27">
        <v>349</v>
      </c>
      <c r="D2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8065-F8A7-CD4C-AF3F-1F1206A7EB45}">
  <dimension ref="A1:H18"/>
  <sheetViews>
    <sheetView workbookViewId="0">
      <selection activeCell="B31" sqref="B31"/>
    </sheetView>
  </sheetViews>
  <sheetFormatPr defaultColWidth="11.19921875" defaultRowHeight="15.6" x14ac:dyDescent="0.3"/>
  <cols>
    <col min="1" max="1" width="14" customWidth="1"/>
    <col min="2" max="2" width="22" customWidth="1"/>
    <col min="3" max="3" width="17.5" customWidth="1"/>
    <col min="4" max="4" width="19" bestFit="1" customWidth="1"/>
  </cols>
  <sheetData>
    <row r="1" spans="1:8" x14ac:dyDescent="0.3">
      <c r="A1" s="1" t="s">
        <v>13</v>
      </c>
      <c r="F1" s="1" t="s">
        <v>14</v>
      </c>
    </row>
    <row r="2" spans="1:8" x14ac:dyDescent="0.3">
      <c r="A2" s="3"/>
      <c r="B2" s="4"/>
      <c r="C2" s="4" t="s">
        <v>10</v>
      </c>
      <c r="D2" s="5" t="s">
        <v>11</v>
      </c>
      <c r="F2" s="3" t="s">
        <v>2</v>
      </c>
      <c r="G2" s="17">
        <v>32.216000000000001</v>
      </c>
    </row>
    <row r="3" spans="1:8" x14ac:dyDescent="0.3">
      <c r="A3" s="13" t="s">
        <v>2</v>
      </c>
      <c r="B3" t="s">
        <v>29</v>
      </c>
      <c r="C3" s="2">
        <v>0.26100000000000001</v>
      </c>
      <c r="D3" s="8">
        <v>4.8000000000000001E-2</v>
      </c>
      <c r="F3" s="6" t="s">
        <v>3</v>
      </c>
      <c r="G3" s="18">
        <v>39.58</v>
      </c>
    </row>
    <row r="4" spans="1:8" x14ac:dyDescent="0.3">
      <c r="A4" s="13"/>
      <c r="B4" t="s">
        <v>29</v>
      </c>
      <c r="C4" s="2">
        <v>-0.10199999999999999</v>
      </c>
      <c r="D4" s="8">
        <v>4.8000000000000001E-2</v>
      </c>
      <c r="F4" s="9" t="s">
        <v>4</v>
      </c>
      <c r="G4" s="19">
        <v>28.204000000000001</v>
      </c>
    </row>
    <row r="5" spans="1:8" x14ac:dyDescent="0.3">
      <c r="A5" s="13"/>
      <c r="B5" t="s">
        <v>29</v>
      </c>
      <c r="C5" s="2">
        <v>0.56699999999999995</v>
      </c>
      <c r="D5" s="8">
        <v>4.8000000000000001E-2</v>
      </c>
    </row>
    <row r="6" spans="1:8" x14ac:dyDescent="0.3">
      <c r="A6" s="13"/>
      <c r="B6" t="s">
        <v>29</v>
      </c>
      <c r="C6" s="2">
        <v>-0.22600000000000001</v>
      </c>
      <c r="D6" s="8">
        <v>4.8000000000000001E-2</v>
      </c>
    </row>
    <row r="7" spans="1:8" x14ac:dyDescent="0.3">
      <c r="A7" s="13"/>
      <c r="B7" t="s">
        <v>29</v>
      </c>
      <c r="C7" s="2">
        <v>-0.5</v>
      </c>
      <c r="D7" s="8">
        <v>4.8000000000000001E-2</v>
      </c>
      <c r="F7" s="1" t="s">
        <v>15</v>
      </c>
    </row>
    <row r="8" spans="1:8" x14ac:dyDescent="0.3">
      <c r="A8" s="13" t="s">
        <v>3</v>
      </c>
      <c r="B8">
        <v>149</v>
      </c>
      <c r="C8" s="2">
        <v>0.77500000000000002</v>
      </c>
      <c r="D8" s="8">
        <v>4.8000000000000001E-2</v>
      </c>
      <c r="F8" s="3" t="s">
        <v>16</v>
      </c>
      <c r="G8" s="4">
        <v>0.99299999999999999</v>
      </c>
      <c r="H8" s="16">
        <v>0</v>
      </c>
    </row>
    <row r="9" spans="1:8" x14ac:dyDescent="0.3">
      <c r="A9" s="13"/>
      <c r="B9">
        <v>249</v>
      </c>
      <c r="C9" s="2">
        <v>0.32500000000000001</v>
      </c>
      <c r="D9" s="8">
        <v>4.8000000000000001E-2</v>
      </c>
      <c r="F9" s="9" t="s">
        <v>15</v>
      </c>
      <c r="G9" s="20">
        <f>G8*G8</f>
        <v>0.98604899999999995</v>
      </c>
      <c r="H9" s="15"/>
    </row>
    <row r="10" spans="1:8" x14ac:dyDescent="0.3">
      <c r="A10" s="13"/>
      <c r="B10">
        <v>349</v>
      </c>
      <c r="C10" s="2">
        <v>-0.122</v>
      </c>
      <c r="D10" s="8">
        <v>4.8000000000000001E-2</v>
      </c>
    </row>
    <row r="11" spans="1:8" x14ac:dyDescent="0.3">
      <c r="A11" s="13"/>
      <c r="B11">
        <v>449</v>
      </c>
      <c r="C11" s="2">
        <v>-0.442</v>
      </c>
      <c r="D11" s="8">
        <v>4.8000000000000001E-2</v>
      </c>
    </row>
    <row r="12" spans="1:8" x14ac:dyDescent="0.3">
      <c r="A12" s="13"/>
      <c r="B12">
        <v>549</v>
      </c>
      <c r="C12" s="2">
        <v>-0.53600000000000003</v>
      </c>
      <c r="D12" s="8">
        <v>4.8000000000000001E-2</v>
      </c>
    </row>
    <row r="13" spans="1:8" x14ac:dyDescent="0.3">
      <c r="A13" s="13" t="s">
        <v>4</v>
      </c>
      <c r="B13" t="s">
        <v>9</v>
      </c>
      <c r="C13" s="2">
        <v>0.59299999999999997</v>
      </c>
      <c r="D13" s="8">
        <v>4.8000000000000001E-2</v>
      </c>
      <c r="E13" s="2"/>
    </row>
    <row r="14" spans="1:8" x14ac:dyDescent="0.3">
      <c r="A14" s="13"/>
      <c r="B14" t="s">
        <v>7</v>
      </c>
      <c r="C14" s="2">
        <v>9.4E-2</v>
      </c>
      <c r="D14" s="8">
        <v>4.8000000000000001E-2</v>
      </c>
      <c r="E14" s="2"/>
    </row>
    <row r="15" spans="1:8" x14ac:dyDescent="0.3">
      <c r="A15" s="13"/>
      <c r="B15" t="s">
        <v>8</v>
      </c>
      <c r="C15" s="2">
        <v>-6.6000000000000003E-2</v>
      </c>
      <c r="D15" s="8">
        <v>4.8000000000000001E-2</v>
      </c>
      <c r="E15" s="2"/>
    </row>
    <row r="16" spans="1:8" x14ac:dyDescent="0.3">
      <c r="A16" s="13"/>
      <c r="B16" t="s">
        <v>6</v>
      </c>
      <c r="C16" s="2">
        <v>-0.27900000000000003</v>
      </c>
      <c r="D16" s="8">
        <v>4.8000000000000001E-2</v>
      </c>
      <c r="E16" s="2"/>
    </row>
    <row r="17" spans="1:5" x14ac:dyDescent="0.3">
      <c r="A17" s="13"/>
      <c r="B17" t="s">
        <v>5</v>
      </c>
      <c r="C17" s="2">
        <v>-0.34100000000000003</v>
      </c>
      <c r="D17" s="8">
        <v>4.8000000000000001E-2</v>
      </c>
      <c r="E17" s="2"/>
    </row>
    <row r="18" spans="1:5" x14ac:dyDescent="0.3">
      <c r="A18" s="14" t="s">
        <v>12</v>
      </c>
      <c r="B18" s="10"/>
      <c r="C18" s="11">
        <v>6.1740000000000004</v>
      </c>
      <c r="D18" s="12">
        <v>2.4E-2</v>
      </c>
    </row>
  </sheetData>
  <conditionalFormatting sqref="C3:C1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{8FA606FE-B3CB-854B-882F-31BDE9BF34B8}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A606FE-B3CB-854B-882F-31BDE9BF34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C3:C17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57501-F145-784E-9637-E9C5C2305F75}">
  <dimension ref="A1:I9"/>
  <sheetViews>
    <sheetView workbookViewId="0">
      <selection activeCell="H3" sqref="H3"/>
    </sheetView>
  </sheetViews>
  <sheetFormatPr defaultColWidth="11.19921875" defaultRowHeight="15.6" x14ac:dyDescent="0.3"/>
  <cols>
    <col min="2" max="2" width="20" bestFit="1" customWidth="1"/>
    <col min="3" max="3" width="11.19921875" bestFit="1" customWidth="1"/>
    <col min="4" max="4" width="19" bestFit="1" customWidth="1"/>
    <col min="5" max="5" width="18" customWidth="1"/>
    <col min="6" max="6" width="19" bestFit="1" customWidth="1"/>
    <col min="7" max="7" width="16.69921875" customWidth="1"/>
    <col min="8" max="8" width="19" bestFit="1" customWidth="1"/>
    <col min="9" max="9" width="16" customWidth="1"/>
  </cols>
  <sheetData>
    <row r="1" spans="1:9" ht="16.05" customHeight="1" x14ac:dyDescent="0.3">
      <c r="B1" s="30" t="s">
        <v>28</v>
      </c>
      <c r="C1" s="31"/>
      <c r="D1" s="28" t="s">
        <v>25</v>
      </c>
      <c r="E1" s="29"/>
      <c r="F1" s="30" t="s">
        <v>23</v>
      </c>
      <c r="G1" s="31"/>
      <c r="H1" s="30" t="s">
        <v>24</v>
      </c>
      <c r="I1" s="31"/>
    </row>
    <row r="2" spans="1:9" x14ac:dyDescent="0.3">
      <c r="A2" s="1" t="s">
        <v>19</v>
      </c>
      <c r="B2" s="25" t="s">
        <v>17</v>
      </c>
      <c r="C2" s="26" t="s">
        <v>18</v>
      </c>
      <c r="D2" s="25" t="s">
        <v>17</v>
      </c>
      <c r="E2" s="26" t="s">
        <v>18</v>
      </c>
      <c r="F2" s="25" t="s">
        <v>17</v>
      </c>
      <c r="G2" s="26" t="s">
        <v>18</v>
      </c>
      <c r="H2" s="21" t="s">
        <v>17</v>
      </c>
      <c r="I2" s="27" t="s">
        <v>18</v>
      </c>
    </row>
    <row r="3" spans="1:9" x14ac:dyDescent="0.3">
      <c r="A3" s="1" t="s">
        <v>2</v>
      </c>
      <c r="B3" s="21" t="s">
        <v>29</v>
      </c>
      <c r="C3" s="8">
        <v>0.56699999999999995</v>
      </c>
      <c r="D3" s="21" t="s">
        <v>29</v>
      </c>
      <c r="E3" s="8">
        <f>MAX(RBC!C3:C7)</f>
        <v>0.56699999999999995</v>
      </c>
      <c r="F3" s="21" t="s">
        <v>29</v>
      </c>
      <c r="G3" s="8">
        <v>0.56699999999999995</v>
      </c>
      <c r="H3" s="21" t="s">
        <v>29</v>
      </c>
      <c r="I3" s="8">
        <v>0.56699999999999995</v>
      </c>
    </row>
    <row r="4" spans="1:9" x14ac:dyDescent="0.3">
      <c r="A4" s="1" t="s">
        <v>3</v>
      </c>
      <c r="B4" s="21">
        <v>249</v>
      </c>
      <c r="C4" s="8">
        <v>0.32500000000000001</v>
      </c>
      <c r="D4" s="21">
        <v>149</v>
      </c>
      <c r="E4" s="8">
        <f>MAX(RBC!C8:C12)</f>
        <v>0.77500000000000002</v>
      </c>
      <c r="F4" s="21">
        <v>449</v>
      </c>
      <c r="G4" s="8">
        <v>-0.442</v>
      </c>
      <c r="H4" s="21">
        <v>549</v>
      </c>
      <c r="I4" s="8">
        <v>-0.53600000000000003</v>
      </c>
    </row>
    <row r="5" spans="1:9" x14ac:dyDescent="0.3">
      <c r="A5" s="1" t="s">
        <v>4</v>
      </c>
      <c r="B5" s="21" t="s">
        <v>6</v>
      </c>
      <c r="C5" s="8">
        <v>-0.27900000000000003</v>
      </c>
      <c r="D5" s="21" t="s">
        <v>9</v>
      </c>
      <c r="E5" s="8">
        <f>MAX(RBC!C13:C17)</f>
        <v>0.59299999999999997</v>
      </c>
      <c r="F5" s="21" t="s">
        <v>9</v>
      </c>
      <c r="G5" s="8">
        <v>0.59299999999999997</v>
      </c>
      <c r="H5" s="21" t="s">
        <v>9</v>
      </c>
      <c r="I5" s="8">
        <v>0.59299999999999997</v>
      </c>
    </row>
    <row r="6" spans="1:9" x14ac:dyDescent="0.3">
      <c r="B6" s="6"/>
      <c r="C6" s="7"/>
      <c r="D6" s="6"/>
      <c r="E6" s="7"/>
      <c r="F6" s="6"/>
      <c r="G6" s="7"/>
      <c r="H6" s="6"/>
      <c r="I6" s="7"/>
    </row>
    <row r="7" spans="1:9" x14ac:dyDescent="0.3">
      <c r="A7" s="1" t="s">
        <v>20</v>
      </c>
      <c r="B7" s="6"/>
      <c r="C7" s="8">
        <f>SUM(C3:C5,RBC!C18)</f>
        <v>6.7869999999999999</v>
      </c>
      <c r="D7" s="6"/>
      <c r="E7" s="8">
        <f>SUM(E3:E5,RBC!C18)</f>
        <v>8.109</v>
      </c>
      <c r="F7" s="6"/>
      <c r="G7" s="8">
        <f>SUM(G3:G5,RBC!C18)</f>
        <v>6.8920000000000003</v>
      </c>
      <c r="H7" s="6"/>
      <c r="I7" s="8">
        <f>SUM(I3:I5,RBC!C18)</f>
        <v>6.798</v>
      </c>
    </row>
    <row r="8" spans="1:9" x14ac:dyDescent="0.3">
      <c r="A8" s="1" t="s">
        <v>21</v>
      </c>
      <c r="B8" s="6"/>
      <c r="C8" s="22">
        <f>C9*B4*1000</f>
        <v>24900.000000000004</v>
      </c>
      <c r="D8" s="6"/>
      <c r="E8" s="23">
        <f>E9*D4*1000</f>
        <v>17802.28377781052</v>
      </c>
      <c r="F8" s="6"/>
      <c r="G8" s="22">
        <f>G9*449*1000</f>
        <v>45594.636805657872</v>
      </c>
      <c r="H8" s="6"/>
      <c r="I8" s="23">
        <f>I9*H4*1000</f>
        <v>54988.978930307952</v>
      </c>
    </row>
    <row r="9" spans="1:9" x14ac:dyDescent="0.3">
      <c r="A9" s="1" t="s">
        <v>22</v>
      </c>
      <c r="B9" s="9"/>
      <c r="C9" s="12">
        <v>0.1</v>
      </c>
      <c r="D9" s="9"/>
      <c r="E9" s="12">
        <f>C9*(E7/C7)</f>
        <v>0.11947841461617799</v>
      </c>
      <c r="F9" s="9"/>
      <c r="G9" s="12">
        <f>C9*(G7/C7)</f>
        <v>0.10154707529099749</v>
      </c>
      <c r="H9" s="9"/>
      <c r="I9" s="12">
        <f>C9*(I7/C7)</f>
        <v>0.10016207455429499</v>
      </c>
    </row>
  </sheetData>
  <mergeCells count="4">
    <mergeCell ref="D1:E1"/>
    <mergeCell ref="B1:C1"/>
    <mergeCell ref="F1:G1"/>
    <mergeCell ref="H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1EAAC-168C-A34E-9FEE-7B6D75A1A5CA}">
  <dimension ref="A1:E9"/>
  <sheetViews>
    <sheetView tabSelected="1" zoomScale="103" workbookViewId="0">
      <selection activeCell="D11" sqref="D11"/>
    </sheetView>
  </sheetViews>
  <sheetFormatPr defaultColWidth="11.19921875" defaultRowHeight="15.6" x14ac:dyDescent="0.3"/>
  <cols>
    <col min="2" max="2" width="20.296875" customWidth="1"/>
    <col min="3" max="3" width="5.796875" bestFit="1" customWidth="1"/>
    <col min="4" max="4" width="8.69921875" bestFit="1" customWidth="1"/>
    <col min="5" max="5" width="8.296875" bestFit="1" customWidth="1"/>
  </cols>
  <sheetData>
    <row r="1" spans="1:5" x14ac:dyDescent="0.3">
      <c r="A1" s="1" t="s">
        <v>2</v>
      </c>
      <c r="B1" t="s">
        <v>29</v>
      </c>
      <c r="C1" s="2">
        <v>0.77500000000000002</v>
      </c>
    </row>
    <row r="2" spans="1:5" x14ac:dyDescent="0.3">
      <c r="A2" s="1" t="s">
        <v>4</v>
      </c>
      <c r="B2" t="s">
        <v>6</v>
      </c>
      <c r="C2" s="2">
        <v>-0.27900000000000003</v>
      </c>
    </row>
    <row r="4" spans="1:5" x14ac:dyDescent="0.3">
      <c r="A4" s="1" t="s">
        <v>26</v>
      </c>
      <c r="B4" s="1" t="s">
        <v>20</v>
      </c>
      <c r="C4" s="1" t="s">
        <v>22</v>
      </c>
      <c r="D4" s="1" t="s">
        <v>27</v>
      </c>
      <c r="E4" s="1" t="s">
        <v>21</v>
      </c>
    </row>
    <row r="5" spans="1:5" x14ac:dyDescent="0.3">
      <c r="A5">
        <v>149</v>
      </c>
      <c r="B5" s="2">
        <f>SUM(C1:C2,RBC!C18,RBC!C8)</f>
        <v>7.4450000000000003</v>
      </c>
      <c r="C5" s="2">
        <f>C6*(B5/B6)</f>
        <v>0.10643316654753397</v>
      </c>
      <c r="E5" s="24">
        <f>C5*A5*1000</f>
        <v>15858.541815582563</v>
      </c>
    </row>
    <row r="6" spans="1:5" x14ac:dyDescent="0.3">
      <c r="A6">
        <v>249</v>
      </c>
      <c r="B6" s="2">
        <f>SUM(C1:C2,RBC!C18,RBC!C9)</f>
        <v>6.9950000000000001</v>
      </c>
      <c r="C6" s="2">
        <v>0.1</v>
      </c>
      <c r="D6" s="2">
        <f>((C6-C5)/(A6-A5))*((SUM(A5:A6)/2)/(SUM(C5:C6)/2))</f>
        <v>-0.12403047091412767</v>
      </c>
      <c r="E6" s="24">
        <f t="shared" ref="E6:E9" si="0">C6*A6*1000</f>
        <v>24900.000000000004</v>
      </c>
    </row>
    <row r="7" spans="1:5" x14ac:dyDescent="0.3">
      <c r="A7">
        <v>349</v>
      </c>
      <c r="B7" s="2">
        <f>SUM(C1:C2,RBC!C18,RBC!C10)</f>
        <v>6.548</v>
      </c>
      <c r="C7" s="2">
        <f>C6*(B7/B6)</f>
        <v>9.3609721229449605E-2</v>
      </c>
      <c r="D7" s="2">
        <f>((C7-C6)/(A7-A6))*((SUM(A6:A7)/2)/(SUM(C6:C7)/2))</f>
        <v>-0.19737576607841709</v>
      </c>
      <c r="E7" s="24">
        <f t="shared" si="0"/>
        <v>32669.792709077912</v>
      </c>
    </row>
    <row r="8" spans="1:5" x14ac:dyDescent="0.3">
      <c r="A8">
        <v>449</v>
      </c>
      <c r="B8" s="2">
        <f>SUM(C1:C2,RBC!C18,RBC!C11)</f>
        <v>6.2279999999999998</v>
      </c>
      <c r="C8" s="2">
        <f>C6*(B8/B6)</f>
        <v>8.9035025017869918E-2</v>
      </c>
      <c r="D8" s="2">
        <f t="shared" ref="D8:D9" si="1">((C8-C7)/(A8-A7))*((SUM(A7:A8)/2)/(SUM(C7:C8)/2))</f>
        <v>-0.1998747651847208</v>
      </c>
      <c r="E8" s="24">
        <f t="shared" si="0"/>
        <v>39976.72623302359</v>
      </c>
    </row>
    <row r="9" spans="1:5" x14ac:dyDescent="0.3">
      <c r="A9">
        <v>549</v>
      </c>
      <c r="B9" s="2">
        <f>SUM(C1:C2,RBC!C18,RBC!C12)</f>
        <v>6.1340000000000003</v>
      </c>
      <c r="C9" s="2">
        <f>C6*(B9/B6)</f>
        <v>8.7691208005718377E-2</v>
      </c>
      <c r="D9" s="2">
        <f t="shared" si="1"/>
        <v>-7.5887396861349515E-2</v>
      </c>
      <c r="E9" s="24">
        <f t="shared" si="0"/>
        <v>48142.473195139391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Ортогональный план</vt:lpstr>
      <vt:lpstr>RBC</vt:lpstr>
      <vt:lpstr>Оптимизация продукта</vt:lpstr>
      <vt:lpstr>Кривая спроса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Vadim Saprykin</cp:lastModifiedBy>
  <dcterms:created xsi:type="dcterms:W3CDTF">2024-11-25T12:23:41Z</dcterms:created>
  <dcterms:modified xsi:type="dcterms:W3CDTF">2025-11-05T18:32:54Z</dcterms:modified>
</cp:coreProperties>
</file>