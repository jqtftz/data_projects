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182023B9-CE6E-453F-881F-A259A9E8FA4F}" xr6:coauthVersionLast="47" xr6:coauthVersionMax="47" xr10:uidLastSave="{00000000-0000-0000-0000-000000000000}"/>
  <bookViews>
    <workbookView xWindow="-108" yWindow="-108" windowWidth="23256" windowHeight="13896" xr2:uid="{EBDFB3A1-3F6B-5142-A2E6-498C251D7DBE}"/>
  </bookViews>
  <sheets>
    <sheet name="Заявленная важность" sheetId="1" r:id="rId1"/>
    <sheet name="Реальная важность" sheetId="2" r:id="rId2"/>
    <sheet name="Карта (Данные)" sheetId="3" r:id="rId3"/>
    <sheet name="Карта" sheetId="4" r:id="rId4"/>
    <sheet name="BRAND" sheetId="6" r:id="rId5"/>
    <sheet name="GAP BRAND VS BRAND" sheetId="5" r:id="rId6"/>
    <sheet name="Needs&amp;Gaps" sheetId="7" r:id="rId7"/>
    <sheet name="Needs&amp;Gaps (карта)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7" l="1"/>
  <c r="C26" i="7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3" i="5"/>
  <c r="C27" i="3"/>
  <c r="B27" i="3"/>
</calcChain>
</file>

<file path=xl/sharedStrings.xml><?xml version="1.0" encoding="utf-8"?>
<sst xmlns="http://schemas.openxmlformats.org/spreadsheetml/2006/main" count="159" uniqueCount="59">
  <si>
    <t>TOP1</t>
  </si>
  <si>
    <t>Финансовая устойчивость банка</t>
  </si>
  <si>
    <t>Стабильность банка</t>
  </si>
  <si>
    <t>Уровень процентных ставок по кредитам/ ссудам</t>
  </si>
  <si>
    <t>Правильность расчета тарифов при различных банковских услугах</t>
  </si>
  <si>
    <t>Понятность условий погашения задолженности по кредиту</t>
  </si>
  <si>
    <t>Уровень процентных ставок по банковским вкладам и депозитам</t>
  </si>
  <si>
    <t>Качество и точность работы при предоставлении банковских продуктов и услуг</t>
  </si>
  <si>
    <t>Развитая сеть банкоматов</t>
  </si>
  <si>
    <t>Время ожидания у стойки в отделении банка</t>
  </si>
  <si>
    <t>Простота оформления и ведения запрашиваемых банковских продуктов и услуг</t>
  </si>
  <si>
    <t>Достижимость отделений банка: они встречаются везде и удобно расположены</t>
  </si>
  <si>
    <t>Срок погашения денежного кредита</t>
  </si>
  <si>
    <t>Процесс получения денежного кредита несложный</t>
  </si>
  <si>
    <t>Срок существования на рынке</t>
  </si>
  <si>
    <t>Простота процесса получения необходимой Вам банковской карточки</t>
  </si>
  <si>
    <t>Легкость и быстрота оформления кредита в местах продаж</t>
  </si>
  <si>
    <t>Услужливость персонала</t>
  </si>
  <si>
    <t>Для получения кредита не нужны поручители/ гаранты</t>
  </si>
  <si>
    <t>Широкий ассортимент банковских продуктов и услуг</t>
  </si>
  <si>
    <t>Часы работы отделений банка</t>
  </si>
  <si>
    <t>Современный банк</t>
  </si>
  <si>
    <t>Использование системы Интернет-банкинга</t>
  </si>
  <si>
    <t>Индивидуальный подход к клиентам. забота о них</t>
  </si>
  <si>
    <t>Количество розничных магазинов. где банк предоставляет кредит</t>
  </si>
  <si>
    <t>Корреляции</t>
  </si>
  <si>
    <t>Оценка фактора по банку 1: Стабильность банка</t>
  </si>
  <si>
    <t>Оценка фактора по банку 1: Срок существования на рынке</t>
  </si>
  <si>
    <t>Оценка фактора по банку 1: Современный банк</t>
  </si>
  <si>
    <t>Оценка фактора по банку 1: Финансовая устойчивость банка</t>
  </si>
  <si>
    <t>Оценка фактора по банку 1: Часы работы отделений банка</t>
  </si>
  <si>
    <t>Оценка фактора по банку 1: Время ожидания у стойки в отделении банка</t>
  </si>
  <si>
    <t>Оценка фактора по банку 1: Услужливость персонала</t>
  </si>
  <si>
    <t>Оценка фактора по банку 1: Достижимость отделений банка: они встречаются везде и удобно расположены</t>
  </si>
  <si>
    <t>Оценка фактора по банку 1: Широкий ассортимент банковских продуктов и услуг</t>
  </si>
  <si>
    <t>Оценка фактора по банку 1: Простота оформления и ведения запрашиваемых банковских продуктов и услуг</t>
  </si>
  <si>
    <t>Оценка фактора по банку 1: Качество и точность работы при предоставлении банковских продуктов и услуг</t>
  </si>
  <si>
    <t>Оценка фактора по банку 1: Простота процесса получения необходимой Вам банковской карточки</t>
  </si>
  <si>
    <t>Оценка фактора по банку 1: Развитая сеть банкоматов</t>
  </si>
  <si>
    <t>Оценка фактора по банку 1: Правильность расчета тарифов при различных банковских услугах</t>
  </si>
  <si>
    <t>Оценка фактора по банку 1: Уровень процентных ставок по банковским вкладам и депозитам</t>
  </si>
  <si>
    <t>Оценка фактора по банку 1: Уровень процентных ставок по кредитам/ ссудам</t>
  </si>
  <si>
    <t>Оценка фактора по банку 1: Легкость и быстрота оформления кредита в местах продаж</t>
  </si>
  <si>
    <t>Оценка фактора по банку 1: Процесс получения денежного кредита несложный</t>
  </si>
  <si>
    <t>Оценка фактора по банку 1: Срок погашения денежного кредита</t>
  </si>
  <si>
    <t>Оценка фактора по банку 1: Для получения кредита не нужны поручители/ гаранты</t>
  </si>
  <si>
    <t>Оценка фактора по банку 1: Понятность условий погашения задолженности по кредиту</t>
  </si>
  <si>
    <t>Оценка фактора по банку 1:  Использование системы Интернет-банкинга</t>
  </si>
  <si>
    <t>Как бы Вы в целом оценили работу своего ПЕРВОГО основного банка, уровень предоставляемых им услуг?</t>
  </si>
  <si>
    <t>Оценка фактора по банку 1: Индивидуальный подход к клиентам. забота о них</t>
  </si>
  <si>
    <t>Оценка фактора по банку 1: Количество розничных магазинов. где банк предоставляет кредит</t>
  </si>
  <si>
    <t xml:space="preserve">Все шкалы преобразованы в дихотомические. Оценка 5 по исходной шкале преобразована в 1, остальные значения - в 0. </t>
  </si>
  <si>
    <t>Доля оценки 5 по шкале</t>
  </si>
  <si>
    <t xml:space="preserve"> Использование системы Интернет-банкинга</t>
  </si>
  <si>
    <t>R</t>
  </si>
  <si>
    <t>Основной банк</t>
  </si>
  <si>
    <t>Реальная важность</t>
  </si>
  <si>
    <t>BRAND</t>
  </si>
  <si>
    <t>BRAND VS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</si>
</sst>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00"/>
    <numFmt numFmtId="166" formatCode="_-* #,##0.0_-;\-* #,##0.0_-;_-* &quot;-&quot;??_-;_-@_-"/>
    <numFmt numFmtId="167" formatCode="_-* #,##0.0\ _₽_-;\-* #,##0.0\ _₽_-;_-* &quot;-&quot;??\ _₽_-;_-@_-"/>
  </numFmts>
  <fonts count="6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</font>
    <font>
      <sz val="12"/>
      <color rgb="FF00B050"/>
      <name val="Gill Sans"/>
      <family val="2"/>
    </font>
    <font>
      <sz val="12"/>
      <color rgb="FFFF0000"/>
      <name val="Gill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C2E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0" applyNumberFormat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164" fontId="2" fillId="0" borderId="0" xfId="0" applyNumberFormat="1" applyFont="1"/>
    <xf numFmtId="166" fontId="2" fillId="0" borderId="0" xfId="1" applyNumberFormat="1" applyFont="1"/>
    <xf numFmtId="167" fontId="2" fillId="0" borderId="0" xfId="0" applyNumberFormat="1" applyFont="1"/>
    <xf numFmtId="0" fontId="4" fillId="0" borderId="0" xfId="0" applyFont="1"/>
    <xf numFmtId="166" fontId="4" fillId="0" borderId="0" xfId="1" applyNumberFormat="1" applyFont="1"/>
    <xf numFmtId="0" fontId="5" fillId="0" borderId="0" xfId="0" applyFont="1"/>
    <xf numFmtId="166" fontId="5" fillId="0" borderId="0" xfId="1" applyNumberFormat="1" applyFont="1"/>
    <xf numFmtId="167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AC2E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'Карта (Данные)'!$B$2</c:f>
              <c:strCache>
                <c:ptCount val="1"/>
                <c:pt idx="0">
                  <c:v>TOP1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'Карта (Данные)'!$B$3:$B$26</c:f>
              <c:numCache>
                <c:formatCode>0.0%</c:formatCode>
                <c:ptCount val="24"/>
                <c:pt idx="0">
                  <c:v>0.46500000000000002</c:v>
                </c:pt>
                <c:pt idx="1">
                  <c:v>0.33100000000000002</c:v>
                </c:pt>
                <c:pt idx="2">
                  <c:v>0.43099999999999999</c:v>
                </c:pt>
                <c:pt idx="3">
                  <c:v>0.45300000000000001</c:v>
                </c:pt>
                <c:pt idx="4">
                  <c:v>0.21299999999999999</c:v>
                </c:pt>
                <c:pt idx="5">
                  <c:v>0.59299999999999997</c:v>
                </c:pt>
                <c:pt idx="6">
                  <c:v>0.189</c:v>
                </c:pt>
                <c:pt idx="7">
                  <c:v>0.35799999999999998</c:v>
                </c:pt>
                <c:pt idx="8">
                  <c:v>0.63500000000000001</c:v>
                </c:pt>
                <c:pt idx="9">
                  <c:v>0.65900000000000003</c:v>
                </c:pt>
                <c:pt idx="10">
                  <c:v>0.443</c:v>
                </c:pt>
                <c:pt idx="11">
                  <c:v>0.36499999999999999</c:v>
                </c:pt>
                <c:pt idx="12">
                  <c:v>0.39500000000000002</c:v>
                </c:pt>
                <c:pt idx="13">
                  <c:v>0.53500000000000003</c:v>
                </c:pt>
                <c:pt idx="14">
                  <c:v>0.22900000000000001</c:v>
                </c:pt>
                <c:pt idx="15">
                  <c:v>0.41599999999999998</c:v>
                </c:pt>
                <c:pt idx="16">
                  <c:v>0.375</c:v>
                </c:pt>
                <c:pt idx="17">
                  <c:v>0.754</c:v>
                </c:pt>
                <c:pt idx="18">
                  <c:v>0.61599999999999999</c:v>
                </c:pt>
                <c:pt idx="19">
                  <c:v>0.67400000000000004</c:v>
                </c:pt>
                <c:pt idx="20">
                  <c:v>0.33400000000000002</c:v>
                </c:pt>
                <c:pt idx="21">
                  <c:v>0.76700000000000002</c:v>
                </c:pt>
                <c:pt idx="22">
                  <c:v>0.28699999999999998</c:v>
                </c:pt>
                <c:pt idx="23">
                  <c:v>0.314</c:v>
                </c:pt>
              </c:numCache>
            </c:numRef>
          </c:xVal>
          <c:yVal>
            <c:numRef>
              <c:f>'Карта (Данные)'!$C$3:$C$26</c:f>
              <c:numCache>
                <c:formatCode>0.000</c:formatCode>
                <c:ptCount val="24"/>
                <c:pt idx="0">
                  <c:v>0.27600000000000002</c:v>
                </c:pt>
                <c:pt idx="1">
                  <c:v>0.224</c:v>
                </c:pt>
                <c:pt idx="2">
                  <c:v>0.127</c:v>
                </c:pt>
                <c:pt idx="3">
                  <c:v>0.34599999999999997</c:v>
                </c:pt>
                <c:pt idx="4">
                  <c:v>0.27200000000000002</c:v>
                </c:pt>
                <c:pt idx="5">
                  <c:v>0.34100000000000003</c:v>
                </c:pt>
                <c:pt idx="6">
                  <c:v>0.19500000000000001</c:v>
                </c:pt>
                <c:pt idx="7">
                  <c:v>0.23499999999999999</c:v>
                </c:pt>
                <c:pt idx="8">
                  <c:v>0.28599999999999998</c:v>
                </c:pt>
                <c:pt idx="9">
                  <c:v>0.32</c:v>
                </c:pt>
                <c:pt idx="10">
                  <c:v>0.34499999999999997</c:v>
                </c:pt>
                <c:pt idx="11">
                  <c:v>0.27700000000000002</c:v>
                </c:pt>
                <c:pt idx="12">
                  <c:v>0.28000000000000003</c:v>
                </c:pt>
                <c:pt idx="13">
                  <c:v>0.16600000000000001</c:v>
                </c:pt>
                <c:pt idx="14">
                  <c:v>0.27900000000000003</c:v>
                </c:pt>
                <c:pt idx="15">
                  <c:v>0.27400000000000002</c:v>
                </c:pt>
                <c:pt idx="16">
                  <c:v>3.5000000000000003E-2</c:v>
                </c:pt>
                <c:pt idx="17">
                  <c:v>0.104</c:v>
                </c:pt>
                <c:pt idx="18">
                  <c:v>0.29899999999999999</c:v>
                </c:pt>
                <c:pt idx="19">
                  <c:v>0.34100000000000003</c:v>
                </c:pt>
                <c:pt idx="20">
                  <c:v>0.33200000000000002</c:v>
                </c:pt>
                <c:pt idx="21">
                  <c:v>0.12</c:v>
                </c:pt>
                <c:pt idx="22">
                  <c:v>0.24399999999999999</c:v>
                </c:pt>
                <c:pt idx="23">
                  <c:v>0.30199999999999999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A-0444-8187-9CE21F7DD919}"/>
            </c:ext>
          </c:extLst>
        </c:ser>
        <c:ser>
          <c:idx val="1"/>
          <c:order val="1"/>
          <c:tx>
            <c:strRef>
              <c:f>'Карта (Данные)'!$C$2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ru-RU"/>
                      <a:t>Время ожидания у стойки в отделении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C8A-0444-8187-9CE21F7DD919}"/>
                </c:ext>
              </c:extLst>
            </c:dLbl>
            <c:dLbl>
              <c:idx val="1"/>
              <c:layout>
                <c:manualLayout>
                  <c:x val="5.4631827190496939E-2"/>
                  <c:y val="6.9125678102944565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Для получения кредита не нужны поручители/ гаранты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C8A-0444-8187-9CE21F7DD9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ru-RU"/>
                      <a:t>Достижимость отделений банка: они встречаются везде и удобно расположены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C8A-0444-8187-9CE21F7DD9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ru-RU"/>
                      <a:t>Индивидуальный подход к клиентам. забота о них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C8A-0444-8187-9CE21F7DD919}"/>
                </c:ext>
              </c:extLst>
            </c:dLbl>
            <c:dLbl>
              <c:idx val="4"/>
              <c:layout>
                <c:manualLayout>
                  <c:x val="0"/>
                  <c:y val="1.6757740146168321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Использование системы Интернет-банкинга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C8A-0444-8187-9CE21F7DD919}"/>
                </c:ext>
              </c:extLst>
            </c:dLbl>
            <c:dLbl>
              <c:idx val="5"/>
              <c:layout>
                <c:manualLayout>
                  <c:x val="4.0973870392872744E-2"/>
                  <c:y val="-0.16757740146168398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Качество и точность работы при предоставлении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C8A-0444-8187-9CE21F7DD91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ru-RU"/>
                      <a:t>Количество розничных магазинов. где банк предоставляет кредит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C8A-0444-8187-9CE21F7DD91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/>
                      <a:t>Легкость и быстрота оформления кредита в местах продаж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C8A-0444-8187-9CE21F7DD919}"/>
                </c:ext>
              </c:extLst>
            </c:dLbl>
            <c:dLbl>
              <c:idx val="8"/>
              <c:layout>
                <c:manualLayout>
                  <c:x val="6.5558192628596287E-2"/>
                  <c:y val="4.6083785401963097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Понятность условий погашения задолженности по кредиту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C8A-0444-8187-9CE21F7DD919}"/>
                </c:ext>
              </c:extLst>
            </c:dLbl>
            <c:dLbl>
              <c:idx val="9"/>
              <c:layout>
                <c:manualLayout>
                  <c:x val="7.3752966707170839E-2"/>
                  <c:y val="-2.094717518271049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Правильность расчета тарифов при различных банковских услугах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C8A-0444-8187-9CE21F7DD919}"/>
                </c:ext>
              </c:extLst>
            </c:dLbl>
            <c:dLbl>
              <c:idx val="10"/>
              <c:layout>
                <c:manualLayout>
                  <c:x val="1.3657956797624247E-2"/>
                  <c:y val="-9.0072853285655147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Простота оформления и ведения запрашиваемых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C8A-0444-8187-9CE21F7DD919}"/>
                </c:ext>
              </c:extLst>
            </c:dLbl>
            <c:dLbl>
              <c:idx val="11"/>
              <c:layout>
                <c:manualLayout>
                  <c:x val="-0.10516626734170675"/>
                  <c:y val="-0.21994533941846023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Простота процесса получения необходимой Вам банковской карточки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C8A-0444-8187-9CE21F7DD919}"/>
                </c:ext>
              </c:extLst>
            </c:dLbl>
            <c:dLbl>
              <c:idx val="12"/>
              <c:layout>
                <c:manualLayout>
                  <c:x val="5.1900235830972141E-2"/>
                  <c:y val="-8.3788700730842033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Процесс получения денежного кредита несложный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C8A-0444-8187-9CE21F7DD91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ru-RU"/>
                      <a:t>Развитая сеть банкоматов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C8A-0444-8187-9CE21F7DD919}"/>
                </c:ext>
              </c:extLst>
            </c:dLbl>
            <c:dLbl>
              <c:idx val="14"/>
              <c:layout>
                <c:manualLayout>
                  <c:x val="-0.1597980945322037"/>
                  <c:y val="2.9326045255794696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Современный банк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C8A-0444-8187-9CE21F7DD919}"/>
                </c:ext>
              </c:extLst>
            </c:dLbl>
            <c:dLbl>
              <c:idx val="15"/>
              <c:layout>
                <c:manualLayout>
                  <c:x val="3.9608074713110217E-2"/>
                  <c:y val="4.1894350365420996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Срок погашения денежного кредита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C8A-0444-8187-9CE21F7DD91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ru-RU"/>
                      <a:t>Срок существования на рынке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C8A-0444-8187-9CE21F7DD91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ru-RU"/>
                      <a:t>Стабильность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C8A-0444-8187-9CE21F7DD91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ru-RU"/>
                      <a:t>Уровень процентных ставок по банковским вкладам и депозитам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C8A-0444-8187-9CE21F7DD919}"/>
                </c:ext>
              </c:extLst>
            </c:dLbl>
            <c:dLbl>
              <c:idx val="19"/>
              <c:layout>
                <c:manualLayout>
                  <c:x val="7.6484558066695782E-2"/>
                  <c:y val="-9.0072853285655147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Уровень процентных ставок по кредитам/ ссудам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C8A-0444-8187-9CE21F7DD919}"/>
                </c:ext>
              </c:extLst>
            </c:dLbl>
            <c:dLbl>
              <c:idx val="20"/>
              <c:layout>
                <c:manualLayout>
                  <c:x val="-0.13521377229648004"/>
                  <c:y val="-3.3515480292336801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Услужливость персонала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C8A-0444-8187-9CE21F7DD919}"/>
                </c:ext>
              </c:extLst>
            </c:dLbl>
            <c:dLbl>
              <c:idx val="21"/>
              <c:layout>
                <c:manualLayout>
                  <c:x val="-1.775534383691162E-2"/>
                  <c:y val="-2.9326045255794696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Финансовая устойчивость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C8A-0444-8187-9CE21F7DD919}"/>
                </c:ext>
              </c:extLst>
            </c:dLbl>
            <c:dLbl>
              <c:idx val="22"/>
              <c:layout>
                <c:manualLayout>
                  <c:x val="-0.19257719084650191"/>
                  <c:y val="5.027322043850519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Часы работы отделений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C8A-0444-8187-9CE21F7DD919}"/>
                </c:ext>
              </c:extLst>
            </c:dLbl>
            <c:dLbl>
              <c:idx val="23"/>
              <c:layout>
                <c:manualLayout>
                  <c:x val="-0.19667457788578921"/>
                  <c:y val="-1.6757740146168439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Широкий ассортимент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C8A-0444-8187-9CE21F7DD9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'Карта (Данные)'!$B$3:$B$26</c:f>
              <c:numCache>
                <c:formatCode>0.0%</c:formatCode>
                <c:ptCount val="24"/>
                <c:pt idx="0">
                  <c:v>0.46500000000000002</c:v>
                </c:pt>
                <c:pt idx="1">
                  <c:v>0.33100000000000002</c:v>
                </c:pt>
                <c:pt idx="2">
                  <c:v>0.43099999999999999</c:v>
                </c:pt>
                <c:pt idx="3">
                  <c:v>0.45300000000000001</c:v>
                </c:pt>
                <c:pt idx="4">
                  <c:v>0.21299999999999999</c:v>
                </c:pt>
                <c:pt idx="5">
                  <c:v>0.59299999999999997</c:v>
                </c:pt>
                <c:pt idx="6">
                  <c:v>0.189</c:v>
                </c:pt>
                <c:pt idx="7">
                  <c:v>0.35799999999999998</c:v>
                </c:pt>
                <c:pt idx="8">
                  <c:v>0.63500000000000001</c:v>
                </c:pt>
                <c:pt idx="9">
                  <c:v>0.65900000000000003</c:v>
                </c:pt>
                <c:pt idx="10">
                  <c:v>0.443</c:v>
                </c:pt>
                <c:pt idx="11">
                  <c:v>0.36499999999999999</c:v>
                </c:pt>
                <c:pt idx="12">
                  <c:v>0.39500000000000002</c:v>
                </c:pt>
                <c:pt idx="13">
                  <c:v>0.53500000000000003</c:v>
                </c:pt>
                <c:pt idx="14">
                  <c:v>0.22900000000000001</c:v>
                </c:pt>
                <c:pt idx="15">
                  <c:v>0.41599999999999998</c:v>
                </c:pt>
                <c:pt idx="16">
                  <c:v>0.375</c:v>
                </c:pt>
                <c:pt idx="17">
                  <c:v>0.754</c:v>
                </c:pt>
                <c:pt idx="18">
                  <c:v>0.61599999999999999</c:v>
                </c:pt>
                <c:pt idx="19">
                  <c:v>0.67400000000000004</c:v>
                </c:pt>
                <c:pt idx="20">
                  <c:v>0.33400000000000002</c:v>
                </c:pt>
                <c:pt idx="21">
                  <c:v>0.76700000000000002</c:v>
                </c:pt>
                <c:pt idx="22">
                  <c:v>0.28699999999999998</c:v>
                </c:pt>
                <c:pt idx="23">
                  <c:v>0.314</c:v>
                </c:pt>
              </c:numCache>
            </c:numRef>
          </c:xVal>
          <c:yVal>
            <c:numRef>
              <c:f>'Карта (Данные)'!$C$3:$C$26</c:f>
              <c:numCache>
                <c:formatCode>0.000</c:formatCode>
                <c:ptCount val="24"/>
                <c:pt idx="0">
                  <c:v>0.27600000000000002</c:v>
                </c:pt>
                <c:pt idx="1">
                  <c:v>0.224</c:v>
                </c:pt>
                <c:pt idx="2">
                  <c:v>0.127</c:v>
                </c:pt>
                <c:pt idx="3">
                  <c:v>0.34599999999999997</c:v>
                </c:pt>
                <c:pt idx="4">
                  <c:v>0.27200000000000002</c:v>
                </c:pt>
                <c:pt idx="5">
                  <c:v>0.34100000000000003</c:v>
                </c:pt>
                <c:pt idx="6">
                  <c:v>0.19500000000000001</c:v>
                </c:pt>
                <c:pt idx="7">
                  <c:v>0.23499999999999999</c:v>
                </c:pt>
                <c:pt idx="8">
                  <c:v>0.28599999999999998</c:v>
                </c:pt>
                <c:pt idx="9">
                  <c:v>0.32</c:v>
                </c:pt>
                <c:pt idx="10">
                  <c:v>0.34499999999999997</c:v>
                </c:pt>
                <c:pt idx="11">
                  <c:v>0.27700000000000002</c:v>
                </c:pt>
                <c:pt idx="12">
                  <c:v>0.28000000000000003</c:v>
                </c:pt>
                <c:pt idx="13">
                  <c:v>0.16600000000000001</c:v>
                </c:pt>
                <c:pt idx="14">
                  <c:v>0.27900000000000003</c:v>
                </c:pt>
                <c:pt idx="15">
                  <c:v>0.27400000000000002</c:v>
                </c:pt>
                <c:pt idx="16">
                  <c:v>3.5000000000000003E-2</c:v>
                </c:pt>
                <c:pt idx="17">
                  <c:v>0.104</c:v>
                </c:pt>
                <c:pt idx="18">
                  <c:v>0.29899999999999999</c:v>
                </c:pt>
                <c:pt idx="19">
                  <c:v>0.34100000000000003</c:v>
                </c:pt>
                <c:pt idx="20">
                  <c:v>0.33200000000000002</c:v>
                </c:pt>
                <c:pt idx="21">
                  <c:v>0.12</c:v>
                </c:pt>
                <c:pt idx="22">
                  <c:v>0.24399999999999999</c:v>
                </c:pt>
                <c:pt idx="23">
                  <c:v>0.30199999999999999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A-0444-8187-9CE21F7D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393888"/>
        <c:axId val="317642960"/>
      </c:scatterChart>
      <c:valAx>
        <c:axId val="317393888"/>
        <c:scaling>
          <c:orientation val="minMax"/>
          <c:min val="0.1"/>
        </c:scaling>
        <c:delete val="0"/>
        <c:axPos val="b"/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642960"/>
        <c:crossesAt val="0.251"/>
        <c:crossBetween val="midCat"/>
      </c:valAx>
      <c:valAx>
        <c:axId val="317642960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7393888"/>
        <c:crossesAt val="0.4510000000000000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'Needs&amp;Gaps'!$C$1</c:f>
              <c:strCache>
                <c:ptCount val="1"/>
                <c:pt idx="0">
                  <c:v>BRAND VS BRAND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ru-RU"/>
                      <a:t>Использование системы Интернет-банкинга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577-6544-9AA2-32B2677348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ru-RU"/>
                      <a:t>Время ожидания у стойки в отделении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577-6544-9AA2-32B2677348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ru-RU"/>
                      <a:t>Для получения кредита не нужны поручители/ гаранты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577-6544-9AA2-32B2677348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ru-RU"/>
                      <a:t>Достижимость отделений банка: они встречаются везде и удобно расположены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577-6544-9AA2-32B2677348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ru-RU"/>
                      <a:t>Индивидуальный подход к клиентам. забота о них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577-6544-9AA2-32B2677348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ru-RU"/>
                      <a:t>Качество и точность работы при предоставлении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577-6544-9AA2-32B2677348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ru-RU"/>
                      <a:t>Количество розничных магазинов. где банк предоставляет кредит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577-6544-9AA2-32B2677348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/>
                      <a:t>Легкость и быстрота оформления кредита в местах продаж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577-6544-9AA2-32B2677348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ru-RU"/>
                      <a:t>Понятность условий погашения задолженности по кредиту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577-6544-9AA2-32B2677348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ru-RU"/>
                      <a:t>Правильность расчета тарифов при различных банковских услугах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577-6544-9AA2-32B2677348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ru-RU"/>
                      <a:t>Простота оформления и ведения запрашиваемых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577-6544-9AA2-32B26773483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ru-RU"/>
                      <a:t>Простота процесса получения необходимой Вам банковской карточки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577-6544-9AA2-32B26773483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ru-RU"/>
                      <a:t>Процесс получения денежного кредита несложный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0577-6544-9AA2-32B26773483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ru-RU"/>
                      <a:t>Развитая сеть банкоматов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577-6544-9AA2-32B26773483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ru-RU"/>
                      <a:t>Современный банк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577-6544-9AA2-32B26773483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ru-RU"/>
                      <a:t>Срок погашения денежного кредита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577-6544-9AA2-32B26773483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ru-RU"/>
                      <a:t>Срок существования на рынке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0577-6544-9AA2-32B26773483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ru-RU"/>
                      <a:t>Стабильность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0577-6544-9AA2-32B26773483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ru-RU"/>
                      <a:t>Уровень процентных ставок по банковским вкладам и депозитам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0577-6544-9AA2-32B26773483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ru-RU"/>
                      <a:t>Уровень процентных ставок по кредитам/ ссудам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577-6544-9AA2-32B26773483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ru-RU"/>
                      <a:t>Услужливость персонала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0577-6544-9AA2-32B26773483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ru-RU"/>
                      <a:t>Финансовая устойчивость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577-6544-9AA2-32B26773483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ru-RU"/>
                      <a:t>Часы работы отделений банка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0577-6544-9AA2-32B2677348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ru-RU"/>
                      <a:t>Широкий ассортимент банковских продуктов и услуг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577-6544-9AA2-32B267734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'Needs&amp;Gaps'!$B$2:$B$25</c:f>
              <c:numCache>
                <c:formatCode>0.000</c:formatCode>
                <c:ptCount val="24"/>
                <c:pt idx="0">
                  <c:v>0.27200000000000002</c:v>
                </c:pt>
                <c:pt idx="1">
                  <c:v>0.27600000000000002</c:v>
                </c:pt>
                <c:pt idx="2">
                  <c:v>0.224</c:v>
                </c:pt>
                <c:pt idx="3">
                  <c:v>0.127</c:v>
                </c:pt>
                <c:pt idx="4">
                  <c:v>0.34599999999999997</c:v>
                </c:pt>
                <c:pt idx="5">
                  <c:v>0.34100000000000003</c:v>
                </c:pt>
                <c:pt idx="6">
                  <c:v>0.19500000000000001</c:v>
                </c:pt>
                <c:pt idx="7">
                  <c:v>0.23499999999999999</c:v>
                </c:pt>
                <c:pt idx="8">
                  <c:v>0.28599999999999998</c:v>
                </c:pt>
                <c:pt idx="9">
                  <c:v>0.32</c:v>
                </c:pt>
                <c:pt idx="10">
                  <c:v>0.34499999999999997</c:v>
                </c:pt>
                <c:pt idx="11">
                  <c:v>0.27700000000000002</c:v>
                </c:pt>
                <c:pt idx="12">
                  <c:v>0.28000000000000003</c:v>
                </c:pt>
                <c:pt idx="13">
                  <c:v>0.16600000000000001</c:v>
                </c:pt>
                <c:pt idx="14">
                  <c:v>0.27900000000000003</c:v>
                </c:pt>
                <c:pt idx="15">
                  <c:v>0.27400000000000002</c:v>
                </c:pt>
                <c:pt idx="16">
                  <c:v>3.5000000000000003E-2</c:v>
                </c:pt>
                <c:pt idx="17">
                  <c:v>0.104</c:v>
                </c:pt>
                <c:pt idx="18">
                  <c:v>0.29899999999999999</c:v>
                </c:pt>
                <c:pt idx="19">
                  <c:v>0.34100000000000003</c:v>
                </c:pt>
                <c:pt idx="20">
                  <c:v>0.33200000000000002</c:v>
                </c:pt>
                <c:pt idx="21">
                  <c:v>0.12</c:v>
                </c:pt>
                <c:pt idx="22">
                  <c:v>0.24399999999999999</c:v>
                </c:pt>
                <c:pt idx="23">
                  <c:v>0.30199999999999999</c:v>
                </c:pt>
              </c:numCache>
            </c:numRef>
          </c:xVal>
          <c:yVal>
            <c:numRef>
              <c:f>'Needs&amp;Gaps'!$C$2:$C$25</c:f>
              <c:numCache>
                <c:formatCode>_-* #\ ##0.0\ _₽_-;\-* #\ ##0.0\ _₽_-;_-* "-"??\ _₽_-;_-@_-</c:formatCode>
                <c:ptCount val="24"/>
                <c:pt idx="0">
                  <c:v>30.699999999999996</c:v>
                </c:pt>
                <c:pt idx="1">
                  <c:v>20.2</c:v>
                </c:pt>
                <c:pt idx="2">
                  <c:v>33.1</c:v>
                </c:pt>
                <c:pt idx="3">
                  <c:v>-7.3999999999999986</c:v>
                </c:pt>
                <c:pt idx="4">
                  <c:v>29.5</c:v>
                </c:pt>
                <c:pt idx="5">
                  <c:v>23.099999999999994</c:v>
                </c:pt>
                <c:pt idx="6">
                  <c:v>19.999999999999996</c:v>
                </c:pt>
                <c:pt idx="7">
                  <c:v>23.2</c:v>
                </c:pt>
                <c:pt idx="8">
                  <c:v>11.5</c:v>
                </c:pt>
                <c:pt idx="9">
                  <c:v>15.100000000000001</c:v>
                </c:pt>
                <c:pt idx="10">
                  <c:v>24.1</c:v>
                </c:pt>
                <c:pt idx="11">
                  <c:v>31.400000000000009</c:v>
                </c:pt>
                <c:pt idx="12">
                  <c:v>26.6</c:v>
                </c:pt>
                <c:pt idx="13">
                  <c:v>0.69999999999999574</c:v>
                </c:pt>
                <c:pt idx="14">
                  <c:v>33.999999999999993</c:v>
                </c:pt>
                <c:pt idx="15">
                  <c:v>15.699999999999996</c:v>
                </c:pt>
                <c:pt idx="16">
                  <c:v>-19.79999999999999</c:v>
                </c:pt>
                <c:pt idx="17">
                  <c:v>-10.100000000000001</c:v>
                </c:pt>
                <c:pt idx="18">
                  <c:v>15.200000000000003</c:v>
                </c:pt>
                <c:pt idx="19">
                  <c:v>5</c:v>
                </c:pt>
                <c:pt idx="20">
                  <c:v>32.200000000000003</c:v>
                </c:pt>
                <c:pt idx="21">
                  <c:v>-10.799999999999997</c:v>
                </c:pt>
                <c:pt idx="22">
                  <c:v>20.900000000000002</c:v>
                </c:pt>
                <c:pt idx="23">
                  <c:v>19.399999999999991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7-6544-9AA2-32B267734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219824"/>
        <c:axId val="352780064"/>
      </c:scatterChart>
      <c:valAx>
        <c:axId val="38621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780064"/>
        <c:crossesAt val="16"/>
        <c:crossBetween val="midCat"/>
      </c:valAx>
      <c:valAx>
        <c:axId val="3527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\ _₽_-;\-* #\ ##0.0\ _₽_-;_-* &quot;-&quot;??\ _₽_-;_-@_-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219824"/>
        <c:crossesAt val="0.25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295D3A-1AFC-D34D-BBBD-A11E1056E996}">
  <sheetPr codeName="Диаграмма4"/>
  <sheetViews>
    <sheetView zoomScale="10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985BC1-60E6-1A4E-8CD5-54F87EA463C0}">
  <sheetPr codeName="Диаграмма8"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A46A66-7A3E-9742-A823-E0554A1F34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43DBB9-52AC-2240-97CE-CD743EC371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51CE-1F65-9148-85C0-87187D5FDB1F}">
  <sheetPr codeName="Лист1"/>
  <dimension ref="A1:C28"/>
  <sheetViews>
    <sheetView tabSelected="1" workbookViewId="0">
      <selection activeCell="A22" sqref="A22"/>
    </sheetView>
  </sheetViews>
  <sheetFormatPr defaultColWidth="11.19921875" defaultRowHeight="15.6"/>
  <cols>
    <col min="1" max="1" width="88.796875" bestFit="1" customWidth="1"/>
  </cols>
  <sheetData>
    <row r="1" spans="1:3">
      <c r="A1" s="2"/>
      <c r="B1" s="5" t="s">
        <v>0</v>
      </c>
      <c r="C1" s="2"/>
    </row>
    <row r="2" spans="1:3">
      <c r="A2" s="6" t="s">
        <v>1</v>
      </c>
      <c r="B2" s="7">
        <v>0.76700000000000002</v>
      </c>
      <c r="C2" s="2"/>
    </row>
    <row r="3" spans="1:3">
      <c r="A3" s="6" t="s">
        <v>2</v>
      </c>
      <c r="B3" s="7">
        <v>0.754</v>
      </c>
      <c r="C3" s="2"/>
    </row>
    <row r="4" spans="1:3">
      <c r="A4" s="6" t="s">
        <v>3</v>
      </c>
      <c r="B4" s="7">
        <v>0.67400000000000004</v>
      </c>
      <c r="C4" s="2"/>
    </row>
    <row r="5" spans="1:3">
      <c r="A5" s="2" t="s">
        <v>4</v>
      </c>
      <c r="B5" s="8">
        <v>0.65900000000000003</v>
      </c>
      <c r="C5" s="2"/>
    </row>
    <row r="6" spans="1:3">
      <c r="A6" s="2" t="s">
        <v>5</v>
      </c>
      <c r="B6" s="8">
        <v>0.63500000000000001</v>
      </c>
      <c r="C6" s="2"/>
    </row>
    <row r="7" spans="1:3">
      <c r="A7" s="2" t="s">
        <v>6</v>
      </c>
      <c r="B7" s="8">
        <v>0.61599999999999999</v>
      </c>
      <c r="C7" s="2"/>
    </row>
    <row r="8" spans="1:3">
      <c r="A8" s="2" t="s">
        <v>7</v>
      </c>
      <c r="B8" s="8">
        <v>0.59299999999999997</v>
      </c>
      <c r="C8" s="2"/>
    </row>
    <row r="9" spans="1:3">
      <c r="A9" s="2" t="s">
        <v>8</v>
      </c>
      <c r="B9" s="8">
        <v>0.53500000000000003</v>
      </c>
      <c r="C9" s="2"/>
    </row>
    <row r="10" spans="1:3">
      <c r="A10" s="2" t="s">
        <v>9</v>
      </c>
      <c r="B10" s="8">
        <v>0.46500000000000002</v>
      </c>
      <c r="C10" s="2"/>
    </row>
    <row r="11" spans="1:3">
      <c r="A11" s="2" t="s">
        <v>23</v>
      </c>
      <c r="B11" s="8">
        <v>0.45300000000000001</v>
      </c>
      <c r="C11" s="2"/>
    </row>
    <row r="12" spans="1:3">
      <c r="A12" s="2" t="s">
        <v>10</v>
      </c>
      <c r="B12" s="8">
        <v>0.443</v>
      </c>
      <c r="C12" s="2"/>
    </row>
    <row r="13" spans="1:3">
      <c r="A13" s="2" t="s">
        <v>11</v>
      </c>
      <c r="B13" s="8">
        <v>0.43099999999999999</v>
      </c>
      <c r="C13" s="2"/>
    </row>
    <row r="14" spans="1:3">
      <c r="A14" s="2" t="s">
        <v>12</v>
      </c>
      <c r="B14" s="8">
        <v>0.41599999999999998</v>
      </c>
      <c r="C14" s="2"/>
    </row>
    <row r="15" spans="1:3">
      <c r="A15" s="2" t="s">
        <v>13</v>
      </c>
      <c r="B15" s="8">
        <v>0.39500000000000002</v>
      </c>
      <c r="C15" s="2"/>
    </row>
    <row r="16" spans="1:3">
      <c r="A16" s="2" t="s">
        <v>14</v>
      </c>
      <c r="B16" s="8">
        <v>0.375</v>
      </c>
      <c r="C16" s="2"/>
    </row>
    <row r="17" spans="1:3">
      <c r="A17" s="2" t="s">
        <v>15</v>
      </c>
      <c r="B17" s="8">
        <v>0.36499999999999999</v>
      </c>
      <c r="C17" s="2"/>
    </row>
    <row r="18" spans="1:3">
      <c r="A18" s="2" t="s">
        <v>16</v>
      </c>
      <c r="B18" s="8">
        <v>0.35799999999999998</v>
      </c>
      <c r="C18" s="2"/>
    </row>
    <row r="19" spans="1:3">
      <c r="A19" s="2" t="s">
        <v>17</v>
      </c>
      <c r="B19" s="8">
        <v>0.33400000000000002</v>
      </c>
      <c r="C19" s="2"/>
    </row>
    <row r="20" spans="1:3">
      <c r="A20" s="2" t="s">
        <v>18</v>
      </c>
      <c r="B20" s="8">
        <v>0.33100000000000002</v>
      </c>
      <c r="C20" s="2"/>
    </row>
    <row r="21" spans="1:3">
      <c r="A21" s="2" t="s">
        <v>19</v>
      </c>
      <c r="B21" s="8">
        <v>0.314</v>
      </c>
      <c r="C21" s="2"/>
    </row>
    <row r="22" spans="1:3">
      <c r="A22" s="2" t="s">
        <v>20</v>
      </c>
      <c r="B22" s="8">
        <v>0.28699999999999998</v>
      </c>
      <c r="C22" s="2"/>
    </row>
    <row r="23" spans="1:3">
      <c r="A23" s="9" t="s">
        <v>21</v>
      </c>
      <c r="B23" s="10">
        <v>0.22900000000000001</v>
      </c>
      <c r="C23" s="2"/>
    </row>
    <row r="24" spans="1:3">
      <c r="A24" s="9" t="s">
        <v>22</v>
      </c>
      <c r="B24" s="10">
        <v>0.21299999999999999</v>
      </c>
      <c r="C24" s="2"/>
    </row>
    <row r="25" spans="1:3">
      <c r="A25" s="9" t="s">
        <v>24</v>
      </c>
      <c r="B25" s="10">
        <v>0.189</v>
      </c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 t="s">
        <v>52</v>
      </c>
      <c r="B28" s="2"/>
      <c r="C28" s="2"/>
    </row>
  </sheetData>
  <sortState xmlns:xlrd2="http://schemas.microsoft.com/office/spreadsheetml/2017/richdata2" ref="A2:B25">
    <sortCondition descending="1" ref="B2:B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FF5D-F268-0942-8206-8D9F6AB13133}">
  <sheetPr codeName="Лист2"/>
  <dimension ref="A1:B30"/>
  <sheetViews>
    <sheetView workbookViewId="0">
      <selection activeCell="B3" sqref="B3"/>
    </sheetView>
  </sheetViews>
  <sheetFormatPr defaultColWidth="11.19921875" defaultRowHeight="15.6"/>
  <cols>
    <col min="1" max="1" width="96.5" bestFit="1" customWidth="1"/>
  </cols>
  <sheetData>
    <row r="1" spans="1:2">
      <c r="A1" s="2"/>
      <c r="B1" s="2"/>
    </row>
    <row r="2" spans="1:2">
      <c r="A2" s="3" t="s">
        <v>25</v>
      </c>
      <c r="B2" s="2"/>
    </row>
    <row r="3" spans="1:2">
      <c r="A3" s="2"/>
      <c r="B3" s="2" t="s">
        <v>48</v>
      </c>
    </row>
    <row r="4" spans="1:2">
      <c r="A4" s="2" t="s">
        <v>49</v>
      </c>
      <c r="B4" s="4">
        <v>0.34599999999999997</v>
      </c>
    </row>
    <row r="5" spans="1:2">
      <c r="A5" s="2" t="s">
        <v>35</v>
      </c>
      <c r="B5" s="4">
        <v>0.34499999999999997</v>
      </c>
    </row>
    <row r="6" spans="1:2">
      <c r="A6" s="2" t="s">
        <v>36</v>
      </c>
      <c r="B6" s="4">
        <v>0.34100000000000003</v>
      </c>
    </row>
    <row r="7" spans="1:2">
      <c r="A7" s="2" t="s">
        <v>41</v>
      </c>
      <c r="B7" s="4">
        <v>0.34100000000000003</v>
      </c>
    </row>
    <row r="8" spans="1:2">
      <c r="A8" s="2" t="s">
        <v>32</v>
      </c>
      <c r="B8" s="4">
        <v>0.33200000000000002</v>
      </c>
    </row>
    <row r="9" spans="1:2">
      <c r="A9" s="2" t="s">
        <v>39</v>
      </c>
      <c r="B9" s="4">
        <v>0.32</v>
      </c>
    </row>
    <row r="10" spans="1:2">
      <c r="A10" s="2" t="s">
        <v>34</v>
      </c>
      <c r="B10" s="4">
        <v>0.30199999999999999</v>
      </c>
    </row>
    <row r="11" spans="1:2">
      <c r="A11" s="2" t="s">
        <v>40</v>
      </c>
      <c r="B11" s="4">
        <v>0.29899999999999999</v>
      </c>
    </row>
    <row r="12" spans="1:2">
      <c r="A12" s="2" t="s">
        <v>46</v>
      </c>
      <c r="B12" s="4">
        <v>0.28599999999999998</v>
      </c>
    </row>
    <row r="13" spans="1:2">
      <c r="A13" s="2" t="s">
        <v>43</v>
      </c>
      <c r="B13" s="4">
        <v>0.28000000000000003</v>
      </c>
    </row>
    <row r="14" spans="1:2">
      <c r="A14" s="2" t="s">
        <v>28</v>
      </c>
      <c r="B14" s="4">
        <v>0.27900000000000003</v>
      </c>
    </row>
    <row r="15" spans="1:2">
      <c r="A15" s="2" t="s">
        <v>37</v>
      </c>
      <c r="B15" s="4">
        <v>0.27700000000000002</v>
      </c>
    </row>
    <row r="16" spans="1:2">
      <c r="A16" s="2" t="s">
        <v>31</v>
      </c>
      <c r="B16" s="4">
        <v>0.27600000000000002</v>
      </c>
    </row>
    <row r="17" spans="1:2">
      <c r="A17" s="2" t="s">
        <v>44</v>
      </c>
      <c r="B17" s="4">
        <v>0.27400000000000002</v>
      </c>
    </row>
    <row r="18" spans="1:2">
      <c r="A18" s="2" t="s">
        <v>47</v>
      </c>
      <c r="B18" s="4">
        <v>0.27200000000000002</v>
      </c>
    </row>
    <row r="19" spans="1:2">
      <c r="A19" s="2" t="s">
        <v>30</v>
      </c>
      <c r="B19" s="4">
        <v>0.24399999999999999</v>
      </c>
    </row>
    <row r="20" spans="1:2">
      <c r="A20" s="2" t="s">
        <v>42</v>
      </c>
      <c r="B20" s="4">
        <v>0.23499999999999999</v>
      </c>
    </row>
    <row r="21" spans="1:2">
      <c r="A21" s="2" t="s">
        <v>45</v>
      </c>
      <c r="B21" s="4">
        <v>0.224</v>
      </c>
    </row>
    <row r="22" spans="1:2">
      <c r="A22" s="2" t="s">
        <v>50</v>
      </c>
      <c r="B22" s="4">
        <v>0.19500000000000001</v>
      </c>
    </row>
    <row r="23" spans="1:2">
      <c r="A23" s="2" t="s">
        <v>38</v>
      </c>
      <c r="B23" s="4">
        <v>0.16600000000000001</v>
      </c>
    </row>
    <row r="24" spans="1:2">
      <c r="A24" s="2" t="s">
        <v>33</v>
      </c>
      <c r="B24" s="4">
        <v>0.127</v>
      </c>
    </row>
    <row r="25" spans="1:2">
      <c r="A25" s="2" t="s">
        <v>29</v>
      </c>
      <c r="B25" s="4">
        <v>0.12</v>
      </c>
    </row>
    <row r="26" spans="1:2">
      <c r="A26" s="2" t="s">
        <v>26</v>
      </c>
      <c r="B26" s="4">
        <v>0.104</v>
      </c>
    </row>
    <row r="27" spans="1:2">
      <c r="A27" s="2" t="s">
        <v>27</v>
      </c>
      <c r="B27" s="4">
        <v>3.5000000000000003E-2</v>
      </c>
    </row>
    <row r="30" spans="1:2">
      <c r="A30" s="2" t="s">
        <v>51</v>
      </c>
    </row>
  </sheetData>
  <sortState xmlns:xlrd2="http://schemas.microsoft.com/office/spreadsheetml/2017/richdata2" ref="A4:B27">
    <sortCondition descending="1" ref="B4:B27"/>
  </sortState>
  <conditionalFormatting sqref="B4:B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A5AD-9A5C-694E-A7E7-F118B20F8D68}">
  <sheetPr codeName="Лист3"/>
  <dimension ref="A2:C27"/>
  <sheetViews>
    <sheetView zoomScale="125" workbookViewId="0">
      <selection activeCell="D3" sqref="D3"/>
    </sheetView>
  </sheetViews>
  <sheetFormatPr defaultColWidth="11.19921875" defaultRowHeight="15.6"/>
  <cols>
    <col min="1" max="1" width="38.296875" customWidth="1"/>
  </cols>
  <sheetData>
    <row r="2" spans="1:3">
      <c r="B2" s="11" t="s">
        <v>0</v>
      </c>
      <c r="C2" s="11" t="s">
        <v>54</v>
      </c>
    </row>
    <row r="3" spans="1:3">
      <c r="A3" s="2" t="s">
        <v>9</v>
      </c>
      <c r="B3" s="8">
        <v>0.46500000000000002</v>
      </c>
      <c r="C3" s="4">
        <v>0.27600000000000002</v>
      </c>
    </row>
    <row r="4" spans="1:3">
      <c r="A4" s="2" t="s">
        <v>18</v>
      </c>
      <c r="B4" s="8">
        <v>0.33100000000000002</v>
      </c>
      <c r="C4" s="4">
        <v>0.224</v>
      </c>
    </row>
    <row r="5" spans="1:3">
      <c r="A5" s="2" t="s">
        <v>11</v>
      </c>
      <c r="B5" s="8">
        <v>0.43099999999999999</v>
      </c>
      <c r="C5" s="4">
        <v>0.127</v>
      </c>
    </row>
    <row r="6" spans="1:3">
      <c r="A6" s="2" t="s">
        <v>23</v>
      </c>
      <c r="B6" s="8">
        <v>0.45300000000000001</v>
      </c>
      <c r="C6" s="4">
        <v>0.34599999999999997</v>
      </c>
    </row>
    <row r="7" spans="1:3">
      <c r="A7" s="2" t="s">
        <v>22</v>
      </c>
      <c r="B7" s="8">
        <v>0.21299999999999999</v>
      </c>
      <c r="C7" s="4">
        <v>0.27200000000000002</v>
      </c>
    </row>
    <row r="8" spans="1:3">
      <c r="A8" s="2" t="s">
        <v>7</v>
      </c>
      <c r="B8" s="8">
        <v>0.59299999999999997</v>
      </c>
      <c r="C8" s="4">
        <v>0.34100000000000003</v>
      </c>
    </row>
    <row r="9" spans="1:3">
      <c r="A9" s="2" t="s">
        <v>24</v>
      </c>
      <c r="B9" s="8">
        <v>0.189</v>
      </c>
      <c r="C9" s="4">
        <v>0.19500000000000001</v>
      </c>
    </row>
    <row r="10" spans="1:3">
      <c r="A10" s="2" t="s">
        <v>16</v>
      </c>
      <c r="B10" s="8">
        <v>0.35799999999999998</v>
      </c>
      <c r="C10" s="4">
        <v>0.23499999999999999</v>
      </c>
    </row>
    <row r="11" spans="1:3">
      <c r="A11" s="2" t="s">
        <v>5</v>
      </c>
      <c r="B11" s="8">
        <v>0.63500000000000001</v>
      </c>
      <c r="C11" s="4">
        <v>0.28599999999999998</v>
      </c>
    </row>
    <row r="12" spans="1:3">
      <c r="A12" s="2" t="s">
        <v>4</v>
      </c>
      <c r="B12" s="8">
        <v>0.65900000000000003</v>
      </c>
      <c r="C12" s="4">
        <v>0.32</v>
      </c>
    </row>
    <row r="13" spans="1:3">
      <c r="A13" s="2" t="s">
        <v>10</v>
      </c>
      <c r="B13" s="8">
        <v>0.443</v>
      </c>
      <c r="C13" s="4">
        <v>0.34499999999999997</v>
      </c>
    </row>
    <row r="14" spans="1:3">
      <c r="A14" s="2" t="s">
        <v>15</v>
      </c>
      <c r="B14" s="8">
        <v>0.36499999999999999</v>
      </c>
      <c r="C14" s="4">
        <v>0.27700000000000002</v>
      </c>
    </row>
    <row r="15" spans="1:3">
      <c r="A15" s="2" t="s">
        <v>13</v>
      </c>
      <c r="B15" s="8">
        <v>0.39500000000000002</v>
      </c>
      <c r="C15" s="4">
        <v>0.28000000000000003</v>
      </c>
    </row>
    <row r="16" spans="1:3">
      <c r="A16" s="2" t="s">
        <v>8</v>
      </c>
      <c r="B16" s="8">
        <v>0.53500000000000003</v>
      </c>
      <c r="C16" s="4">
        <v>0.16600000000000001</v>
      </c>
    </row>
    <row r="17" spans="1:3">
      <c r="A17" s="2" t="s">
        <v>21</v>
      </c>
      <c r="B17" s="8">
        <v>0.22900000000000001</v>
      </c>
      <c r="C17" s="4">
        <v>0.27900000000000003</v>
      </c>
    </row>
    <row r="18" spans="1:3">
      <c r="A18" s="2" t="s">
        <v>12</v>
      </c>
      <c r="B18" s="8">
        <v>0.41599999999999998</v>
      </c>
      <c r="C18" s="4">
        <v>0.27400000000000002</v>
      </c>
    </row>
    <row r="19" spans="1:3">
      <c r="A19" s="2" t="s">
        <v>14</v>
      </c>
      <c r="B19" s="8">
        <v>0.375</v>
      </c>
      <c r="C19" s="4">
        <v>3.5000000000000003E-2</v>
      </c>
    </row>
    <row r="20" spans="1:3">
      <c r="A20" s="2" t="s">
        <v>2</v>
      </c>
      <c r="B20" s="8">
        <v>0.754</v>
      </c>
      <c r="C20" s="4">
        <v>0.104</v>
      </c>
    </row>
    <row r="21" spans="1:3">
      <c r="A21" s="2" t="s">
        <v>6</v>
      </c>
      <c r="B21" s="8">
        <v>0.61599999999999999</v>
      </c>
      <c r="C21" s="4">
        <v>0.29899999999999999</v>
      </c>
    </row>
    <row r="22" spans="1:3">
      <c r="A22" s="2" t="s">
        <v>3</v>
      </c>
      <c r="B22" s="8">
        <v>0.67400000000000004</v>
      </c>
      <c r="C22" s="4">
        <v>0.34100000000000003</v>
      </c>
    </row>
    <row r="23" spans="1:3">
      <c r="A23" s="2" t="s">
        <v>17</v>
      </c>
      <c r="B23" s="8">
        <v>0.33400000000000002</v>
      </c>
      <c r="C23" s="4">
        <v>0.33200000000000002</v>
      </c>
    </row>
    <row r="24" spans="1:3">
      <c r="A24" s="2" t="s">
        <v>1</v>
      </c>
      <c r="B24" s="8">
        <v>0.76700000000000002</v>
      </c>
      <c r="C24" s="4">
        <v>0.12</v>
      </c>
    </row>
    <row r="25" spans="1:3">
      <c r="A25" s="2" t="s">
        <v>20</v>
      </c>
      <c r="B25" s="8">
        <v>0.28699999999999998</v>
      </c>
      <c r="C25" s="4">
        <v>0.24399999999999999</v>
      </c>
    </row>
    <row r="26" spans="1:3">
      <c r="A26" s="2" t="s">
        <v>19</v>
      </c>
      <c r="B26" s="8">
        <v>0.314</v>
      </c>
      <c r="C26" s="4">
        <v>0.30199999999999999</v>
      </c>
    </row>
    <row r="27" spans="1:3">
      <c r="A27" s="2"/>
      <c r="B27" s="12">
        <f>AVERAGE(B3:B26)</f>
        <v>0.45129166666666665</v>
      </c>
      <c r="C27" s="4">
        <f>AVERAGE(C3:C26)</f>
        <v>0.25083333333333335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3209-125B-9C45-9473-D3DAA76BB9AB}">
  <sheetPr codeName="Лист5"/>
  <dimension ref="A1:B26"/>
  <sheetViews>
    <sheetView workbookViewId="0">
      <selection activeCell="B3" sqref="B3"/>
    </sheetView>
  </sheetViews>
  <sheetFormatPr defaultColWidth="11.19921875" defaultRowHeight="15.6"/>
  <cols>
    <col min="1" max="1" width="96.296875" bestFit="1" customWidth="1"/>
  </cols>
  <sheetData>
    <row r="1" spans="1:2">
      <c r="A1" s="2"/>
      <c r="B1" s="2" t="s">
        <v>55</v>
      </c>
    </row>
    <row r="2" spans="1:2">
      <c r="A2" s="2"/>
      <c r="B2" s="2" t="s">
        <v>57</v>
      </c>
    </row>
    <row r="3" spans="1:2">
      <c r="A3" s="15" t="s">
        <v>21</v>
      </c>
      <c r="B3" s="16">
        <v>61.199999999999996</v>
      </c>
    </row>
    <row r="4" spans="1:2">
      <c r="A4" s="15" t="s">
        <v>2</v>
      </c>
      <c r="B4" s="16">
        <v>58.4</v>
      </c>
    </row>
    <row r="5" spans="1:2">
      <c r="A5" s="15" t="s">
        <v>15</v>
      </c>
      <c r="B5" s="16">
        <v>56.100000000000009</v>
      </c>
    </row>
    <row r="6" spans="1:2">
      <c r="A6" s="15" t="s">
        <v>14</v>
      </c>
      <c r="B6" s="16">
        <v>54.800000000000004</v>
      </c>
    </row>
    <row r="7" spans="1:2">
      <c r="A7" s="15" t="s">
        <v>4</v>
      </c>
      <c r="B7" s="16">
        <v>51.5</v>
      </c>
    </row>
    <row r="8" spans="1:2">
      <c r="A8" s="15" t="s">
        <v>1</v>
      </c>
      <c r="B8" s="16">
        <v>49.9</v>
      </c>
    </row>
    <row r="9" spans="1:2">
      <c r="A9" s="2" t="s">
        <v>7</v>
      </c>
      <c r="B9" s="13">
        <v>49.8</v>
      </c>
    </row>
    <row r="10" spans="1:2">
      <c r="A10" s="2" t="s">
        <v>12</v>
      </c>
      <c r="B10" s="13">
        <v>49.4</v>
      </c>
    </row>
    <row r="11" spans="1:2">
      <c r="A11" s="2" t="s">
        <v>17</v>
      </c>
      <c r="B11" s="13">
        <v>48.4</v>
      </c>
    </row>
    <row r="12" spans="1:2">
      <c r="A12" s="2" t="s">
        <v>53</v>
      </c>
      <c r="B12" s="13">
        <v>47.699999999999996</v>
      </c>
    </row>
    <row r="13" spans="1:2">
      <c r="A13" s="2" t="s">
        <v>19</v>
      </c>
      <c r="B13" s="13">
        <v>47.099999999999994</v>
      </c>
    </row>
    <row r="14" spans="1:2">
      <c r="A14" s="2" t="s">
        <v>18</v>
      </c>
      <c r="B14" s="13">
        <v>45.7</v>
      </c>
    </row>
    <row r="15" spans="1:2">
      <c r="A15" s="2" t="s">
        <v>20</v>
      </c>
      <c r="B15" s="13">
        <v>44.6</v>
      </c>
    </row>
    <row r="16" spans="1:2">
      <c r="A16" s="2" t="s">
        <v>5</v>
      </c>
      <c r="B16" s="13">
        <v>44.4</v>
      </c>
    </row>
    <row r="17" spans="1:2">
      <c r="A17" s="2" t="s">
        <v>10</v>
      </c>
      <c r="B17" s="13">
        <v>44.1</v>
      </c>
    </row>
    <row r="18" spans="1:2">
      <c r="A18" s="2" t="s">
        <v>8</v>
      </c>
      <c r="B18" s="13">
        <v>43.3</v>
      </c>
    </row>
    <row r="19" spans="1:2">
      <c r="A19" s="2" t="s">
        <v>11</v>
      </c>
      <c r="B19" s="13">
        <v>42.9</v>
      </c>
    </row>
    <row r="20" spans="1:2">
      <c r="A20" s="2" t="s">
        <v>23</v>
      </c>
      <c r="B20" s="13">
        <v>42.5</v>
      </c>
    </row>
    <row r="21" spans="1:2">
      <c r="A21" s="17" t="s">
        <v>13</v>
      </c>
      <c r="B21" s="18">
        <v>41.5</v>
      </c>
    </row>
    <row r="22" spans="1:2">
      <c r="A22" s="17" t="s">
        <v>24</v>
      </c>
      <c r="B22" s="18">
        <v>36.299999999999997</v>
      </c>
    </row>
    <row r="23" spans="1:2">
      <c r="A23" s="17" t="s">
        <v>16</v>
      </c>
      <c r="B23" s="18">
        <v>35.9</v>
      </c>
    </row>
    <row r="24" spans="1:2">
      <c r="A24" s="17" t="s">
        <v>6</v>
      </c>
      <c r="B24" s="18">
        <v>32.700000000000003</v>
      </c>
    </row>
    <row r="25" spans="1:2">
      <c r="A25" s="17" t="s">
        <v>9</v>
      </c>
      <c r="B25" s="18">
        <v>28.9</v>
      </c>
    </row>
    <row r="26" spans="1:2">
      <c r="A26" s="17" t="s">
        <v>3</v>
      </c>
      <c r="B26" s="18">
        <v>24.5</v>
      </c>
    </row>
  </sheetData>
  <sortState xmlns:xlrd2="http://schemas.microsoft.com/office/spreadsheetml/2017/richdata2" ref="A3:B26">
    <sortCondition descending="1" ref="B3:B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BE38-F955-414F-857A-268B63B890DA}">
  <sheetPr codeName="Лист6"/>
  <dimension ref="A1:D51"/>
  <sheetViews>
    <sheetView zoomScale="89" workbookViewId="0">
      <selection activeCell="D3" sqref="D3"/>
    </sheetView>
  </sheetViews>
  <sheetFormatPr defaultColWidth="11.19921875" defaultRowHeight="15.6"/>
  <cols>
    <col min="1" max="1" width="99.69921875" bestFit="1" customWidth="1"/>
    <col min="4" max="4" width="12.796875" bestFit="1" customWidth="1"/>
    <col min="719" max="719" width="14.69921875" bestFit="1" customWidth="1"/>
    <col min="720" max="720" width="12.69921875" bestFit="1" customWidth="1"/>
  </cols>
  <sheetData>
    <row r="1" spans="1:4">
      <c r="A1" s="2"/>
      <c r="B1" s="2" t="s">
        <v>55</v>
      </c>
      <c r="C1" s="2"/>
      <c r="D1" s="2"/>
    </row>
    <row r="2" spans="1:4">
      <c r="A2" s="2"/>
      <c r="B2" s="2" t="s">
        <v>57</v>
      </c>
      <c r="C2" s="2" t="s">
        <v>57</v>
      </c>
      <c r="D2" s="2" t="s">
        <v>58</v>
      </c>
    </row>
    <row r="3" spans="1:4">
      <c r="A3" s="2" t="s">
        <v>47</v>
      </c>
      <c r="B3" s="13">
        <v>47.699999999999996</v>
      </c>
      <c r="C3" s="13">
        <v>17</v>
      </c>
      <c r="D3" s="14">
        <f>B3-C3</f>
        <v>30.699999999999996</v>
      </c>
    </row>
    <row r="4" spans="1:4">
      <c r="A4" s="2" t="s">
        <v>46</v>
      </c>
      <c r="B4" s="13">
        <v>44.4</v>
      </c>
      <c r="C4" s="13">
        <v>32.9</v>
      </c>
      <c r="D4" s="14">
        <f t="shared" ref="D4:D26" si="0">B4-C4</f>
        <v>11.5</v>
      </c>
    </row>
    <row r="5" spans="1:4">
      <c r="A5" s="2" t="s">
        <v>45</v>
      </c>
      <c r="B5" s="13">
        <v>45.7</v>
      </c>
      <c r="C5" s="13">
        <v>12.6</v>
      </c>
      <c r="D5" s="14">
        <f t="shared" si="0"/>
        <v>33.1</v>
      </c>
    </row>
    <row r="6" spans="1:4">
      <c r="A6" s="2" t="s">
        <v>44</v>
      </c>
      <c r="B6" s="13">
        <v>49.4</v>
      </c>
      <c r="C6" s="13">
        <v>33.700000000000003</v>
      </c>
      <c r="D6" s="14">
        <f t="shared" si="0"/>
        <v>15.699999999999996</v>
      </c>
    </row>
    <row r="7" spans="1:4">
      <c r="A7" s="2" t="s">
        <v>43</v>
      </c>
      <c r="B7" s="13">
        <v>41.5</v>
      </c>
      <c r="C7" s="13">
        <v>14.899999999999999</v>
      </c>
      <c r="D7" s="14">
        <f t="shared" si="0"/>
        <v>26.6</v>
      </c>
    </row>
    <row r="8" spans="1:4">
      <c r="A8" s="2" t="s">
        <v>50</v>
      </c>
      <c r="B8" s="13">
        <v>36.299999999999997</v>
      </c>
      <c r="C8" s="13">
        <v>16.3</v>
      </c>
      <c r="D8" s="14">
        <f t="shared" si="0"/>
        <v>19.999999999999996</v>
      </c>
    </row>
    <row r="9" spans="1:4">
      <c r="A9" s="2" t="s">
        <v>42</v>
      </c>
      <c r="B9" s="13">
        <v>35.9</v>
      </c>
      <c r="C9" s="13">
        <v>12.7</v>
      </c>
      <c r="D9" s="14">
        <f t="shared" si="0"/>
        <v>23.2</v>
      </c>
    </row>
    <row r="10" spans="1:4">
      <c r="A10" s="2" t="s">
        <v>41</v>
      </c>
      <c r="B10" s="13">
        <v>24.5</v>
      </c>
      <c r="C10" s="13">
        <v>19.5</v>
      </c>
      <c r="D10" s="14">
        <f t="shared" si="0"/>
        <v>5</v>
      </c>
    </row>
    <row r="11" spans="1:4">
      <c r="A11" s="2" t="s">
        <v>40</v>
      </c>
      <c r="B11" s="13">
        <v>32.700000000000003</v>
      </c>
      <c r="C11" s="13">
        <v>17.5</v>
      </c>
      <c r="D11" s="14">
        <f t="shared" si="0"/>
        <v>15.200000000000003</v>
      </c>
    </row>
    <row r="12" spans="1:4">
      <c r="A12" s="2" t="s">
        <v>39</v>
      </c>
      <c r="B12" s="13">
        <v>51.5</v>
      </c>
      <c r="C12" s="13">
        <v>36.4</v>
      </c>
      <c r="D12" s="14">
        <f t="shared" si="0"/>
        <v>15.100000000000001</v>
      </c>
    </row>
    <row r="13" spans="1:4">
      <c r="A13" s="2" t="s">
        <v>38</v>
      </c>
      <c r="B13" s="13">
        <v>43.3</v>
      </c>
      <c r="C13" s="13">
        <v>42.6</v>
      </c>
      <c r="D13" s="14">
        <f t="shared" si="0"/>
        <v>0.69999999999999574</v>
      </c>
    </row>
    <row r="14" spans="1:4">
      <c r="A14" s="2" t="s">
        <v>37</v>
      </c>
      <c r="B14" s="13">
        <v>56.100000000000009</v>
      </c>
      <c r="C14" s="13">
        <v>24.7</v>
      </c>
      <c r="D14" s="14">
        <f t="shared" si="0"/>
        <v>31.400000000000009</v>
      </c>
    </row>
    <row r="15" spans="1:4">
      <c r="A15" s="2" t="s">
        <v>36</v>
      </c>
      <c r="B15" s="13">
        <v>49.8</v>
      </c>
      <c r="C15" s="13">
        <v>26.700000000000003</v>
      </c>
      <c r="D15" s="14">
        <f t="shared" si="0"/>
        <v>23.099999999999994</v>
      </c>
    </row>
    <row r="16" spans="1:4">
      <c r="A16" s="2" t="s">
        <v>35</v>
      </c>
      <c r="B16" s="13">
        <v>44.1</v>
      </c>
      <c r="C16" s="13">
        <v>20</v>
      </c>
      <c r="D16" s="14">
        <f t="shared" si="0"/>
        <v>24.1</v>
      </c>
    </row>
    <row r="17" spans="1:4">
      <c r="A17" s="2" t="s">
        <v>34</v>
      </c>
      <c r="B17" s="13">
        <v>47.099999999999994</v>
      </c>
      <c r="C17" s="13">
        <v>27.700000000000003</v>
      </c>
      <c r="D17" s="14">
        <f t="shared" si="0"/>
        <v>19.399999999999991</v>
      </c>
    </row>
    <row r="18" spans="1:4">
      <c r="A18" s="2" t="s">
        <v>33</v>
      </c>
      <c r="B18" s="13">
        <v>42.9</v>
      </c>
      <c r="C18" s="13">
        <v>50.3</v>
      </c>
      <c r="D18" s="14">
        <f t="shared" si="0"/>
        <v>-7.3999999999999986</v>
      </c>
    </row>
    <row r="19" spans="1:4">
      <c r="A19" s="2" t="s">
        <v>49</v>
      </c>
      <c r="B19" s="13">
        <v>42.5</v>
      </c>
      <c r="C19" s="13">
        <v>13</v>
      </c>
      <c r="D19" s="14">
        <f t="shared" si="0"/>
        <v>29.5</v>
      </c>
    </row>
    <row r="20" spans="1:4">
      <c r="A20" s="2" t="s">
        <v>32</v>
      </c>
      <c r="B20" s="13">
        <v>48.4</v>
      </c>
      <c r="C20" s="13">
        <v>16.2</v>
      </c>
      <c r="D20" s="14">
        <f t="shared" si="0"/>
        <v>32.200000000000003</v>
      </c>
    </row>
    <row r="21" spans="1:4">
      <c r="A21" s="2" t="s">
        <v>31</v>
      </c>
      <c r="B21" s="13">
        <v>28.9</v>
      </c>
      <c r="C21" s="13">
        <v>8.6999999999999993</v>
      </c>
      <c r="D21" s="14">
        <f t="shared" si="0"/>
        <v>20.2</v>
      </c>
    </row>
    <row r="22" spans="1:4">
      <c r="A22" s="2" t="s">
        <v>30</v>
      </c>
      <c r="B22" s="13">
        <v>44.6</v>
      </c>
      <c r="C22" s="13">
        <v>23.7</v>
      </c>
      <c r="D22" s="14">
        <f t="shared" si="0"/>
        <v>20.900000000000002</v>
      </c>
    </row>
    <row r="23" spans="1:4">
      <c r="A23" s="2" t="s">
        <v>29</v>
      </c>
      <c r="B23" s="13">
        <v>49.9</v>
      </c>
      <c r="C23" s="13">
        <v>60.699999999999996</v>
      </c>
      <c r="D23" s="14">
        <f t="shared" si="0"/>
        <v>-10.799999999999997</v>
      </c>
    </row>
    <row r="24" spans="1:4">
      <c r="A24" s="2" t="s">
        <v>28</v>
      </c>
      <c r="B24" s="13">
        <v>61.199999999999996</v>
      </c>
      <c r="C24" s="13">
        <v>27.200000000000003</v>
      </c>
      <c r="D24" s="14">
        <f t="shared" si="0"/>
        <v>33.999999999999993</v>
      </c>
    </row>
    <row r="25" spans="1:4">
      <c r="A25" s="2" t="s">
        <v>27</v>
      </c>
      <c r="B25" s="13">
        <v>54.800000000000004</v>
      </c>
      <c r="C25" s="13">
        <v>74.599999999999994</v>
      </c>
      <c r="D25" s="14">
        <f t="shared" si="0"/>
        <v>-19.79999999999999</v>
      </c>
    </row>
    <row r="26" spans="1:4">
      <c r="A26" s="2" t="s">
        <v>26</v>
      </c>
      <c r="B26" s="13">
        <v>58.4</v>
      </c>
      <c r="C26" s="13">
        <v>68.5</v>
      </c>
      <c r="D26" s="14">
        <f t="shared" si="0"/>
        <v>-10.100000000000001</v>
      </c>
    </row>
    <row r="28" spans="1:4">
      <c r="A28" s="2"/>
    </row>
    <row r="29" spans="1:4">
      <c r="A29" s="2"/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</sheetData>
  <conditionalFormatting sqref="D3:D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{247A0D81-D799-A54F-981E-806C2AF9FD90}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7A0D81-D799-A54F-981E-806C2AF9FD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6BA3-E82A-5848-A65C-E00FDF0D7400}">
  <sheetPr codeName="Лист7"/>
  <dimension ref="A1:C26"/>
  <sheetViews>
    <sheetView workbookViewId="0">
      <selection activeCell="C2" sqref="C2"/>
    </sheetView>
  </sheetViews>
  <sheetFormatPr defaultColWidth="11.19921875" defaultRowHeight="15.6"/>
  <cols>
    <col min="1" max="1" width="71.19921875" bestFit="1" customWidth="1"/>
    <col min="2" max="2" width="17.19921875" bestFit="1" customWidth="1"/>
    <col min="3" max="3" width="13" bestFit="1" customWidth="1"/>
  </cols>
  <sheetData>
    <row r="1" spans="1:3">
      <c r="B1" s="2" t="s">
        <v>56</v>
      </c>
      <c r="C1" s="2" t="s">
        <v>58</v>
      </c>
    </row>
    <row r="2" spans="1:3">
      <c r="A2" s="2" t="s">
        <v>22</v>
      </c>
      <c r="B2" s="4">
        <v>0.27200000000000002</v>
      </c>
      <c r="C2" s="14">
        <v>30.699999999999996</v>
      </c>
    </row>
    <row r="3" spans="1:3">
      <c r="A3" s="2" t="s">
        <v>9</v>
      </c>
      <c r="B3" s="4">
        <v>0.27600000000000002</v>
      </c>
      <c r="C3" s="14">
        <v>20.2</v>
      </c>
    </row>
    <row r="4" spans="1:3">
      <c r="A4" s="2" t="s">
        <v>18</v>
      </c>
      <c r="B4" s="4">
        <v>0.224</v>
      </c>
      <c r="C4" s="14">
        <v>33.1</v>
      </c>
    </row>
    <row r="5" spans="1:3">
      <c r="A5" s="2" t="s">
        <v>11</v>
      </c>
      <c r="B5" s="4">
        <v>0.127</v>
      </c>
      <c r="C5" s="14">
        <v>-7.3999999999999986</v>
      </c>
    </row>
    <row r="6" spans="1:3">
      <c r="A6" s="2" t="s">
        <v>23</v>
      </c>
      <c r="B6" s="4">
        <v>0.34599999999999997</v>
      </c>
      <c r="C6" s="14">
        <v>29.5</v>
      </c>
    </row>
    <row r="7" spans="1:3">
      <c r="A7" s="2" t="s">
        <v>7</v>
      </c>
      <c r="B7" s="4">
        <v>0.34100000000000003</v>
      </c>
      <c r="C7" s="14">
        <v>23.099999999999994</v>
      </c>
    </row>
    <row r="8" spans="1:3">
      <c r="A8" s="2" t="s">
        <v>24</v>
      </c>
      <c r="B8" s="4">
        <v>0.19500000000000001</v>
      </c>
      <c r="C8" s="14">
        <v>19.999999999999996</v>
      </c>
    </row>
    <row r="9" spans="1:3">
      <c r="A9" s="2" t="s">
        <v>16</v>
      </c>
      <c r="B9" s="4">
        <v>0.23499999999999999</v>
      </c>
      <c r="C9" s="14">
        <v>23.2</v>
      </c>
    </row>
    <row r="10" spans="1:3">
      <c r="A10" s="2" t="s">
        <v>5</v>
      </c>
      <c r="B10" s="4">
        <v>0.28599999999999998</v>
      </c>
      <c r="C10" s="14">
        <v>11.5</v>
      </c>
    </row>
    <row r="11" spans="1:3">
      <c r="A11" s="2" t="s">
        <v>4</v>
      </c>
      <c r="B11" s="4">
        <v>0.32</v>
      </c>
      <c r="C11" s="14">
        <v>15.100000000000001</v>
      </c>
    </row>
    <row r="12" spans="1:3">
      <c r="A12" s="2" t="s">
        <v>10</v>
      </c>
      <c r="B12" s="4">
        <v>0.34499999999999997</v>
      </c>
      <c r="C12" s="14">
        <v>24.1</v>
      </c>
    </row>
    <row r="13" spans="1:3">
      <c r="A13" s="2" t="s">
        <v>15</v>
      </c>
      <c r="B13" s="4">
        <v>0.27700000000000002</v>
      </c>
      <c r="C13" s="14">
        <v>31.400000000000009</v>
      </c>
    </row>
    <row r="14" spans="1:3">
      <c r="A14" s="2" t="s">
        <v>13</v>
      </c>
      <c r="B14" s="4">
        <v>0.28000000000000003</v>
      </c>
      <c r="C14" s="14">
        <v>26.6</v>
      </c>
    </row>
    <row r="15" spans="1:3">
      <c r="A15" s="2" t="s">
        <v>8</v>
      </c>
      <c r="B15" s="4">
        <v>0.16600000000000001</v>
      </c>
      <c r="C15" s="14">
        <v>0.69999999999999574</v>
      </c>
    </row>
    <row r="16" spans="1:3">
      <c r="A16" s="2" t="s">
        <v>21</v>
      </c>
      <c r="B16" s="4">
        <v>0.27900000000000003</v>
      </c>
      <c r="C16" s="14">
        <v>33.999999999999993</v>
      </c>
    </row>
    <row r="17" spans="1:3">
      <c r="A17" s="2" t="s">
        <v>12</v>
      </c>
      <c r="B17" s="4">
        <v>0.27400000000000002</v>
      </c>
      <c r="C17" s="14">
        <v>15.699999999999996</v>
      </c>
    </row>
    <row r="18" spans="1:3">
      <c r="A18" s="2" t="s">
        <v>14</v>
      </c>
      <c r="B18" s="4">
        <v>3.5000000000000003E-2</v>
      </c>
      <c r="C18" s="14">
        <v>-19.79999999999999</v>
      </c>
    </row>
    <row r="19" spans="1:3">
      <c r="A19" s="2" t="s">
        <v>2</v>
      </c>
      <c r="B19" s="4">
        <v>0.104</v>
      </c>
      <c r="C19" s="14">
        <v>-10.100000000000001</v>
      </c>
    </row>
    <row r="20" spans="1:3">
      <c r="A20" s="2" t="s">
        <v>6</v>
      </c>
      <c r="B20" s="4">
        <v>0.29899999999999999</v>
      </c>
      <c r="C20" s="14">
        <v>15.200000000000003</v>
      </c>
    </row>
    <row r="21" spans="1:3">
      <c r="A21" s="2" t="s">
        <v>3</v>
      </c>
      <c r="B21" s="4">
        <v>0.34100000000000003</v>
      </c>
      <c r="C21" s="14">
        <v>5</v>
      </c>
    </row>
    <row r="22" spans="1:3">
      <c r="A22" s="2" t="s">
        <v>17</v>
      </c>
      <c r="B22" s="4">
        <v>0.33200000000000002</v>
      </c>
      <c r="C22" s="14">
        <v>32.200000000000003</v>
      </c>
    </row>
    <row r="23" spans="1:3">
      <c r="A23" s="2" t="s">
        <v>1</v>
      </c>
      <c r="B23" s="4">
        <v>0.12</v>
      </c>
      <c r="C23" s="14">
        <v>-10.799999999999997</v>
      </c>
    </row>
    <row r="24" spans="1:3">
      <c r="A24" s="2" t="s">
        <v>20</v>
      </c>
      <c r="B24" s="4">
        <v>0.24399999999999999</v>
      </c>
      <c r="C24" s="14">
        <v>20.900000000000002</v>
      </c>
    </row>
    <row r="25" spans="1:3">
      <c r="A25" s="2" t="s">
        <v>19</v>
      </c>
      <c r="B25" s="4">
        <v>0.30199999999999999</v>
      </c>
      <c r="C25" s="14">
        <v>19.399999999999991</v>
      </c>
    </row>
    <row r="26" spans="1:3">
      <c r="B26" s="1">
        <f>AVERAGE(B2:B25)</f>
        <v>0.25083333333333335</v>
      </c>
      <c r="C26" s="19">
        <f>AVERAGE(C2:C25)</f>
        <v>15.979166666666659</v>
      </c>
    </row>
  </sheetData>
  <conditionalFormatting sqref="B2:B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{02CEEF95-D04C-844B-975C-D4C5B528ABC2}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CEEF95-D04C-844B-975C-D4C5B528AB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Диаграммы</vt:lpstr>
      </vt:variant>
      <vt:variant>
        <vt:i4>2</vt:i4>
      </vt:variant>
    </vt:vector>
  </HeadingPairs>
  <TitlesOfParts>
    <vt:vector size="8" baseType="lpstr">
      <vt:lpstr>Заявленная важность</vt:lpstr>
      <vt:lpstr>Реальная важность</vt:lpstr>
      <vt:lpstr>Карта (Данные)</vt:lpstr>
      <vt:lpstr>BRAND</vt:lpstr>
      <vt:lpstr>GAP BRAND VS BRAND</vt:lpstr>
      <vt:lpstr>Needs&amp;Gaps</vt:lpstr>
      <vt:lpstr>Карта</vt:lpstr>
      <vt:lpstr>Needs&amp;Gaps (карта)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2024-10-01T06:11:16Z</dcterms:created>
  <dcterms:modified xsi:type="dcterms:W3CDTF">2025-11-05T18:13:35Z</dcterms:modified>
</cp:coreProperties>
</file>