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OC\ДЗ3. Объем рынка - емкость рынка - доля рынка\"/>
    </mc:Choice>
  </mc:AlternateContent>
  <xr:revisionPtr revIDLastSave="0" documentId="13_ncr:1_{8513F9B5-B414-40AD-8B76-4C848CAAFF3B}" xr6:coauthVersionLast="47" xr6:coauthVersionMax="47" xr10:uidLastSave="{00000000-0000-0000-0000-000000000000}"/>
  <bookViews>
    <workbookView xWindow="-108" yWindow="-108" windowWidth="23256" windowHeight="13896" activeTab="6" xr2:uid="{5429C489-6143-1E47-ABDB-37F0483F781F}"/>
  </bookViews>
  <sheets>
    <sheet name="Описание источников данных" sheetId="1" r:id="rId1"/>
    <sheet name="Выборка" sheetId="2" r:id="rId2"/>
    <sheet name="Размер ГС" sheetId="3" r:id="rId3"/>
    <sheet name="Пенетрация за 3 месяца" sheetId="4" r:id="rId4"/>
    <sheet name="Оцифровка" sheetId="5" r:id="rId5"/>
    <sheet name="Ср. частота покупки раз в месяц" sheetId="6" r:id="rId6"/>
    <sheet name="Итог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7" l="1"/>
  <c r="B8" i="7" s="1"/>
  <c r="D8" i="7" s="1"/>
  <c r="E8" i="7" s="1"/>
  <c r="D2" i="7"/>
  <c r="B7" i="7" s="1"/>
  <c r="D7" i="7" s="1"/>
  <c r="E7" i="7" s="1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3" authorId="0" shapeId="0" xr:uid="{15DE9E19-ACC2-7A4F-B8A8-1AE19E4D487B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Поскольку данные по потреблению представлены за 2010 год, взял данные переписи за 2010 для повышения точности результатов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1" authorId="0" shapeId="0" xr:uid="{B33A2A1F-358C-0149-93F3-B4F57971A35F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Поскольку данные по потреблению представлены за 2010 год, взял данные переписи за 2010 для повышения точности результатов</t>
        </r>
      </text>
    </comment>
  </commentList>
</comments>
</file>

<file path=xl/sharedStrings.xml><?xml version="1.0" encoding="utf-8"?>
<sst xmlns="http://schemas.openxmlformats.org/spreadsheetml/2006/main" count="132" uniqueCount="101">
  <si>
    <t>Частота</t>
  </si>
  <si>
    <t>Проценты</t>
  </si>
  <si>
    <t>Валидный процент</t>
  </si>
  <si>
    <t>26,7</t>
  </si>
  <si>
    <t>СЗФО</t>
  </si>
  <si>
    <t>9,9</t>
  </si>
  <si>
    <t>ПФО</t>
  </si>
  <si>
    <t>17,9</t>
  </si>
  <si>
    <t>ЮФО + СКФО</t>
  </si>
  <si>
    <t>9,6</t>
  </si>
  <si>
    <t>УрФО</t>
  </si>
  <si>
    <t>14,7</t>
  </si>
  <si>
    <t>СФО</t>
  </si>
  <si>
    <t>17,0</t>
  </si>
  <si>
    <t>ДФО</t>
  </si>
  <si>
    <t>4,2</t>
  </si>
  <si>
    <t>100,0</t>
  </si>
  <si>
    <t>Всего</t>
  </si>
  <si>
    <t>Частотная таблица по ФО</t>
  </si>
  <si>
    <t>Частотная таблица по размеру и типу населенного пункта</t>
  </si>
  <si>
    <t>Сельский населенный пункт</t>
  </si>
  <si>
    <t>25,3</t>
  </si>
  <si>
    <t>Поселок городского типа</t>
  </si>
  <si>
    <t>7,8</t>
  </si>
  <si>
    <t>Город до 50 тыс.чел.</t>
  </si>
  <si>
    <t>11,0</t>
  </si>
  <si>
    <t>Город от 50 до 99 тыс.чел.</t>
  </si>
  <si>
    <t>9,5</t>
  </si>
  <si>
    <t>Город от 100 до 249 тыс.чел.</t>
  </si>
  <si>
    <t>Город от 250 до 499 тыс.чел.</t>
  </si>
  <si>
    <t>11,1</t>
  </si>
  <si>
    <t>Город от 500 тыс. до 1 млн.чел.</t>
  </si>
  <si>
    <t>9,4</t>
  </si>
  <si>
    <t>Город свыше 1 млн.чел.</t>
  </si>
  <si>
    <t>16,4</t>
  </si>
  <si>
    <t>ЦФО + МОСКВА</t>
  </si>
  <si>
    <t>ФО</t>
  </si>
  <si>
    <t>Тип и размер населенного пункта</t>
  </si>
  <si>
    <t>Представлены данные по всем ФО</t>
  </si>
  <si>
    <t>Представлены данные по всем типам населенных пунктов</t>
  </si>
  <si>
    <t>База данных</t>
  </si>
  <si>
    <t>Веса</t>
  </si>
  <si>
    <t>Частотная таблица по полу</t>
  </si>
  <si>
    <t>Мужской</t>
  </si>
  <si>
    <t>43,4</t>
  </si>
  <si>
    <t>Женский</t>
  </si>
  <si>
    <t>56,6</t>
  </si>
  <si>
    <t>Пол</t>
  </si>
  <si>
    <t>Частотная таблица по возрастным интервалам</t>
  </si>
  <si>
    <t>16-19 лет</t>
  </si>
  <si>
    <t>8,2</t>
  </si>
  <si>
    <t>20-29 лет</t>
  </si>
  <si>
    <t>16,6</t>
  </si>
  <si>
    <t>30-39 лет</t>
  </si>
  <si>
    <t>19,1</t>
  </si>
  <si>
    <t>40-49 лет</t>
  </si>
  <si>
    <t>20,1</t>
  </si>
  <si>
    <t>50-64 лет</t>
  </si>
  <si>
    <t>20,7</t>
  </si>
  <si>
    <t>65 лет и старше</t>
  </si>
  <si>
    <t>15,3</t>
  </si>
  <si>
    <t>Возраст</t>
  </si>
  <si>
    <t>База данных Росстат</t>
  </si>
  <si>
    <t>Население по возрасту и полу (ВПН 2010)</t>
  </si>
  <si>
    <t>Городское и сельское население</t>
  </si>
  <si>
    <t>Мужчины и женщины</t>
  </si>
  <si>
    <t>в том числе в возрасте, лет:</t>
  </si>
  <si>
    <t>Размах показателя: 16-90 лет</t>
  </si>
  <si>
    <t>Представлены возраста от 16 до 90 лет</t>
  </si>
  <si>
    <t>65-90 лет</t>
  </si>
  <si>
    <t>Переменная weight (пол, возраст, ФО)</t>
  </si>
  <si>
    <t>Продукт</t>
  </si>
  <si>
    <t>Кетчупы, соусы</t>
  </si>
  <si>
    <t>Потребляют ли?</t>
  </si>
  <si>
    <t>Потребляют за 3 месяца: Кетчупы, соусы (c4_15)</t>
  </si>
  <si>
    <t>ежедневно</t>
  </si>
  <si>
    <t>раз в неделю</t>
  </si>
  <si>
    <t>1 раз в две недели</t>
  </si>
  <si>
    <t>1 раз в месяц</t>
  </si>
  <si>
    <t>раз в 2-3 месяца</t>
  </si>
  <si>
    <t>реже, чем раз в 3 месяца</t>
  </si>
  <si>
    <t>Частота2</t>
  </si>
  <si>
    <t>3-4 раза в неделю</t>
  </si>
  <si>
    <t>Частота потребления: Кетчупы, соусы (c5_15)</t>
  </si>
  <si>
    <t>Среднее</t>
  </si>
  <si>
    <t>Статистика</t>
  </si>
  <si>
    <t>Стандартная ошибка</t>
  </si>
  <si>
    <t>95% ДИ нижняя граница</t>
  </si>
  <si>
    <t>95% ДИ верхняя граница</t>
  </si>
  <si>
    <t>Показатель</t>
  </si>
  <si>
    <t>Оцифровка</t>
  </si>
  <si>
    <t>Генеральная совокупность</t>
  </si>
  <si>
    <t>Пенетрация за 3 месяца</t>
  </si>
  <si>
    <t>Пессимистичный прогноз</t>
  </si>
  <si>
    <t>Оптимистичный прогноз</t>
  </si>
  <si>
    <t>Прогноз</t>
  </si>
  <si>
    <t>Потребители кетчупа и соусов (3 месяца)</t>
  </si>
  <si>
    <t>Оценка емкости рынка за 3 месяца</t>
  </si>
  <si>
    <t>Частота покупки (раз в месяц)</t>
  </si>
  <si>
    <t>Оценка емкости рынка за год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</si>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</sst>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_-* #,##0.0\ _₽_-;\-* #,##0.0\ _₽_-;_-* &quot;-&quot;??\ _₽_-;_-@_-"/>
    <numFmt numFmtId="166" formatCode="_-* #,##0\ _₽_-;\-* #,##0\ _₽_-;_-* &quot;-&quot;??\ _₽_-;_-@_-"/>
    <numFmt numFmtId="167" formatCode="0.0"/>
    <numFmt numFmtId="168" formatCode="_-* #,##0.0\ _₽_-;\-* #,##0.0\ _₽_-;_-* &quot;-&quot;?\ _₽_-;_-@_-"/>
  </numFmts>
  <fonts count="10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irce-Regular"/>
      <charset val="204"/>
    </font>
    <font>
      <b/>
      <sz val="12"/>
      <color theme="0"/>
      <name val="Circe-Regular"/>
      <charset val="204"/>
    </font>
    <font>
      <b/>
      <sz val="12"/>
      <color theme="1"/>
      <name val="Circe-Regular"/>
      <charset val="204"/>
    </font>
    <font>
      <sz val="12"/>
      <color rgb="FF010205"/>
      <name val="Arial"/>
      <family val="2"/>
    </font>
    <font>
      <u/>
      <sz val="12"/>
      <color theme="10"/>
      <name val="Calibri"/>
      <family val="2"/>
      <charset val="204"/>
      <scheme val="minor"/>
    </font>
    <font>
      <u/>
      <sz val="12"/>
      <color theme="10"/>
      <name val="Circe-Regular"/>
      <charset val="204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shrinkToFit="1"/>
    </xf>
    <xf numFmtId="0" fontId="2" fillId="0" borderId="0" xfId="0" applyFont="1" applyAlignment="1">
      <alignment horizontal="right" shrinkToFit="1"/>
    </xf>
    <xf numFmtId="0" fontId="4" fillId="0" borderId="0" xfId="0" applyFont="1" applyAlignment="1">
      <alignment shrinkToFit="1"/>
    </xf>
    <xf numFmtId="0" fontId="4" fillId="0" borderId="0" xfId="0" applyFont="1" applyAlignment="1">
      <alignment horizontal="right" shrinkToFit="1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3" xfId="0" applyFont="1" applyBorder="1"/>
    <xf numFmtId="0" fontId="4" fillId="0" borderId="1" xfId="0" applyFont="1" applyBorder="1"/>
    <xf numFmtId="0" fontId="7" fillId="0" borderId="0" xfId="2" applyFont="1"/>
    <xf numFmtId="166" fontId="2" fillId="0" borderId="0" xfId="1" applyNumberFormat="1" applyFont="1" applyAlignment="1">
      <alignment horizontal="right"/>
    </xf>
    <xf numFmtId="166" fontId="2" fillId="0" borderId="0" xfId="0" applyNumberFormat="1" applyFont="1"/>
    <xf numFmtId="167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42">
    <dxf>
      <font>
        <strike val="0"/>
        <outline val="0"/>
        <shadow val="0"/>
        <u val="none"/>
        <vertAlign val="baseline"/>
        <sz val="12"/>
        <name val="Circe-Regular"/>
        <charset val="204"/>
        <scheme val="none"/>
      </font>
      <numFmt numFmtId="168" formatCode="_-* #,##0.0\ _₽_-;\-* #,##0.0\ _₽_-;_-* &quot;-&quot;?\ _₽_-;_-@_-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irce-Regular"/>
        <charset val="204"/>
        <scheme val="none"/>
      </font>
      <numFmt numFmtId="168" formatCode="_-* #,##0.0\ _₽_-;\-* #,##0.0\ _₽_-;_-* &quot;-&quot;?\ _₽_-;_-@_-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irce-Regular"/>
        <charset val="20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irce-Regular"/>
        <charset val="204"/>
        <scheme val="none"/>
      </font>
      <numFmt numFmtId="165" formatCode="_-* #,##0.0\ _₽_-;\-* #,##0.0\ _₽_-;_-* &quot;-&quot;??\ _₽_-;_-@_-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strike val="0"/>
        <outline val="0"/>
        <shadow val="0"/>
        <u val="none"/>
        <vertAlign val="baseline"/>
        <sz val="12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numFmt numFmtId="165" formatCode="_-* #,##0.0\ _₽_-;\-* #,##0.0\ _₽_-;_-* &quot;-&quot;??\ _₽_-;_-@_-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numFmt numFmtId="166" formatCode="_-* #,##0\ _₽_-;\-* #,##0\ _₽_-;_-* &quot;-&quot;??\ _₽_-;_-@_-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general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right" vertical="bottom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irce-Regular"/>
        <charset val="204"/>
        <scheme val="none"/>
      </font>
      <alignment horizontal="general" vertical="bottom" textRotation="0" wrapText="0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5F761F-4D5E-9149-BE50-396283D97878}" name="Таблица2" displayName="Таблица2" ref="A2:C10" totalsRowShown="0">
  <autoFilter ref="A2:C10" xr:uid="{C949088F-D311-9D4F-96EE-E80635CDCFB3}"/>
  <tableColumns count="3">
    <tableColumn id="1" xr3:uid="{70C5F9A7-3DA2-B44F-A1AA-887F7CD81AEE}" name="ФО" dataDxfId="41"/>
    <tableColumn id="2" xr3:uid="{9BB2752A-8DB4-FD46-AA4B-5B5384CE25FD}" name="Частота" dataDxfId="40"/>
    <tableColumn id="3" xr3:uid="{869C57B5-6848-DB4D-82D4-4DFFE5BEFF09}" name="Проценты" dataDxfId="3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9DBE8B-C2B1-3445-ADD1-DD558B50DF8A}" name="Таблица3" displayName="Таблица3" ref="A14:C23" totalsRowShown="0">
  <autoFilter ref="A14:C23" xr:uid="{333BAE33-5021-FC45-9325-4A7136F84726}"/>
  <tableColumns count="3">
    <tableColumn id="1" xr3:uid="{E1B34F0E-1E52-3046-AC65-529B95E99D92}" name="Тип и размер населенного пункта" dataDxfId="38"/>
    <tableColumn id="2" xr3:uid="{F69E2135-CC70-ED4B-AA54-21AC97594245}" name="Частота" dataDxfId="37"/>
    <tableColumn id="3" xr3:uid="{677650B2-5227-3E40-AED2-A4904B4DDB7E}" name="Проценты" dataDxfId="36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654AC5-F659-DD42-841B-381F19EDC680}" name="Таблица4" displayName="Таблица4" ref="A27:C30" totalsRowShown="0" headerRowDxfId="35" dataDxfId="34">
  <autoFilter ref="A27:C30" xr:uid="{060B10AA-4938-E244-ADB4-B25B5655B748}"/>
  <tableColumns count="3">
    <tableColumn id="1" xr3:uid="{F06A686D-7039-234F-90CE-6EA1A414C8B5}" name="Пол" dataDxfId="33"/>
    <tableColumn id="2" xr3:uid="{E7D08315-0712-8546-8612-BFFA6D14813E}" name="Частота" dataDxfId="32"/>
    <tableColumn id="3" xr3:uid="{6FF0B229-63D1-CE44-8988-D70B907F991F}" name="Проценты" dataDxfId="31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CB0893-60E2-3F4C-BBF3-229C5B9D19B5}" name="Таблица5" displayName="Таблица5" ref="A33:C40" totalsRowShown="0" headerRowDxfId="30" dataDxfId="29">
  <autoFilter ref="A33:C40" xr:uid="{94C519BF-20C7-F748-9F26-B4FAD07C76B3}"/>
  <tableColumns count="3">
    <tableColumn id="1" xr3:uid="{59EBF4DF-9EAF-1248-9CD8-2D4F5520BEFF}" name="Возраст" dataDxfId="28"/>
    <tableColumn id="2" xr3:uid="{342D93B7-6BEC-7445-AB58-4B8E8D0F12B0}" name="Частота" dataDxfId="27"/>
    <tableColumn id="3" xr3:uid="{68B20B0F-72EC-9846-83DA-C11EE0691487}" name="Проценты" dataDxfId="26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2F213E-46D6-674E-B497-BBA48CAD40E8}" name="Таблица6" displayName="Таблица6" ref="A2:B5" totalsRowShown="0" headerRowDxfId="25" dataDxfId="24">
  <autoFilter ref="A2:B5" xr:uid="{6ED6B247-85E8-2F4A-8662-62B08E76643E}"/>
  <tableColumns count="2">
    <tableColumn id="1" xr3:uid="{EBEC286D-B954-CB48-A880-B91E072551C2}" name="Потребляют ли?" dataDxfId="23"/>
    <tableColumn id="2" xr3:uid="{C18702EF-F872-4349-9FF5-2DE93C3C0932}" name="Статистика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FC7C0D-8AD4-DF4D-A54D-DECA252887CC}" name="Таблица7" displayName="Таблица7" ref="A2:D10" totalsRowShown="0" headerRowDxfId="22" dataDxfId="21">
  <autoFilter ref="A2:D10" xr:uid="{3D415E07-480B-014B-B02D-CD6D7385FF18}"/>
  <tableColumns count="4">
    <tableColumn id="1" xr3:uid="{0DAF24A7-57D4-6B44-A512-542DD12AD280}" name="Частота" dataDxfId="20"/>
    <tableColumn id="2" xr3:uid="{134DBED6-9A02-D04C-8BCE-72E51459C447}" name="Частота2" dataDxfId="19"/>
    <tableColumn id="3" xr3:uid="{3CCA424F-F201-5F45-A075-6BDE3D5CFC46}" name="Валидный процент" dataDxfId="18"/>
    <tableColumn id="4" xr3:uid="{0105CA5B-7CE3-334F-8FC0-00457E98CE07}" name="Оцифровка" dataDxfId="17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BE20AD-4E82-2941-A924-00451CBF1749}" name="Таблица8" displayName="Таблица8" ref="A1:C4" totalsRowShown="0" headerRowDxfId="16" dataDxfId="15">
  <autoFilter ref="A1:C4" xr:uid="{1CC58AF3-9587-1147-9A8D-17DCAF543E39}"/>
  <tableColumns count="3">
    <tableColumn id="1" xr3:uid="{38658232-043F-7243-8C61-4114B0960BE3}" name="Показатель" dataDxfId="14"/>
    <tableColumn id="2" xr3:uid="{A70B49AE-5CA9-A74E-A164-E293028860D6}" name="Статистика" dataDxfId="13"/>
    <tableColumn id="3" xr3:uid="{DF6FF530-42BF-F241-B47E-E312F7CA19A2}" name="Стандартная ошибка" dataDxfId="12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5C5101-0D38-D04E-AEFB-613A8A49DA88}" name="Таблица9" displayName="Таблица9" ref="A1:D3" totalsRowShown="0" headerRowDxfId="11">
  <autoFilter ref="A1:D3" xr:uid="{9F93E3F8-CE9E-6C43-8B0A-C4A6B2553E55}"/>
  <tableColumns count="4">
    <tableColumn id="1" xr3:uid="{14278D59-A5B3-D948-8382-761F39D11B48}" name="Прогноз" dataDxfId="10"/>
    <tableColumn id="2" xr3:uid="{C548012F-BFCD-D345-B4EA-00A86558BD2C}" name="Генеральная совокупность" dataDxfId="9" dataCellStyle="Финансовый"/>
    <tableColumn id="3" xr3:uid="{A1167E94-B54C-1E4A-AFA3-CD01D2C68489}" name="Пенетрация за 3 месяца" dataDxfId="8"/>
    <tableColumn id="4" xr3:uid="{09BF6745-782A-0848-A0CE-E77902D36CD3}" name="Потребители кетчупа и соусов (3 месяца)" dataDxfId="7">
      <calculatedColumnFormula>B2*C2</calculatedColumnFormula>
    </tableColumn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9CE284-7549-7641-9BBB-55B1325B6E57}" name="Таблица10" displayName="Таблица10" ref="A6:E8" totalsRowShown="0" headerRowDxfId="6" dataDxfId="5">
  <autoFilter ref="A6:E8" xr:uid="{4095378E-855B-BF48-8735-1A3A4528A189}"/>
  <tableColumns count="5">
    <tableColumn id="1" xr3:uid="{8101CA7B-B2F6-364B-9D50-CEF86AF015B8}" name="Прогноз" dataDxfId="4"/>
    <tableColumn id="2" xr3:uid="{3A6A0791-5C4F-C84C-A42A-E57CB4FE560C}" name="Потребители кетчупа и соусов (3 месяца)" dataDxfId="3">
      <calculatedColumnFormula>D2</calculatedColumnFormula>
    </tableColumn>
    <tableColumn id="3" xr3:uid="{4FADA49B-B2A2-6E46-8EBF-D85F51F37C0A}" name="Частота покупки (раз в месяц)" dataDxfId="2"/>
    <tableColumn id="4" xr3:uid="{977DA132-17CC-4141-9C23-67E6D85028CE}" name="Оценка емкости рынка за 3 месяца" dataDxfId="1">
      <calculatedColumnFormula>B7*C7*3</calculatedColumnFormula>
    </tableColumn>
    <tableColumn id="5" xr3:uid="{F844F429-A718-7142-99C8-8E42038FED27}" name="Оценка емкости рынка за год" dataDxfId="0">
      <calculatedColumnFormula>D7*4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rosstat.gov.ru/free_doc/new_site/perepis2010/croc/Documents/Vol2/pub-02-01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rosstat.gov.ru/free_doc/new_site/perepis2010/croc/Documents/Vol2/pub-02-01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A569-FDB6-C346-AF5E-037C2FD28718}">
  <dimension ref="A1:B4"/>
  <sheetViews>
    <sheetView workbookViewId="0">
      <selection activeCell="B11" sqref="B11"/>
    </sheetView>
  </sheetViews>
  <sheetFormatPr defaultColWidth="11.19921875" defaultRowHeight="15.6"/>
  <cols>
    <col min="1" max="1" width="20.19921875" customWidth="1"/>
    <col min="2" max="2" width="39.69921875" bestFit="1" customWidth="1"/>
  </cols>
  <sheetData>
    <row r="1" spans="1:2">
      <c r="A1" s="6" t="s">
        <v>40</v>
      </c>
      <c r="B1" s="1" t="s">
        <v>100</v>
      </c>
    </row>
    <row r="2" spans="1:2">
      <c r="A2" s="6" t="s">
        <v>41</v>
      </c>
      <c r="B2" s="1" t="s">
        <v>70</v>
      </c>
    </row>
    <row r="3" spans="1:2">
      <c r="A3" s="6" t="s">
        <v>62</v>
      </c>
      <c r="B3" s="13" t="s">
        <v>63</v>
      </c>
    </row>
    <row r="4" spans="1:2">
      <c r="A4" s="6" t="s">
        <v>71</v>
      </c>
      <c r="B4" s="1" t="s">
        <v>72</v>
      </c>
    </row>
  </sheetData>
  <hyperlinks>
    <hyperlink ref="B3" r:id="rId1" xr:uid="{67BD3002-AC41-404C-9699-4D5DCA67B713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EDCC-83A9-5743-8DD8-B348BBFEFE4F}">
  <dimension ref="A1:C42"/>
  <sheetViews>
    <sheetView workbookViewId="0">
      <selection activeCell="A24" sqref="A24"/>
    </sheetView>
  </sheetViews>
  <sheetFormatPr defaultColWidth="11.19921875" defaultRowHeight="15.6"/>
  <cols>
    <col min="1" max="1" width="54.296875" bestFit="1" customWidth="1"/>
    <col min="3" max="3" width="20.796875" customWidth="1"/>
  </cols>
  <sheetData>
    <row r="1" spans="1:3">
      <c r="A1" s="19" t="s">
        <v>18</v>
      </c>
      <c r="B1" s="19"/>
      <c r="C1" s="19"/>
    </row>
    <row r="2" spans="1:3">
      <c r="A2" s="2" t="s">
        <v>36</v>
      </c>
      <c r="B2" s="3" t="s">
        <v>0</v>
      </c>
      <c r="C2" s="3" t="s">
        <v>1</v>
      </c>
    </row>
    <row r="3" spans="1:3">
      <c r="A3" s="2" t="s">
        <v>35</v>
      </c>
      <c r="B3" s="3">
        <v>299</v>
      </c>
      <c r="C3" s="3" t="s">
        <v>3</v>
      </c>
    </row>
    <row r="4" spans="1:3">
      <c r="A4" s="2" t="s">
        <v>4</v>
      </c>
      <c r="B4" s="3">
        <v>112</v>
      </c>
      <c r="C4" s="3" t="s">
        <v>5</v>
      </c>
    </row>
    <row r="5" spans="1:3">
      <c r="A5" s="2" t="s">
        <v>6</v>
      </c>
      <c r="B5" s="3">
        <v>200</v>
      </c>
      <c r="C5" s="3" t="s">
        <v>7</v>
      </c>
    </row>
    <row r="6" spans="1:3">
      <c r="A6" s="2" t="s">
        <v>8</v>
      </c>
      <c r="B6" s="3">
        <v>108</v>
      </c>
      <c r="C6" s="3" t="s">
        <v>9</v>
      </c>
    </row>
    <row r="7" spans="1:3">
      <c r="A7" s="2" t="s">
        <v>10</v>
      </c>
      <c r="B7" s="3">
        <v>165</v>
      </c>
      <c r="C7" s="3" t="s">
        <v>11</v>
      </c>
    </row>
    <row r="8" spans="1:3">
      <c r="A8" s="2" t="s">
        <v>12</v>
      </c>
      <c r="B8" s="3">
        <v>191</v>
      </c>
      <c r="C8" s="3" t="s">
        <v>13</v>
      </c>
    </row>
    <row r="9" spans="1:3">
      <c r="A9" s="2" t="s">
        <v>14</v>
      </c>
      <c r="B9" s="3">
        <v>47</v>
      </c>
      <c r="C9" s="3" t="s">
        <v>15</v>
      </c>
    </row>
    <row r="10" spans="1:3">
      <c r="A10" s="4" t="s">
        <v>17</v>
      </c>
      <c r="B10" s="5">
        <v>1122</v>
      </c>
      <c r="C10" s="5" t="s">
        <v>16</v>
      </c>
    </row>
    <row r="11" spans="1:3">
      <c r="A11" s="4" t="s">
        <v>38</v>
      </c>
      <c r="B11" s="2"/>
      <c r="C11" s="3"/>
    </row>
    <row r="12" spans="1:3">
      <c r="A12" s="2"/>
      <c r="B12" s="2"/>
      <c r="C12" s="2"/>
    </row>
    <row r="13" spans="1:3">
      <c r="A13" s="19" t="s">
        <v>19</v>
      </c>
      <c r="B13" s="19"/>
      <c r="C13" s="19"/>
    </row>
    <row r="14" spans="1:3">
      <c r="A14" s="2" t="s">
        <v>37</v>
      </c>
      <c r="B14" s="3" t="s">
        <v>0</v>
      </c>
      <c r="C14" s="3" t="s">
        <v>1</v>
      </c>
    </row>
    <row r="15" spans="1:3">
      <c r="A15" s="2" t="s">
        <v>20</v>
      </c>
      <c r="B15" s="3">
        <v>283</v>
      </c>
      <c r="C15" s="3" t="s">
        <v>21</v>
      </c>
    </row>
    <row r="16" spans="1:3">
      <c r="A16" s="2" t="s">
        <v>22</v>
      </c>
      <c r="B16" s="3">
        <v>87</v>
      </c>
      <c r="C16" s="3" t="s">
        <v>23</v>
      </c>
    </row>
    <row r="17" spans="1:3">
      <c r="A17" s="2" t="s">
        <v>24</v>
      </c>
      <c r="B17" s="3">
        <v>124</v>
      </c>
      <c r="C17" s="3" t="s">
        <v>25</v>
      </c>
    </row>
    <row r="18" spans="1:3">
      <c r="A18" s="2" t="s">
        <v>26</v>
      </c>
      <c r="B18" s="3">
        <v>107</v>
      </c>
      <c r="C18" s="3" t="s">
        <v>27</v>
      </c>
    </row>
    <row r="19" spans="1:3">
      <c r="A19" s="2" t="s">
        <v>28</v>
      </c>
      <c r="B19" s="3">
        <v>106</v>
      </c>
      <c r="C19" s="3" t="s">
        <v>27</v>
      </c>
    </row>
    <row r="20" spans="1:3">
      <c r="A20" s="2" t="s">
        <v>29</v>
      </c>
      <c r="B20" s="3">
        <v>124</v>
      </c>
      <c r="C20" s="3" t="s">
        <v>30</v>
      </c>
    </row>
    <row r="21" spans="1:3">
      <c r="A21" s="2" t="s">
        <v>31</v>
      </c>
      <c r="B21" s="3">
        <v>105</v>
      </c>
      <c r="C21" s="3" t="s">
        <v>32</v>
      </c>
    </row>
    <row r="22" spans="1:3">
      <c r="A22" s="2" t="s">
        <v>33</v>
      </c>
      <c r="B22" s="3">
        <v>184</v>
      </c>
      <c r="C22" s="3" t="s">
        <v>34</v>
      </c>
    </row>
    <row r="23" spans="1:3">
      <c r="A23" s="4" t="s">
        <v>17</v>
      </c>
      <c r="B23" s="5">
        <v>1122</v>
      </c>
      <c r="C23" s="5" t="s">
        <v>16</v>
      </c>
    </row>
    <row r="24" spans="1:3">
      <c r="A24" s="4" t="s">
        <v>39</v>
      </c>
      <c r="B24" s="2"/>
      <c r="C24" s="3"/>
    </row>
    <row r="26" spans="1:3">
      <c r="A26" s="20" t="s">
        <v>42</v>
      </c>
      <c r="B26" s="20"/>
      <c r="C26" s="20"/>
    </row>
    <row r="27" spans="1:3">
      <c r="A27" s="1" t="s">
        <v>47</v>
      </c>
      <c r="B27" s="8" t="s">
        <v>0</v>
      </c>
      <c r="C27" s="8" t="s">
        <v>1</v>
      </c>
    </row>
    <row r="28" spans="1:3">
      <c r="A28" s="1" t="s">
        <v>43</v>
      </c>
      <c r="B28" s="8">
        <v>487</v>
      </c>
      <c r="C28" s="8" t="s">
        <v>44</v>
      </c>
    </row>
    <row r="29" spans="1:3">
      <c r="A29" s="1" t="s">
        <v>45</v>
      </c>
      <c r="B29" s="8">
        <v>635</v>
      </c>
      <c r="C29" s="8" t="s">
        <v>46</v>
      </c>
    </row>
    <row r="30" spans="1:3">
      <c r="A30" s="6" t="s">
        <v>17</v>
      </c>
      <c r="B30" s="10">
        <v>1122</v>
      </c>
      <c r="C30" s="10" t="s">
        <v>16</v>
      </c>
    </row>
    <row r="32" spans="1:3">
      <c r="A32" s="20" t="s">
        <v>48</v>
      </c>
      <c r="B32" s="20"/>
      <c r="C32" s="20"/>
    </row>
    <row r="33" spans="1:3">
      <c r="A33" s="1" t="s">
        <v>61</v>
      </c>
      <c r="B33" s="8" t="s">
        <v>0</v>
      </c>
      <c r="C33" s="8" t="s">
        <v>1</v>
      </c>
    </row>
    <row r="34" spans="1:3">
      <c r="A34" s="1" t="s">
        <v>49</v>
      </c>
      <c r="B34" s="8">
        <v>92</v>
      </c>
      <c r="C34" s="8" t="s">
        <v>50</v>
      </c>
    </row>
    <row r="35" spans="1:3">
      <c r="A35" s="1" t="s">
        <v>51</v>
      </c>
      <c r="B35" s="8">
        <v>186</v>
      </c>
      <c r="C35" s="8" t="s">
        <v>52</v>
      </c>
    </row>
    <row r="36" spans="1:3">
      <c r="A36" s="1" t="s">
        <v>53</v>
      </c>
      <c r="B36" s="8">
        <v>215</v>
      </c>
      <c r="C36" s="8" t="s">
        <v>54</v>
      </c>
    </row>
    <row r="37" spans="1:3">
      <c r="A37" s="1" t="s">
        <v>55</v>
      </c>
      <c r="B37" s="8">
        <v>226</v>
      </c>
      <c r="C37" s="8" t="s">
        <v>56</v>
      </c>
    </row>
    <row r="38" spans="1:3">
      <c r="A38" s="1" t="s">
        <v>57</v>
      </c>
      <c r="B38" s="8">
        <v>233</v>
      </c>
      <c r="C38" s="8" t="s">
        <v>58</v>
      </c>
    </row>
    <row r="39" spans="1:3">
      <c r="A39" s="1" t="s">
        <v>59</v>
      </c>
      <c r="B39" s="8">
        <v>171</v>
      </c>
      <c r="C39" s="8" t="s">
        <v>60</v>
      </c>
    </row>
    <row r="40" spans="1:3">
      <c r="A40" s="6" t="s">
        <v>17</v>
      </c>
      <c r="B40" s="10">
        <v>1122</v>
      </c>
      <c r="C40" s="10" t="s">
        <v>16</v>
      </c>
    </row>
    <row r="41" spans="1:3">
      <c r="A41" s="6" t="s">
        <v>67</v>
      </c>
      <c r="B41" s="8"/>
      <c r="C41" s="8"/>
    </row>
    <row r="42" spans="1:3">
      <c r="A42" s="6" t="s">
        <v>68</v>
      </c>
      <c r="B42" s="8"/>
      <c r="C42" s="8"/>
    </row>
  </sheetData>
  <mergeCells count="4">
    <mergeCell ref="A1:C1"/>
    <mergeCell ref="A13:C13"/>
    <mergeCell ref="A26:C26"/>
    <mergeCell ref="A32:C32"/>
  </mergeCells>
  <pageMargins left="0.7" right="0.7" top="0.75" bottom="0.75" header="0.3" footer="0.3"/>
  <pageSetup paperSize="9" orientation="portrait" horizontalDpi="0" verticalDpi="0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B8DF-5A3D-104A-AD2F-22490B62D7CD}">
  <dimension ref="A1:B11"/>
  <sheetViews>
    <sheetView workbookViewId="0">
      <selection activeCell="F9" sqref="F9"/>
    </sheetView>
  </sheetViews>
  <sheetFormatPr defaultColWidth="11.19921875" defaultRowHeight="15.6"/>
  <cols>
    <col min="1" max="1" width="31.296875" style="1" bestFit="1" customWidth="1"/>
    <col min="2" max="2" width="20.5" style="1" bestFit="1" customWidth="1"/>
  </cols>
  <sheetData>
    <row r="1" spans="1:2">
      <c r="B1" s="6" t="s">
        <v>65</v>
      </c>
    </row>
    <row r="2" spans="1:2">
      <c r="A2" s="6" t="s">
        <v>64</v>
      </c>
      <c r="B2" s="15">
        <f>SUM(B4:B9)</f>
        <v>119475980</v>
      </c>
    </row>
    <row r="3" spans="1:2">
      <c r="A3" s="1" t="s">
        <v>66</v>
      </c>
    </row>
    <row r="4" spans="1:2">
      <c r="A4" s="1" t="s">
        <v>49</v>
      </c>
      <c r="B4" s="14">
        <v>6931907</v>
      </c>
    </row>
    <row r="5" spans="1:2">
      <c r="A5" s="1" t="s">
        <v>51</v>
      </c>
      <c r="B5" s="14">
        <v>24151542</v>
      </c>
    </row>
    <row r="6" spans="1:2">
      <c r="A6" s="1" t="s">
        <v>53</v>
      </c>
      <c r="B6" s="14">
        <v>21152542</v>
      </c>
    </row>
    <row r="7" spans="1:2">
      <c r="A7" s="1" t="s">
        <v>55</v>
      </c>
      <c r="B7" s="14">
        <v>19912236</v>
      </c>
    </row>
    <row r="8" spans="1:2">
      <c r="A8" s="1" t="s">
        <v>57</v>
      </c>
      <c r="B8" s="14">
        <v>29336680</v>
      </c>
    </row>
    <row r="9" spans="1:2">
      <c r="A9" s="1" t="s">
        <v>69</v>
      </c>
      <c r="B9" s="14">
        <v>17991073</v>
      </c>
    </row>
    <row r="11" spans="1:2">
      <c r="A11" s="6" t="s">
        <v>62</v>
      </c>
      <c r="B11" s="13" t="s">
        <v>63</v>
      </c>
    </row>
  </sheetData>
  <hyperlinks>
    <hyperlink ref="B11" r:id="rId1" xr:uid="{FA936D0D-3F08-2846-A12E-E5D4EA553272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B4B4-B8CF-B446-B464-1BFF3506EC1F}">
  <dimension ref="A1:B5"/>
  <sheetViews>
    <sheetView workbookViewId="0">
      <selection activeCell="B13" sqref="B13"/>
    </sheetView>
  </sheetViews>
  <sheetFormatPr defaultColWidth="11.19921875" defaultRowHeight="15.6"/>
  <cols>
    <col min="1" max="1" width="25.796875" bestFit="1" customWidth="1"/>
    <col min="2" max="2" width="29.19921875" customWidth="1"/>
  </cols>
  <sheetData>
    <row r="1" spans="1:2">
      <c r="A1" s="21" t="s">
        <v>74</v>
      </c>
      <c r="B1" s="21"/>
    </row>
    <row r="2" spans="1:2">
      <c r="A2" s="1" t="s">
        <v>73</v>
      </c>
      <c r="B2" s="8" t="s">
        <v>85</v>
      </c>
    </row>
    <row r="3" spans="1:2">
      <c r="A3" s="1" t="s">
        <v>84</v>
      </c>
      <c r="B3" s="7">
        <v>0.75</v>
      </c>
    </row>
    <row r="4" spans="1:2">
      <c r="A4" s="1" t="s">
        <v>87</v>
      </c>
      <c r="B4" s="7">
        <v>0.73</v>
      </c>
    </row>
    <row r="5" spans="1:2">
      <c r="A5" s="1" t="s">
        <v>88</v>
      </c>
      <c r="B5" s="7">
        <v>0.78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D24E-FFD3-694F-A734-2A09B88D07B4}">
  <dimension ref="A1:D10"/>
  <sheetViews>
    <sheetView workbookViewId="0">
      <selection activeCell="E8" sqref="E8"/>
    </sheetView>
  </sheetViews>
  <sheetFormatPr defaultColWidth="11.19921875" defaultRowHeight="15.6"/>
  <cols>
    <col min="1" max="1" width="24.796875" bestFit="1" customWidth="1"/>
    <col min="2" max="2" width="9.69921875" bestFit="1" customWidth="1"/>
    <col min="3" max="3" width="20.09765625" bestFit="1" customWidth="1"/>
    <col min="4" max="4" width="12.296875" bestFit="1" customWidth="1"/>
    <col min="5" max="5" width="11.69921875" customWidth="1"/>
  </cols>
  <sheetData>
    <row r="1" spans="1:4">
      <c r="A1" s="21" t="s">
        <v>83</v>
      </c>
      <c r="B1" s="21"/>
      <c r="C1" s="21"/>
      <c r="D1" s="21"/>
    </row>
    <row r="2" spans="1:4">
      <c r="A2" s="1" t="s">
        <v>0</v>
      </c>
      <c r="B2" s="8" t="s">
        <v>81</v>
      </c>
      <c r="C2" s="8" t="s">
        <v>2</v>
      </c>
      <c r="D2" s="8" t="s">
        <v>90</v>
      </c>
    </row>
    <row r="3" spans="1:4">
      <c r="A3" s="1" t="s">
        <v>75</v>
      </c>
      <c r="B3" s="8">
        <v>190</v>
      </c>
      <c r="C3" s="16">
        <v>20.7</v>
      </c>
      <c r="D3" s="8">
        <v>30.5</v>
      </c>
    </row>
    <row r="4" spans="1:4">
      <c r="A4" s="1" t="s">
        <v>82</v>
      </c>
      <c r="B4" s="8">
        <v>225</v>
      </c>
      <c r="C4" s="8">
        <v>24.6</v>
      </c>
      <c r="D4" s="8">
        <v>14</v>
      </c>
    </row>
    <row r="5" spans="1:4">
      <c r="A5" s="1" t="s">
        <v>76</v>
      </c>
      <c r="B5" s="8">
        <v>175</v>
      </c>
      <c r="C5" s="8">
        <v>19.100000000000001</v>
      </c>
      <c r="D5" s="8">
        <v>4</v>
      </c>
    </row>
    <row r="6" spans="1:4">
      <c r="A6" s="1" t="s">
        <v>77</v>
      </c>
      <c r="B6" s="8">
        <v>109</v>
      </c>
      <c r="C6" s="8">
        <v>11.9</v>
      </c>
      <c r="D6" s="8">
        <v>2</v>
      </c>
    </row>
    <row r="7" spans="1:4">
      <c r="A7" s="1" t="s">
        <v>78</v>
      </c>
      <c r="B7" s="8">
        <v>82</v>
      </c>
      <c r="C7" s="8">
        <v>8.9</v>
      </c>
      <c r="D7" s="8">
        <v>1</v>
      </c>
    </row>
    <row r="8" spans="1:4">
      <c r="A8" s="1" t="s">
        <v>79</v>
      </c>
      <c r="B8" s="8">
        <v>60</v>
      </c>
      <c r="C8" s="8">
        <v>6.5</v>
      </c>
      <c r="D8" s="8">
        <v>0.42</v>
      </c>
    </row>
    <row r="9" spans="1:4">
      <c r="A9" s="1" t="s">
        <v>80</v>
      </c>
      <c r="B9" s="8">
        <v>75</v>
      </c>
      <c r="C9" s="8">
        <v>8.1999999999999993</v>
      </c>
      <c r="D9" s="8">
        <v>0.25</v>
      </c>
    </row>
    <row r="10" spans="1:4">
      <c r="A10" s="1" t="s">
        <v>17</v>
      </c>
      <c r="B10" s="8">
        <v>915</v>
      </c>
      <c r="C10" s="8" t="s">
        <v>16</v>
      </c>
      <c r="D10" s="8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C967-1D74-4A47-95D4-D1B7A1E74593}">
  <dimension ref="A1:C4"/>
  <sheetViews>
    <sheetView workbookViewId="0">
      <selection activeCell="B4" sqref="B4"/>
    </sheetView>
  </sheetViews>
  <sheetFormatPr defaultColWidth="11.19921875" defaultRowHeight="15.6"/>
  <cols>
    <col min="1" max="1" width="43.69921875" bestFit="1" customWidth="1"/>
    <col min="2" max="2" width="13.69921875" customWidth="1"/>
    <col min="3" max="3" width="22.5" customWidth="1"/>
  </cols>
  <sheetData>
    <row r="1" spans="1:3">
      <c r="A1" s="1" t="s">
        <v>89</v>
      </c>
      <c r="B1" s="1" t="s">
        <v>85</v>
      </c>
      <c r="C1" s="1" t="s">
        <v>86</v>
      </c>
    </row>
    <row r="2" spans="1:3">
      <c r="A2" s="1" t="s">
        <v>84</v>
      </c>
      <c r="B2" s="1">
        <v>10.9077</v>
      </c>
      <c r="C2" s="1">
        <v>0.37089</v>
      </c>
    </row>
    <row r="3" spans="1:3">
      <c r="A3" s="1" t="s">
        <v>87</v>
      </c>
      <c r="B3" s="1">
        <v>10.1798</v>
      </c>
      <c r="C3" s="1"/>
    </row>
    <row r="4" spans="1:3">
      <c r="A4" s="1" t="s">
        <v>88</v>
      </c>
      <c r="B4" s="1">
        <v>11.6356</v>
      </c>
      <c r="C4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729E-FBCD-304A-B1E5-8F9E74963A13}">
  <dimension ref="A1:E8"/>
  <sheetViews>
    <sheetView tabSelected="1" workbookViewId="0">
      <selection activeCell="D28" sqref="D28"/>
    </sheetView>
  </sheetViews>
  <sheetFormatPr defaultColWidth="11.19921875" defaultRowHeight="15.6"/>
  <cols>
    <col min="1" max="1" width="25.5" bestFit="1" customWidth="1"/>
    <col min="2" max="2" width="41.296875" customWidth="1"/>
    <col min="3" max="3" width="29.296875" customWidth="1"/>
    <col min="4" max="4" width="41.296875" customWidth="1"/>
    <col min="5" max="5" width="30.296875" bestFit="1" customWidth="1"/>
  </cols>
  <sheetData>
    <row r="1" spans="1:5">
      <c r="A1" s="1" t="s">
        <v>95</v>
      </c>
      <c r="B1" s="8" t="s">
        <v>91</v>
      </c>
      <c r="C1" s="8" t="s">
        <v>92</v>
      </c>
      <c r="D1" s="8" t="s">
        <v>96</v>
      </c>
    </row>
    <row r="2" spans="1:5">
      <c r="A2" s="6" t="s">
        <v>93</v>
      </c>
      <c r="B2" s="14">
        <v>119475980</v>
      </c>
      <c r="C2" s="8">
        <v>0.73</v>
      </c>
      <c r="D2" s="17">
        <f>B2*C2</f>
        <v>87217465.399999991</v>
      </c>
    </row>
    <row r="3" spans="1:5">
      <c r="A3" s="6" t="s">
        <v>94</v>
      </c>
      <c r="B3" s="14">
        <v>119475980</v>
      </c>
      <c r="C3" s="8">
        <v>0.78</v>
      </c>
      <c r="D3" s="17">
        <f>B3*C3</f>
        <v>93191264.400000006</v>
      </c>
    </row>
    <row r="4" spans="1:5">
      <c r="C4" s="1"/>
    </row>
    <row r="6" spans="1:5">
      <c r="A6" s="1" t="s">
        <v>95</v>
      </c>
      <c r="B6" s="9" t="s">
        <v>96</v>
      </c>
      <c r="C6" s="8" t="s">
        <v>98</v>
      </c>
      <c r="D6" s="8" t="s">
        <v>97</v>
      </c>
      <c r="E6" s="8" t="s">
        <v>99</v>
      </c>
    </row>
    <row r="7" spans="1:5">
      <c r="A7" s="12" t="s">
        <v>93</v>
      </c>
      <c r="B7" s="17">
        <f t="shared" ref="B7:B8" si="0">D2</f>
        <v>87217465.399999991</v>
      </c>
      <c r="C7" s="8">
        <v>10.1798</v>
      </c>
      <c r="D7" s="17">
        <f t="shared" ref="D7:D8" si="1">B7*C7*3</f>
        <v>2663569062.8367596</v>
      </c>
      <c r="E7" s="17">
        <f t="shared" ref="E7:E8" si="2">D7*4</f>
        <v>10654276251.347038</v>
      </c>
    </row>
    <row r="8" spans="1:5">
      <c r="A8" s="11" t="s">
        <v>94</v>
      </c>
      <c r="B8" s="17">
        <f t="shared" si="0"/>
        <v>93191264.400000006</v>
      </c>
      <c r="C8" s="8">
        <v>11.6356</v>
      </c>
      <c r="D8" s="18">
        <f t="shared" si="1"/>
        <v>3253008828.1579208</v>
      </c>
      <c r="E8" s="18">
        <f t="shared" si="2"/>
        <v>13012035312.631683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Описание источников данных</vt:lpstr>
      <vt:lpstr>Выборка</vt:lpstr>
      <vt:lpstr>Размер ГС</vt:lpstr>
      <vt:lpstr>Пенетрация за 3 месяца</vt:lpstr>
      <vt:lpstr>Оцифровка</vt:lpstr>
      <vt:lpstr>Ср. частота покупки раз в месяц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Saprykin</cp:lastModifiedBy>
  <dcterms:created xsi:type="dcterms:W3CDTF">2024-09-16T06:46:02Z</dcterms:created>
  <dcterms:modified xsi:type="dcterms:W3CDTF">2025-11-05T17:58:02Z</dcterms:modified>
</cp:coreProperties>
</file>