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heets/sheet2.xml" ContentType="application/vnd.openxmlformats-officedocument.spreadsheetml.chartsheet+xml"/>
  <Override PartName="/xl/worksheets/sheet8.xml" ContentType="application/vnd.openxmlformats-officedocument.spreadsheetml.worksheet+xml"/>
  <Override PartName="/xl/chartsheets/sheet3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дебренд\"/>
    </mc:Choice>
  </mc:AlternateContent>
  <xr:revisionPtr revIDLastSave="0" documentId="13_ncr:1_{803B45A9-7620-4476-AA1C-95AF7C49491F}" xr6:coauthVersionLast="47" xr6:coauthVersionMax="47" xr10:uidLastSave="{00000000-0000-0000-0000-000000000000}"/>
  <bookViews>
    <workbookView xWindow="-108" yWindow="-108" windowWidth="23256" windowHeight="13896" xr2:uid="{F052E2B5-B33F-4143-B3C1-FFF8FE0EFBC1}"/>
  </bookViews>
  <sheets>
    <sheet name="%" sheetId="1" r:id="rId1"/>
    <sheet name="Cumulative, %" sheetId="2" r:id="rId2"/>
    <sheet name="Cumulative Reverse, %" sheetId="3" r:id="rId3"/>
    <sheet name="График" sheetId="5" r:id="rId4"/>
    <sheet name="Newton-Miller_RAW" sheetId="6" r:id="rId5"/>
    <sheet name="Newton-Miller_Convert" sheetId="7" r:id="rId6"/>
    <sheet name="Total Purchase Likelihood" sheetId="8" r:id="rId7"/>
    <sheet name="Cumulative Purchase Likelihood" sheetId="9" r:id="rId8"/>
    <sheet name="Price Elasticity" sheetId="11" r:id="rId9"/>
    <sheet name="Revenue" sheetId="10" r:id="rId10"/>
    <sheet name="Revenue Chart" sheetId="12" r:id="rId1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2" i="7" l="1"/>
  <c r="E13" i="7"/>
  <c r="E14" i="7"/>
  <c r="E15" i="7"/>
  <c r="F15" i="7" s="1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E185" i="7"/>
  <c r="E186" i="7"/>
  <c r="E187" i="7"/>
  <c r="E188" i="7"/>
  <c r="E189" i="7"/>
  <c r="E190" i="7"/>
  <c r="E191" i="7"/>
  <c r="E192" i="7"/>
  <c r="E193" i="7"/>
  <c r="E194" i="7"/>
  <c r="E195" i="7"/>
  <c r="E196" i="7"/>
  <c r="E197" i="7"/>
  <c r="E198" i="7"/>
  <c r="E199" i="7"/>
  <c r="E200" i="7"/>
  <c r="E201" i="7"/>
  <c r="E202" i="7"/>
  <c r="E203" i="7"/>
  <c r="E204" i="7"/>
  <c r="E205" i="7"/>
  <c r="E206" i="7"/>
  <c r="E207" i="7"/>
  <c r="E208" i="7"/>
  <c r="E209" i="7"/>
  <c r="E210" i="7"/>
  <c r="E211" i="7"/>
  <c r="E212" i="7"/>
  <c r="E213" i="7"/>
  <c r="E214" i="7"/>
  <c r="E215" i="7"/>
  <c r="E216" i="7"/>
  <c r="E217" i="7"/>
  <c r="E218" i="7"/>
  <c r="E219" i="7"/>
  <c r="E220" i="7"/>
  <c r="E221" i="7"/>
  <c r="E222" i="7"/>
  <c r="E223" i="7"/>
  <c r="E224" i="7"/>
  <c r="E225" i="7"/>
  <c r="E226" i="7"/>
  <c r="E227" i="7"/>
  <c r="E228" i="7"/>
  <c r="E229" i="7"/>
  <c r="E230" i="7"/>
  <c r="E231" i="7"/>
  <c r="E232" i="7"/>
  <c r="E233" i="7"/>
  <c r="E234" i="7"/>
  <c r="E235" i="7"/>
  <c r="E236" i="7"/>
  <c r="E237" i="7"/>
  <c r="E238" i="7"/>
  <c r="E239" i="7"/>
  <c r="E240" i="7"/>
  <c r="E241" i="7"/>
  <c r="E242" i="7"/>
  <c r="E243" i="7"/>
  <c r="E244" i="7"/>
  <c r="E245" i="7"/>
  <c r="E246" i="7"/>
  <c r="E247" i="7"/>
  <c r="E248" i="7"/>
  <c r="E249" i="7"/>
  <c r="E250" i="7"/>
  <c r="E251" i="7"/>
  <c r="E252" i="7"/>
  <c r="E253" i="7"/>
  <c r="E254" i="7"/>
  <c r="E255" i="7"/>
  <c r="E256" i="7"/>
  <c r="E257" i="7"/>
  <c r="E258" i="7"/>
  <c r="E259" i="7"/>
  <c r="E260" i="7"/>
  <c r="E261" i="7"/>
  <c r="E262" i="7"/>
  <c r="E263" i="7"/>
  <c r="E264" i="7"/>
  <c r="E265" i="7"/>
  <c r="E266" i="7"/>
  <c r="E267" i="7"/>
  <c r="E268" i="7"/>
  <c r="E269" i="7"/>
  <c r="E270" i="7"/>
  <c r="E271" i="7"/>
  <c r="E272" i="7"/>
  <c r="E273" i="7"/>
  <c r="E274" i="7"/>
  <c r="E275" i="7"/>
  <c r="E276" i="7"/>
  <c r="E277" i="7"/>
  <c r="E278" i="7"/>
  <c r="E279" i="7"/>
  <c r="E280" i="7"/>
  <c r="E281" i="7"/>
  <c r="E282" i="7"/>
  <c r="E283" i="7"/>
  <c r="E284" i="7"/>
  <c r="E285" i="7"/>
  <c r="E286" i="7"/>
  <c r="E287" i="7"/>
  <c r="E288" i="7"/>
  <c r="E289" i="7"/>
  <c r="E290" i="7"/>
  <c r="E291" i="7"/>
  <c r="E292" i="7"/>
  <c r="E293" i="7"/>
  <c r="E294" i="7"/>
  <c r="E295" i="7"/>
  <c r="E296" i="7"/>
  <c r="E297" i="7"/>
  <c r="E298" i="7"/>
  <c r="E299" i="7"/>
  <c r="E300" i="7"/>
  <c r="E301" i="7"/>
  <c r="E302" i="7"/>
  <c r="E303" i="7"/>
  <c r="E304" i="7"/>
  <c r="E305" i="7"/>
  <c r="E306" i="7"/>
  <c r="E307" i="7"/>
  <c r="E308" i="7"/>
  <c r="E309" i="7"/>
  <c r="E310" i="7"/>
  <c r="F310" i="7" s="1"/>
  <c r="E311" i="7"/>
  <c r="E312" i="7"/>
  <c r="E313" i="7"/>
  <c r="E314" i="7"/>
  <c r="F314" i="7" s="1"/>
  <c r="E315" i="7"/>
  <c r="E316" i="7"/>
  <c r="E317" i="7"/>
  <c r="E318" i="7"/>
  <c r="E319" i="7"/>
  <c r="E320" i="7"/>
  <c r="E321" i="7"/>
  <c r="E322" i="7"/>
  <c r="E323" i="7"/>
  <c r="E324" i="7"/>
  <c r="E325" i="7"/>
  <c r="E326" i="7"/>
  <c r="E327" i="7"/>
  <c r="E328" i="7"/>
  <c r="E329" i="7"/>
  <c r="E330" i="7"/>
  <c r="E331" i="7"/>
  <c r="E332" i="7"/>
  <c r="E333" i="7"/>
  <c r="E334" i="7"/>
  <c r="E335" i="7"/>
  <c r="E336" i="7"/>
  <c r="E337" i="7"/>
  <c r="E338" i="7"/>
  <c r="E339" i="7"/>
  <c r="E340" i="7"/>
  <c r="E341" i="7"/>
  <c r="E342" i="7"/>
  <c r="E343" i="7"/>
  <c r="E344" i="7"/>
  <c r="E345" i="7"/>
  <c r="E346" i="7"/>
  <c r="E347" i="7"/>
  <c r="E348" i="7"/>
  <c r="E349" i="7"/>
  <c r="E350" i="7"/>
  <c r="E351" i="7"/>
  <c r="E352" i="7"/>
  <c r="E353" i="7"/>
  <c r="E354" i="7"/>
  <c r="E355" i="7"/>
  <c r="E356" i="7"/>
  <c r="E357" i="7"/>
  <c r="E358" i="7"/>
  <c r="E359" i="7"/>
  <c r="E360" i="7"/>
  <c r="E361" i="7"/>
  <c r="E362" i="7"/>
  <c r="E363" i="7"/>
  <c r="E364" i="7"/>
  <c r="E365" i="7"/>
  <c r="E366" i="7"/>
  <c r="E367" i="7"/>
  <c r="E368" i="7"/>
  <c r="E369" i="7"/>
  <c r="E370" i="7"/>
  <c r="E371" i="7"/>
  <c r="E372" i="7"/>
  <c r="E373" i="7"/>
  <c r="E374" i="7"/>
  <c r="E375" i="7"/>
  <c r="E376" i="7"/>
  <c r="E377" i="7"/>
  <c r="E378" i="7"/>
  <c r="E379" i="7"/>
  <c r="E380" i="7"/>
  <c r="E381" i="7"/>
  <c r="E382" i="7"/>
  <c r="E383" i="7"/>
  <c r="E384" i="7"/>
  <c r="E385" i="7"/>
  <c r="E386" i="7"/>
  <c r="E387" i="7"/>
  <c r="E388" i="7"/>
  <c r="E389" i="7"/>
  <c r="E390" i="7"/>
  <c r="E391" i="7"/>
  <c r="E392" i="7"/>
  <c r="E393" i="7"/>
  <c r="E394" i="7"/>
  <c r="E395" i="7"/>
  <c r="E396" i="7"/>
  <c r="E397" i="7"/>
  <c r="E398" i="7"/>
  <c r="E399" i="7"/>
  <c r="E400" i="7"/>
  <c r="E401" i="7"/>
  <c r="E402" i="7"/>
  <c r="E403" i="7"/>
  <c r="E404" i="7"/>
  <c r="E405" i="7"/>
  <c r="E406" i="7"/>
  <c r="E407" i="7"/>
  <c r="E408" i="7"/>
  <c r="E409" i="7"/>
  <c r="E410" i="7"/>
  <c r="E411" i="7"/>
  <c r="E412" i="7"/>
  <c r="E413" i="7"/>
  <c r="E414" i="7"/>
  <c r="E415" i="7"/>
  <c r="E416" i="7"/>
  <c r="E417" i="7"/>
  <c r="E418" i="7"/>
  <c r="E419" i="7"/>
  <c r="E420" i="7"/>
  <c r="E421" i="7"/>
  <c r="E422" i="7"/>
  <c r="E423" i="7"/>
  <c r="E424" i="7"/>
  <c r="E425" i="7"/>
  <c r="E426" i="7"/>
  <c r="E427" i="7"/>
  <c r="E428" i="7"/>
  <c r="E429" i="7"/>
  <c r="E430" i="7"/>
  <c r="E431" i="7"/>
  <c r="E432" i="7"/>
  <c r="E433" i="7"/>
  <c r="E434" i="7"/>
  <c r="E435" i="7"/>
  <c r="E436" i="7"/>
  <c r="E437" i="7"/>
  <c r="E438" i="7"/>
  <c r="E439" i="7"/>
  <c r="E440" i="7"/>
  <c r="E441" i="7"/>
  <c r="E442" i="7"/>
  <c r="E443" i="7"/>
  <c r="E444" i="7"/>
  <c r="E445" i="7"/>
  <c r="E446" i="7"/>
  <c r="E447" i="7"/>
  <c r="E448" i="7"/>
  <c r="E449" i="7"/>
  <c r="E450" i="7"/>
  <c r="E451" i="7"/>
  <c r="E452" i="7"/>
  <c r="E453" i="7"/>
  <c r="E454" i="7"/>
  <c r="E455" i="7"/>
  <c r="E456" i="7"/>
  <c r="E457" i="7"/>
  <c r="E458" i="7"/>
  <c r="E459" i="7"/>
  <c r="E460" i="7"/>
  <c r="E461" i="7"/>
  <c r="E462" i="7"/>
  <c r="E463" i="7"/>
  <c r="E464" i="7"/>
  <c r="E465" i="7"/>
  <c r="E466" i="7"/>
  <c r="E467" i="7"/>
  <c r="E468" i="7"/>
  <c r="E469" i="7"/>
  <c r="E470" i="7"/>
  <c r="E471" i="7"/>
  <c r="E472" i="7"/>
  <c r="E473" i="7"/>
  <c r="E474" i="7"/>
  <c r="E475" i="7"/>
  <c r="E476" i="7"/>
  <c r="E477" i="7"/>
  <c r="E478" i="7"/>
  <c r="E479" i="7"/>
  <c r="E480" i="7"/>
  <c r="E481" i="7"/>
  <c r="E482" i="7"/>
  <c r="E483" i="7"/>
  <c r="E484" i="7"/>
  <c r="E485" i="7"/>
  <c r="E486" i="7"/>
  <c r="E487" i="7"/>
  <c r="E488" i="7"/>
  <c r="E489" i="7"/>
  <c r="E490" i="7"/>
  <c r="E491" i="7"/>
  <c r="E492" i="7"/>
  <c r="E493" i="7"/>
  <c r="E494" i="7"/>
  <c r="E495" i="7"/>
  <c r="E496" i="7"/>
  <c r="E497" i="7"/>
  <c r="E498" i="7"/>
  <c r="E499" i="7"/>
  <c r="E500" i="7"/>
  <c r="E501" i="7"/>
  <c r="E502" i="7"/>
  <c r="E503" i="7"/>
  <c r="E504" i="7"/>
  <c r="E505" i="7"/>
  <c r="E506" i="7"/>
  <c r="E507" i="7"/>
  <c r="E508" i="7"/>
  <c r="E509" i="7"/>
  <c r="E510" i="7"/>
  <c r="E511" i="7"/>
  <c r="E512" i="7"/>
  <c r="E513" i="7"/>
  <c r="E514" i="7"/>
  <c r="E515" i="7"/>
  <c r="E516" i="7"/>
  <c r="E517" i="7"/>
  <c r="E518" i="7"/>
  <c r="E519" i="7"/>
  <c r="E520" i="7"/>
  <c r="E521" i="7"/>
  <c r="E522" i="7"/>
  <c r="E523" i="7"/>
  <c r="E524" i="7"/>
  <c r="E525" i="7"/>
  <c r="E526" i="7"/>
  <c r="E527" i="7"/>
  <c r="E528" i="7"/>
  <c r="E529" i="7"/>
  <c r="E530" i="7"/>
  <c r="E531" i="7"/>
  <c r="E532" i="7"/>
  <c r="E533" i="7"/>
  <c r="E534" i="7"/>
  <c r="E535" i="7"/>
  <c r="E536" i="7"/>
  <c r="E537" i="7"/>
  <c r="E538" i="7"/>
  <c r="E539" i="7"/>
  <c r="E540" i="7"/>
  <c r="E541" i="7"/>
  <c r="E542" i="7"/>
  <c r="E543" i="7"/>
  <c r="E544" i="7"/>
  <c r="E545" i="7"/>
  <c r="E546" i="7"/>
  <c r="E547" i="7"/>
  <c r="E548" i="7"/>
  <c r="E549" i="7"/>
  <c r="E550" i="7"/>
  <c r="E551" i="7"/>
  <c r="E552" i="7"/>
  <c r="E553" i="7"/>
  <c r="E554" i="7"/>
  <c r="E555" i="7"/>
  <c r="E556" i="7"/>
  <c r="E557" i="7"/>
  <c r="E558" i="7"/>
  <c r="E559" i="7"/>
  <c r="E560" i="7"/>
  <c r="E561" i="7"/>
  <c r="E562" i="7"/>
  <c r="E563" i="7"/>
  <c r="E564" i="7"/>
  <c r="E565" i="7"/>
  <c r="E566" i="7"/>
  <c r="E567" i="7"/>
  <c r="E568" i="7"/>
  <c r="E569" i="7"/>
  <c r="E570" i="7"/>
  <c r="E571" i="7"/>
  <c r="E572" i="7"/>
  <c r="E573" i="7"/>
  <c r="E574" i="7"/>
  <c r="E575" i="7"/>
  <c r="E576" i="7"/>
  <c r="E577" i="7"/>
  <c r="E578" i="7"/>
  <c r="E579" i="7"/>
  <c r="E580" i="7"/>
  <c r="E581" i="7"/>
  <c r="E582" i="7"/>
  <c r="E583" i="7"/>
  <c r="E584" i="7"/>
  <c r="E585" i="7"/>
  <c r="E586" i="7"/>
  <c r="E587" i="7"/>
  <c r="E588" i="7"/>
  <c r="E589" i="7"/>
  <c r="E590" i="7"/>
  <c r="E591" i="7"/>
  <c r="E592" i="7"/>
  <c r="E593" i="7"/>
  <c r="E594" i="7"/>
  <c r="E595" i="7"/>
  <c r="E596" i="7"/>
  <c r="E597" i="7"/>
  <c r="E598" i="7"/>
  <c r="E599" i="7"/>
  <c r="E600" i="7"/>
  <c r="E601" i="7"/>
  <c r="E602" i="7"/>
  <c r="E603" i="7"/>
  <c r="E604" i="7"/>
  <c r="E605" i="7"/>
  <c r="E606" i="7"/>
  <c r="E607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D277" i="7"/>
  <c r="D278" i="7"/>
  <c r="D279" i="7"/>
  <c r="D280" i="7"/>
  <c r="D281" i="7"/>
  <c r="D282" i="7"/>
  <c r="D283" i="7"/>
  <c r="D284" i="7"/>
  <c r="D285" i="7"/>
  <c r="D286" i="7"/>
  <c r="D287" i="7"/>
  <c r="D288" i="7"/>
  <c r="D289" i="7"/>
  <c r="D290" i="7"/>
  <c r="D291" i="7"/>
  <c r="D292" i="7"/>
  <c r="D293" i="7"/>
  <c r="D294" i="7"/>
  <c r="D295" i="7"/>
  <c r="D296" i="7"/>
  <c r="D297" i="7"/>
  <c r="D298" i="7"/>
  <c r="D299" i="7"/>
  <c r="D300" i="7"/>
  <c r="D301" i="7"/>
  <c r="D302" i="7"/>
  <c r="D303" i="7"/>
  <c r="D304" i="7"/>
  <c r="D305" i="7"/>
  <c r="D306" i="7"/>
  <c r="D307" i="7"/>
  <c r="D308" i="7"/>
  <c r="D309" i="7"/>
  <c r="D310" i="7"/>
  <c r="D311" i="7"/>
  <c r="D312" i="7"/>
  <c r="D313" i="7"/>
  <c r="D314" i="7"/>
  <c r="D315" i="7"/>
  <c r="D316" i="7"/>
  <c r="D317" i="7"/>
  <c r="D318" i="7"/>
  <c r="D319" i="7"/>
  <c r="D320" i="7"/>
  <c r="D321" i="7"/>
  <c r="D322" i="7"/>
  <c r="D323" i="7"/>
  <c r="D324" i="7"/>
  <c r="D325" i="7"/>
  <c r="D326" i="7"/>
  <c r="D327" i="7"/>
  <c r="D328" i="7"/>
  <c r="D329" i="7"/>
  <c r="D330" i="7"/>
  <c r="D331" i="7"/>
  <c r="D332" i="7"/>
  <c r="D333" i="7"/>
  <c r="D334" i="7"/>
  <c r="D335" i="7"/>
  <c r="D336" i="7"/>
  <c r="D337" i="7"/>
  <c r="D338" i="7"/>
  <c r="D339" i="7"/>
  <c r="D340" i="7"/>
  <c r="D341" i="7"/>
  <c r="D342" i="7"/>
  <c r="D343" i="7"/>
  <c r="D344" i="7"/>
  <c r="D345" i="7"/>
  <c r="D346" i="7"/>
  <c r="D347" i="7"/>
  <c r="D348" i="7"/>
  <c r="D349" i="7"/>
  <c r="D350" i="7"/>
  <c r="D351" i="7"/>
  <c r="D352" i="7"/>
  <c r="D353" i="7"/>
  <c r="D354" i="7"/>
  <c r="D355" i="7"/>
  <c r="D356" i="7"/>
  <c r="D357" i="7"/>
  <c r="D358" i="7"/>
  <c r="D359" i="7"/>
  <c r="D360" i="7"/>
  <c r="D361" i="7"/>
  <c r="D362" i="7"/>
  <c r="D363" i="7"/>
  <c r="D364" i="7"/>
  <c r="D365" i="7"/>
  <c r="D366" i="7"/>
  <c r="D367" i="7"/>
  <c r="D368" i="7"/>
  <c r="D369" i="7"/>
  <c r="D370" i="7"/>
  <c r="D371" i="7"/>
  <c r="D372" i="7"/>
  <c r="D373" i="7"/>
  <c r="D374" i="7"/>
  <c r="D375" i="7"/>
  <c r="D376" i="7"/>
  <c r="D377" i="7"/>
  <c r="D378" i="7"/>
  <c r="D379" i="7"/>
  <c r="D380" i="7"/>
  <c r="D381" i="7"/>
  <c r="D382" i="7"/>
  <c r="D383" i="7"/>
  <c r="D384" i="7"/>
  <c r="D385" i="7"/>
  <c r="D386" i="7"/>
  <c r="D387" i="7"/>
  <c r="D388" i="7"/>
  <c r="D389" i="7"/>
  <c r="D390" i="7"/>
  <c r="D391" i="7"/>
  <c r="D392" i="7"/>
  <c r="D393" i="7"/>
  <c r="D394" i="7"/>
  <c r="D395" i="7"/>
  <c r="D396" i="7"/>
  <c r="D397" i="7"/>
  <c r="D398" i="7"/>
  <c r="D399" i="7"/>
  <c r="D400" i="7"/>
  <c r="D401" i="7"/>
  <c r="D402" i="7"/>
  <c r="D403" i="7"/>
  <c r="D404" i="7"/>
  <c r="D405" i="7"/>
  <c r="D406" i="7"/>
  <c r="D407" i="7"/>
  <c r="D408" i="7"/>
  <c r="D409" i="7"/>
  <c r="D410" i="7"/>
  <c r="D411" i="7"/>
  <c r="D412" i="7"/>
  <c r="D413" i="7"/>
  <c r="D414" i="7"/>
  <c r="D415" i="7"/>
  <c r="D416" i="7"/>
  <c r="D417" i="7"/>
  <c r="D418" i="7"/>
  <c r="D419" i="7"/>
  <c r="D420" i="7"/>
  <c r="D421" i="7"/>
  <c r="D422" i="7"/>
  <c r="D423" i="7"/>
  <c r="D424" i="7"/>
  <c r="D425" i="7"/>
  <c r="D426" i="7"/>
  <c r="D427" i="7"/>
  <c r="D428" i="7"/>
  <c r="D429" i="7"/>
  <c r="D430" i="7"/>
  <c r="D431" i="7"/>
  <c r="D432" i="7"/>
  <c r="D433" i="7"/>
  <c r="D434" i="7"/>
  <c r="D435" i="7"/>
  <c r="D436" i="7"/>
  <c r="D437" i="7"/>
  <c r="D438" i="7"/>
  <c r="D439" i="7"/>
  <c r="D440" i="7"/>
  <c r="D441" i="7"/>
  <c r="D442" i="7"/>
  <c r="D443" i="7"/>
  <c r="D444" i="7"/>
  <c r="D445" i="7"/>
  <c r="D446" i="7"/>
  <c r="D447" i="7"/>
  <c r="D448" i="7"/>
  <c r="D449" i="7"/>
  <c r="D450" i="7"/>
  <c r="D451" i="7"/>
  <c r="D452" i="7"/>
  <c r="D453" i="7"/>
  <c r="D454" i="7"/>
  <c r="D455" i="7"/>
  <c r="D456" i="7"/>
  <c r="D457" i="7"/>
  <c r="D458" i="7"/>
  <c r="D459" i="7"/>
  <c r="D460" i="7"/>
  <c r="D461" i="7"/>
  <c r="D462" i="7"/>
  <c r="D463" i="7"/>
  <c r="D464" i="7"/>
  <c r="D465" i="7"/>
  <c r="D466" i="7"/>
  <c r="D467" i="7"/>
  <c r="D468" i="7"/>
  <c r="D469" i="7"/>
  <c r="D470" i="7"/>
  <c r="D471" i="7"/>
  <c r="D472" i="7"/>
  <c r="D473" i="7"/>
  <c r="D474" i="7"/>
  <c r="D475" i="7"/>
  <c r="D476" i="7"/>
  <c r="D477" i="7"/>
  <c r="D478" i="7"/>
  <c r="D479" i="7"/>
  <c r="D480" i="7"/>
  <c r="D481" i="7"/>
  <c r="D482" i="7"/>
  <c r="D483" i="7"/>
  <c r="D484" i="7"/>
  <c r="D485" i="7"/>
  <c r="D486" i="7"/>
  <c r="D487" i="7"/>
  <c r="D488" i="7"/>
  <c r="D489" i="7"/>
  <c r="D490" i="7"/>
  <c r="D491" i="7"/>
  <c r="D492" i="7"/>
  <c r="D493" i="7"/>
  <c r="D494" i="7"/>
  <c r="D495" i="7"/>
  <c r="D496" i="7"/>
  <c r="D497" i="7"/>
  <c r="D498" i="7"/>
  <c r="D499" i="7"/>
  <c r="D500" i="7"/>
  <c r="D501" i="7"/>
  <c r="D502" i="7"/>
  <c r="D503" i="7"/>
  <c r="D504" i="7"/>
  <c r="D505" i="7"/>
  <c r="D506" i="7"/>
  <c r="D507" i="7"/>
  <c r="D508" i="7"/>
  <c r="D509" i="7"/>
  <c r="D510" i="7"/>
  <c r="D511" i="7"/>
  <c r="D512" i="7"/>
  <c r="D513" i="7"/>
  <c r="D514" i="7"/>
  <c r="D515" i="7"/>
  <c r="D516" i="7"/>
  <c r="D517" i="7"/>
  <c r="D518" i="7"/>
  <c r="D519" i="7"/>
  <c r="D520" i="7"/>
  <c r="D521" i="7"/>
  <c r="D522" i="7"/>
  <c r="D523" i="7"/>
  <c r="D524" i="7"/>
  <c r="D525" i="7"/>
  <c r="D526" i="7"/>
  <c r="D527" i="7"/>
  <c r="D528" i="7"/>
  <c r="D529" i="7"/>
  <c r="D530" i="7"/>
  <c r="D531" i="7"/>
  <c r="D532" i="7"/>
  <c r="D533" i="7"/>
  <c r="D534" i="7"/>
  <c r="D535" i="7"/>
  <c r="D536" i="7"/>
  <c r="D537" i="7"/>
  <c r="D538" i="7"/>
  <c r="D539" i="7"/>
  <c r="D540" i="7"/>
  <c r="D541" i="7"/>
  <c r="D542" i="7"/>
  <c r="D543" i="7"/>
  <c r="D544" i="7"/>
  <c r="D545" i="7"/>
  <c r="D546" i="7"/>
  <c r="D547" i="7"/>
  <c r="D548" i="7"/>
  <c r="D549" i="7"/>
  <c r="D550" i="7"/>
  <c r="D551" i="7"/>
  <c r="D552" i="7"/>
  <c r="D553" i="7"/>
  <c r="D554" i="7"/>
  <c r="D555" i="7"/>
  <c r="D556" i="7"/>
  <c r="D557" i="7"/>
  <c r="D558" i="7"/>
  <c r="D559" i="7"/>
  <c r="D560" i="7"/>
  <c r="D561" i="7"/>
  <c r="D562" i="7"/>
  <c r="D563" i="7"/>
  <c r="D564" i="7"/>
  <c r="D565" i="7"/>
  <c r="D566" i="7"/>
  <c r="D567" i="7"/>
  <c r="D568" i="7"/>
  <c r="D569" i="7"/>
  <c r="D570" i="7"/>
  <c r="D571" i="7"/>
  <c r="D572" i="7"/>
  <c r="D573" i="7"/>
  <c r="D574" i="7"/>
  <c r="D575" i="7"/>
  <c r="D576" i="7"/>
  <c r="D577" i="7"/>
  <c r="D578" i="7"/>
  <c r="D579" i="7"/>
  <c r="D580" i="7"/>
  <c r="D581" i="7"/>
  <c r="D582" i="7"/>
  <c r="D583" i="7"/>
  <c r="D584" i="7"/>
  <c r="D585" i="7"/>
  <c r="D586" i="7"/>
  <c r="D587" i="7"/>
  <c r="D588" i="7"/>
  <c r="D589" i="7"/>
  <c r="D590" i="7"/>
  <c r="D591" i="7"/>
  <c r="D592" i="7"/>
  <c r="D593" i="7"/>
  <c r="D594" i="7"/>
  <c r="D595" i="7"/>
  <c r="D596" i="7"/>
  <c r="D597" i="7"/>
  <c r="D598" i="7"/>
  <c r="D599" i="7"/>
  <c r="D600" i="7"/>
  <c r="D601" i="7"/>
  <c r="D602" i="7"/>
  <c r="D603" i="7"/>
  <c r="D604" i="7"/>
  <c r="D605" i="7"/>
  <c r="D606" i="7"/>
  <c r="D607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C177" i="7"/>
  <c r="C178" i="7"/>
  <c r="C179" i="7"/>
  <c r="C180" i="7"/>
  <c r="C181" i="7"/>
  <c r="C182" i="7"/>
  <c r="C183" i="7"/>
  <c r="C184" i="7"/>
  <c r="C185" i="7"/>
  <c r="C186" i="7"/>
  <c r="C187" i="7"/>
  <c r="C188" i="7"/>
  <c r="C189" i="7"/>
  <c r="C190" i="7"/>
  <c r="C191" i="7"/>
  <c r="C192" i="7"/>
  <c r="C193" i="7"/>
  <c r="C194" i="7"/>
  <c r="C195" i="7"/>
  <c r="C196" i="7"/>
  <c r="C197" i="7"/>
  <c r="C198" i="7"/>
  <c r="C199" i="7"/>
  <c r="C200" i="7"/>
  <c r="C201" i="7"/>
  <c r="C202" i="7"/>
  <c r="C203" i="7"/>
  <c r="C204" i="7"/>
  <c r="C205" i="7"/>
  <c r="C206" i="7"/>
  <c r="C207" i="7"/>
  <c r="C208" i="7"/>
  <c r="C209" i="7"/>
  <c r="C210" i="7"/>
  <c r="C211" i="7"/>
  <c r="C212" i="7"/>
  <c r="C213" i="7"/>
  <c r="C214" i="7"/>
  <c r="C215" i="7"/>
  <c r="C216" i="7"/>
  <c r="C217" i="7"/>
  <c r="C218" i="7"/>
  <c r="C219" i="7"/>
  <c r="C220" i="7"/>
  <c r="C221" i="7"/>
  <c r="C222" i="7"/>
  <c r="C223" i="7"/>
  <c r="C224" i="7"/>
  <c r="C225" i="7"/>
  <c r="C226" i="7"/>
  <c r="C227" i="7"/>
  <c r="C228" i="7"/>
  <c r="C229" i="7"/>
  <c r="C230" i="7"/>
  <c r="C231" i="7"/>
  <c r="C232" i="7"/>
  <c r="C233" i="7"/>
  <c r="C234" i="7"/>
  <c r="C235" i="7"/>
  <c r="C236" i="7"/>
  <c r="C237" i="7"/>
  <c r="C238" i="7"/>
  <c r="C239" i="7"/>
  <c r="C240" i="7"/>
  <c r="C241" i="7"/>
  <c r="C242" i="7"/>
  <c r="C243" i="7"/>
  <c r="C244" i="7"/>
  <c r="C245" i="7"/>
  <c r="C246" i="7"/>
  <c r="C247" i="7"/>
  <c r="C248" i="7"/>
  <c r="C249" i="7"/>
  <c r="C250" i="7"/>
  <c r="C251" i="7"/>
  <c r="C252" i="7"/>
  <c r="C253" i="7"/>
  <c r="C254" i="7"/>
  <c r="C255" i="7"/>
  <c r="C256" i="7"/>
  <c r="C257" i="7"/>
  <c r="C258" i="7"/>
  <c r="C259" i="7"/>
  <c r="C260" i="7"/>
  <c r="C261" i="7"/>
  <c r="C262" i="7"/>
  <c r="C263" i="7"/>
  <c r="C264" i="7"/>
  <c r="C265" i="7"/>
  <c r="C266" i="7"/>
  <c r="C267" i="7"/>
  <c r="C268" i="7"/>
  <c r="C269" i="7"/>
  <c r="C270" i="7"/>
  <c r="C271" i="7"/>
  <c r="C272" i="7"/>
  <c r="C273" i="7"/>
  <c r="C274" i="7"/>
  <c r="C275" i="7"/>
  <c r="C276" i="7"/>
  <c r="C277" i="7"/>
  <c r="C278" i="7"/>
  <c r="C279" i="7"/>
  <c r="C280" i="7"/>
  <c r="C281" i="7"/>
  <c r="C282" i="7"/>
  <c r="C283" i="7"/>
  <c r="C284" i="7"/>
  <c r="C285" i="7"/>
  <c r="C286" i="7"/>
  <c r="C287" i="7"/>
  <c r="C288" i="7"/>
  <c r="C289" i="7"/>
  <c r="C290" i="7"/>
  <c r="C291" i="7"/>
  <c r="C292" i="7"/>
  <c r="C293" i="7"/>
  <c r="C294" i="7"/>
  <c r="C295" i="7"/>
  <c r="C296" i="7"/>
  <c r="C297" i="7"/>
  <c r="C298" i="7"/>
  <c r="C299" i="7"/>
  <c r="C300" i="7"/>
  <c r="C301" i="7"/>
  <c r="C302" i="7"/>
  <c r="C303" i="7"/>
  <c r="C304" i="7"/>
  <c r="C305" i="7"/>
  <c r="C306" i="7"/>
  <c r="C307" i="7"/>
  <c r="C308" i="7"/>
  <c r="C309" i="7"/>
  <c r="C310" i="7"/>
  <c r="C311" i="7"/>
  <c r="C312" i="7"/>
  <c r="C313" i="7"/>
  <c r="C314" i="7"/>
  <c r="C315" i="7"/>
  <c r="C316" i="7"/>
  <c r="C317" i="7"/>
  <c r="C318" i="7"/>
  <c r="C319" i="7"/>
  <c r="C320" i="7"/>
  <c r="C321" i="7"/>
  <c r="C322" i="7"/>
  <c r="C323" i="7"/>
  <c r="C324" i="7"/>
  <c r="C325" i="7"/>
  <c r="C326" i="7"/>
  <c r="C327" i="7"/>
  <c r="C328" i="7"/>
  <c r="C329" i="7"/>
  <c r="C330" i="7"/>
  <c r="C331" i="7"/>
  <c r="C332" i="7"/>
  <c r="C333" i="7"/>
  <c r="C334" i="7"/>
  <c r="C335" i="7"/>
  <c r="C336" i="7"/>
  <c r="C337" i="7"/>
  <c r="C338" i="7"/>
  <c r="C339" i="7"/>
  <c r="C340" i="7"/>
  <c r="C341" i="7"/>
  <c r="C342" i="7"/>
  <c r="C343" i="7"/>
  <c r="C344" i="7"/>
  <c r="C345" i="7"/>
  <c r="C346" i="7"/>
  <c r="C347" i="7"/>
  <c r="C348" i="7"/>
  <c r="C349" i="7"/>
  <c r="C350" i="7"/>
  <c r="C351" i="7"/>
  <c r="C352" i="7"/>
  <c r="C353" i="7"/>
  <c r="C354" i="7"/>
  <c r="C355" i="7"/>
  <c r="C356" i="7"/>
  <c r="C357" i="7"/>
  <c r="C358" i="7"/>
  <c r="C359" i="7"/>
  <c r="C360" i="7"/>
  <c r="C361" i="7"/>
  <c r="C362" i="7"/>
  <c r="C363" i="7"/>
  <c r="C364" i="7"/>
  <c r="C365" i="7"/>
  <c r="C366" i="7"/>
  <c r="C367" i="7"/>
  <c r="C368" i="7"/>
  <c r="C369" i="7"/>
  <c r="C370" i="7"/>
  <c r="C371" i="7"/>
  <c r="C372" i="7"/>
  <c r="C373" i="7"/>
  <c r="C374" i="7"/>
  <c r="C375" i="7"/>
  <c r="C376" i="7"/>
  <c r="C377" i="7"/>
  <c r="C378" i="7"/>
  <c r="C379" i="7"/>
  <c r="C380" i="7"/>
  <c r="C381" i="7"/>
  <c r="C382" i="7"/>
  <c r="C383" i="7"/>
  <c r="C384" i="7"/>
  <c r="C385" i="7"/>
  <c r="C386" i="7"/>
  <c r="C387" i="7"/>
  <c r="C388" i="7"/>
  <c r="C389" i="7"/>
  <c r="C390" i="7"/>
  <c r="C391" i="7"/>
  <c r="C392" i="7"/>
  <c r="C393" i="7"/>
  <c r="C394" i="7"/>
  <c r="C395" i="7"/>
  <c r="C396" i="7"/>
  <c r="C397" i="7"/>
  <c r="C398" i="7"/>
  <c r="C399" i="7"/>
  <c r="C400" i="7"/>
  <c r="C401" i="7"/>
  <c r="C402" i="7"/>
  <c r="C403" i="7"/>
  <c r="C404" i="7"/>
  <c r="C405" i="7"/>
  <c r="C406" i="7"/>
  <c r="C407" i="7"/>
  <c r="C408" i="7"/>
  <c r="C409" i="7"/>
  <c r="C410" i="7"/>
  <c r="C411" i="7"/>
  <c r="C412" i="7"/>
  <c r="C413" i="7"/>
  <c r="C414" i="7"/>
  <c r="C415" i="7"/>
  <c r="C416" i="7"/>
  <c r="C417" i="7"/>
  <c r="C418" i="7"/>
  <c r="C419" i="7"/>
  <c r="C420" i="7"/>
  <c r="C421" i="7"/>
  <c r="C422" i="7"/>
  <c r="C423" i="7"/>
  <c r="C424" i="7"/>
  <c r="C425" i="7"/>
  <c r="C426" i="7"/>
  <c r="C427" i="7"/>
  <c r="C428" i="7"/>
  <c r="C429" i="7"/>
  <c r="C430" i="7"/>
  <c r="C431" i="7"/>
  <c r="C432" i="7"/>
  <c r="C433" i="7"/>
  <c r="C434" i="7"/>
  <c r="C435" i="7"/>
  <c r="C436" i="7"/>
  <c r="C437" i="7"/>
  <c r="C438" i="7"/>
  <c r="C439" i="7"/>
  <c r="C440" i="7"/>
  <c r="C441" i="7"/>
  <c r="C442" i="7"/>
  <c r="C443" i="7"/>
  <c r="C444" i="7"/>
  <c r="C445" i="7"/>
  <c r="C446" i="7"/>
  <c r="C447" i="7"/>
  <c r="C448" i="7"/>
  <c r="C449" i="7"/>
  <c r="C450" i="7"/>
  <c r="C451" i="7"/>
  <c r="C452" i="7"/>
  <c r="C453" i="7"/>
  <c r="C454" i="7"/>
  <c r="C455" i="7"/>
  <c r="C456" i="7"/>
  <c r="C457" i="7"/>
  <c r="C458" i="7"/>
  <c r="C459" i="7"/>
  <c r="C460" i="7"/>
  <c r="C461" i="7"/>
  <c r="C462" i="7"/>
  <c r="C463" i="7"/>
  <c r="C464" i="7"/>
  <c r="C465" i="7"/>
  <c r="C466" i="7"/>
  <c r="C467" i="7"/>
  <c r="C468" i="7"/>
  <c r="C469" i="7"/>
  <c r="C470" i="7"/>
  <c r="C471" i="7"/>
  <c r="C472" i="7"/>
  <c r="C473" i="7"/>
  <c r="C474" i="7"/>
  <c r="C475" i="7"/>
  <c r="C476" i="7"/>
  <c r="C477" i="7"/>
  <c r="C478" i="7"/>
  <c r="C479" i="7"/>
  <c r="C480" i="7"/>
  <c r="C481" i="7"/>
  <c r="C482" i="7"/>
  <c r="C483" i="7"/>
  <c r="C484" i="7"/>
  <c r="C485" i="7"/>
  <c r="C486" i="7"/>
  <c r="C487" i="7"/>
  <c r="C488" i="7"/>
  <c r="C489" i="7"/>
  <c r="C490" i="7"/>
  <c r="C491" i="7"/>
  <c r="C492" i="7"/>
  <c r="C493" i="7"/>
  <c r="C494" i="7"/>
  <c r="C495" i="7"/>
  <c r="C496" i="7"/>
  <c r="C497" i="7"/>
  <c r="C498" i="7"/>
  <c r="C499" i="7"/>
  <c r="C500" i="7"/>
  <c r="C501" i="7"/>
  <c r="C502" i="7"/>
  <c r="C503" i="7"/>
  <c r="C504" i="7"/>
  <c r="C505" i="7"/>
  <c r="C506" i="7"/>
  <c r="C507" i="7"/>
  <c r="C508" i="7"/>
  <c r="C509" i="7"/>
  <c r="C510" i="7"/>
  <c r="C511" i="7"/>
  <c r="C512" i="7"/>
  <c r="C513" i="7"/>
  <c r="C514" i="7"/>
  <c r="C515" i="7"/>
  <c r="C516" i="7"/>
  <c r="C517" i="7"/>
  <c r="C518" i="7"/>
  <c r="C519" i="7"/>
  <c r="C520" i="7"/>
  <c r="C521" i="7"/>
  <c r="C522" i="7"/>
  <c r="C523" i="7"/>
  <c r="C524" i="7"/>
  <c r="C525" i="7"/>
  <c r="C526" i="7"/>
  <c r="C527" i="7"/>
  <c r="C528" i="7"/>
  <c r="C529" i="7"/>
  <c r="C530" i="7"/>
  <c r="C531" i="7"/>
  <c r="C532" i="7"/>
  <c r="C533" i="7"/>
  <c r="C534" i="7"/>
  <c r="C535" i="7"/>
  <c r="C536" i="7"/>
  <c r="C537" i="7"/>
  <c r="C538" i="7"/>
  <c r="C539" i="7"/>
  <c r="C540" i="7"/>
  <c r="C541" i="7"/>
  <c r="C542" i="7"/>
  <c r="C543" i="7"/>
  <c r="C544" i="7"/>
  <c r="C545" i="7"/>
  <c r="C546" i="7"/>
  <c r="C547" i="7"/>
  <c r="C548" i="7"/>
  <c r="C549" i="7"/>
  <c r="C550" i="7"/>
  <c r="C551" i="7"/>
  <c r="C552" i="7"/>
  <c r="C553" i="7"/>
  <c r="C554" i="7"/>
  <c r="C555" i="7"/>
  <c r="C556" i="7"/>
  <c r="C557" i="7"/>
  <c r="C558" i="7"/>
  <c r="C559" i="7"/>
  <c r="C560" i="7"/>
  <c r="C561" i="7"/>
  <c r="C562" i="7"/>
  <c r="C563" i="7"/>
  <c r="C564" i="7"/>
  <c r="C565" i="7"/>
  <c r="C566" i="7"/>
  <c r="C567" i="7"/>
  <c r="C568" i="7"/>
  <c r="C569" i="7"/>
  <c r="C570" i="7"/>
  <c r="C571" i="7"/>
  <c r="C572" i="7"/>
  <c r="C573" i="7"/>
  <c r="C574" i="7"/>
  <c r="C575" i="7"/>
  <c r="C576" i="7"/>
  <c r="C577" i="7"/>
  <c r="C578" i="7"/>
  <c r="C579" i="7"/>
  <c r="C580" i="7"/>
  <c r="C581" i="7"/>
  <c r="C582" i="7"/>
  <c r="C583" i="7"/>
  <c r="C584" i="7"/>
  <c r="C585" i="7"/>
  <c r="C586" i="7"/>
  <c r="C587" i="7"/>
  <c r="C588" i="7"/>
  <c r="C589" i="7"/>
  <c r="C590" i="7"/>
  <c r="C591" i="7"/>
  <c r="C592" i="7"/>
  <c r="C593" i="7"/>
  <c r="C594" i="7"/>
  <c r="C595" i="7"/>
  <c r="C596" i="7"/>
  <c r="C597" i="7"/>
  <c r="C598" i="7"/>
  <c r="C599" i="7"/>
  <c r="C600" i="7"/>
  <c r="C601" i="7"/>
  <c r="C602" i="7"/>
  <c r="C603" i="7"/>
  <c r="C604" i="7"/>
  <c r="C605" i="7"/>
  <c r="C606" i="7"/>
  <c r="C607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02" i="7"/>
  <c r="B103" i="7"/>
  <c r="B104" i="7"/>
  <c r="B105" i="7"/>
  <c r="B106" i="7"/>
  <c r="B107" i="7"/>
  <c r="B108" i="7"/>
  <c r="B109" i="7"/>
  <c r="B110" i="7"/>
  <c r="B111" i="7"/>
  <c r="B112" i="7"/>
  <c r="B113" i="7"/>
  <c r="B114" i="7"/>
  <c r="B115" i="7"/>
  <c r="B116" i="7"/>
  <c r="B117" i="7"/>
  <c r="B118" i="7"/>
  <c r="B119" i="7"/>
  <c r="B120" i="7"/>
  <c r="B121" i="7"/>
  <c r="B122" i="7"/>
  <c r="B123" i="7"/>
  <c r="B124" i="7"/>
  <c r="B125" i="7"/>
  <c r="B126" i="7"/>
  <c r="B127" i="7"/>
  <c r="B128" i="7"/>
  <c r="B129" i="7"/>
  <c r="B130" i="7"/>
  <c r="B131" i="7"/>
  <c r="B132" i="7"/>
  <c r="B133" i="7"/>
  <c r="B134" i="7"/>
  <c r="B135" i="7"/>
  <c r="B136" i="7"/>
  <c r="B137" i="7"/>
  <c r="B138" i="7"/>
  <c r="B139" i="7"/>
  <c r="B140" i="7"/>
  <c r="B141" i="7"/>
  <c r="B142" i="7"/>
  <c r="B143" i="7"/>
  <c r="B144" i="7"/>
  <c r="B145" i="7"/>
  <c r="B146" i="7"/>
  <c r="B147" i="7"/>
  <c r="B148" i="7"/>
  <c r="B149" i="7"/>
  <c r="B150" i="7"/>
  <c r="B151" i="7"/>
  <c r="B152" i="7"/>
  <c r="B153" i="7"/>
  <c r="B154" i="7"/>
  <c r="B155" i="7"/>
  <c r="B156" i="7"/>
  <c r="B157" i="7"/>
  <c r="B158" i="7"/>
  <c r="B159" i="7"/>
  <c r="B160" i="7"/>
  <c r="B161" i="7"/>
  <c r="B162" i="7"/>
  <c r="B163" i="7"/>
  <c r="B164" i="7"/>
  <c r="B165" i="7"/>
  <c r="B166" i="7"/>
  <c r="B167" i="7"/>
  <c r="B168" i="7"/>
  <c r="B169" i="7"/>
  <c r="B170" i="7"/>
  <c r="B171" i="7"/>
  <c r="B172" i="7"/>
  <c r="B173" i="7"/>
  <c r="B174" i="7"/>
  <c r="B175" i="7"/>
  <c r="B176" i="7"/>
  <c r="B177" i="7"/>
  <c r="B178" i="7"/>
  <c r="B179" i="7"/>
  <c r="B180" i="7"/>
  <c r="B181" i="7"/>
  <c r="B182" i="7"/>
  <c r="B183" i="7"/>
  <c r="B184" i="7"/>
  <c r="B185" i="7"/>
  <c r="B186" i="7"/>
  <c r="B187" i="7"/>
  <c r="B188" i="7"/>
  <c r="B189" i="7"/>
  <c r="B190" i="7"/>
  <c r="B191" i="7"/>
  <c r="B192" i="7"/>
  <c r="B193" i="7"/>
  <c r="B194" i="7"/>
  <c r="B195" i="7"/>
  <c r="B196" i="7"/>
  <c r="B197" i="7"/>
  <c r="B198" i="7"/>
  <c r="B199" i="7"/>
  <c r="B200" i="7"/>
  <c r="B201" i="7"/>
  <c r="B202" i="7"/>
  <c r="B203" i="7"/>
  <c r="B204" i="7"/>
  <c r="B205" i="7"/>
  <c r="B206" i="7"/>
  <c r="B207" i="7"/>
  <c r="B208" i="7"/>
  <c r="B209" i="7"/>
  <c r="B210" i="7"/>
  <c r="B211" i="7"/>
  <c r="B212" i="7"/>
  <c r="B213" i="7"/>
  <c r="B214" i="7"/>
  <c r="B215" i="7"/>
  <c r="B216" i="7"/>
  <c r="B217" i="7"/>
  <c r="B218" i="7"/>
  <c r="B219" i="7"/>
  <c r="B220" i="7"/>
  <c r="B221" i="7"/>
  <c r="B222" i="7"/>
  <c r="B223" i="7"/>
  <c r="B224" i="7"/>
  <c r="B225" i="7"/>
  <c r="B226" i="7"/>
  <c r="B227" i="7"/>
  <c r="B228" i="7"/>
  <c r="B229" i="7"/>
  <c r="B230" i="7"/>
  <c r="B231" i="7"/>
  <c r="B232" i="7"/>
  <c r="B233" i="7"/>
  <c r="B234" i="7"/>
  <c r="B235" i="7"/>
  <c r="B236" i="7"/>
  <c r="B237" i="7"/>
  <c r="B238" i="7"/>
  <c r="B239" i="7"/>
  <c r="B240" i="7"/>
  <c r="B241" i="7"/>
  <c r="B242" i="7"/>
  <c r="B243" i="7"/>
  <c r="B244" i="7"/>
  <c r="B245" i="7"/>
  <c r="B246" i="7"/>
  <c r="B247" i="7"/>
  <c r="B248" i="7"/>
  <c r="B249" i="7"/>
  <c r="B250" i="7"/>
  <c r="B251" i="7"/>
  <c r="B252" i="7"/>
  <c r="B253" i="7"/>
  <c r="B254" i="7"/>
  <c r="B255" i="7"/>
  <c r="B256" i="7"/>
  <c r="B257" i="7"/>
  <c r="B258" i="7"/>
  <c r="B259" i="7"/>
  <c r="B260" i="7"/>
  <c r="B261" i="7"/>
  <c r="B262" i="7"/>
  <c r="B263" i="7"/>
  <c r="B264" i="7"/>
  <c r="B265" i="7"/>
  <c r="B266" i="7"/>
  <c r="B267" i="7"/>
  <c r="B268" i="7"/>
  <c r="B269" i="7"/>
  <c r="B270" i="7"/>
  <c r="B271" i="7"/>
  <c r="B272" i="7"/>
  <c r="B273" i="7"/>
  <c r="B274" i="7"/>
  <c r="B275" i="7"/>
  <c r="B276" i="7"/>
  <c r="B277" i="7"/>
  <c r="B278" i="7"/>
  <c r="B279" i="7"/>
  <c r="B280" i="7"/>
  <c r="B281" i="7"/>
  <c r="B282" i="7"/>
  <c r="B283" i="7"/>
  <c r="B284" i="7"/>
  <c r="B285" i="7"/>
  <c r="B286" i="7"/>
  <c r="B287" i="7"/>
  <c r="B288" i="7"/>
  <c r="B289" i="7"/>
  <c r="B290" i="7"/>
  <c r="B291" i="7"/>
  <c r="B292" i="7"/>
  <c r="B293" i="7"/>
  <c r="B294" i="7"/>
  <c r="B295" i="7"/>
  <c r="B296" i="7"/>
  <c r="B297" i="7"/>
  <c r="B298" i="7"/>
  <c r="B299" i="7"/>
  <c r="B300" i="7"/>
  <c r="B301" i="7"/>
  <c r="B302" i="7"/>
  <c r="B303" i="7"/>
  <c r="B304" i="7"/>
  <c r="B305" i="7"/>
  <c r="B306" i="7"/>
  <c r="B307" i="7"/>
  <c r="B308" i="7"/>
  <c r="B309" i="7"/>
  <c r="B310" i="7"/>
  <c r="B311" i="7"/>
  <c r="B312" i="7"/>
  <c r="B313" i="7"/>
  <c r="B314" i="7"/>
  <c r="B315" i="7"/>
  <c r="B316" i="7"/>
  <c r="B317" i="7"/>
  <c r="B318" i="7"/>
  <c r="B319" i="7"/>
  <c r="B320" i="7"/>
  <c r="B321" i="7"/>
  <c r="B322" i="7"/>
  <c r="B323" i="7"/>
  <c r="B324" i="7"/>
  <c r="B325" i="7"/>
  <c r="B326" i="7"/>
  <c r="B327" i="7"/>
  <c r="B328" i="7"/>
  <c r="B329" i="7"/>
  <c r="B330" i="7"/>
  <c r="B331" i="7"/>
  <c r="B332" i="7"/>
  <c r="B333" i="7"/>
  <c r="B334" i="7"/>
  <c r="B335" i="7"/>
  <c r="B336" i="7"/>
  <c r="B337" i="7"/>
  <c r="B338" i="7"/>
  <c r="B339" i="7"/>
  <c r="B340" i="7"/>
  <c r="B341" i="7"/>
  <c r="B342" i="7"/>
  <c r="B343" i="7"/>
  <c r="B344" i="7"/>
  <c r="B345" i="7"/>
  <c r="B346" i="7"/>
  <c r="B347" i="7"/>
  <c r="B348" i="7"/>
  <c r="B349" i="7"/>
  <c r="B350" i="7"/>
  <c r="B351" i="7"/>
  <c r="B352" i="7"/>
  <c r="B353" i="7"/>
  <c r="B354" i="7"/>
  <c r="B355" i="7"/>
  <c r="B356" i="7"/>
  <c r="B357" i="7"/>
  <c r="B358" i="7"/>
  <c r="B359" i="7"/>
  <c r="B360" i="7"/>
  <c r="B361" i="7"/>
  <c r="B362" i="7"/>
  <c r="B363" i="7"/>
  <c r="B364" i="7"/>
  <c r="B365" i="7"/>
  <c r="B366" i="7"/>
  <c r="B367" i="7"/>
  <c r="B368" i="7"/>
  <c r="B369" i="7"/>
  <c r="B370" i="7"/>
  <c r="B371" i="7"/>
  <c r="B372" i="7"/>
  <c r="B373" i="7"/>
  <c r="B374" i="7"/>
  <c r="B375" i="7"/>
  <c r="B376" i="7"/>
  <c r="B377" i="7"/>
  <c r="B378" i="7"/>
  <c r="B379" i="7"/>
  <c r="B380" i="7"/>
  <c r="B381" i="7"/>
  <c r="B382" i="7"/>
  <c r="B383" i="7"/>
  <c r="B384" i="7"/>
  <c r="B385" i="7"/>
  <c r="B386" i="7"/>
  <c r="B387" i="7"/>
  <c r="B388" i="7"/>
  <c r="B389" i="7"/>
  <c r="B390" i="7"/>
  <c r="B391" i="7"/>
  <c r="B392" i="7"/>
  <c r="B393" i="7"/>
  <c r="B394" i="7"/>
  <c r="B395" i="7"/>
  <c r="B396" i="7"/>
  <c r="B397" i="7"/>
  <c r="B398" i="7"/>
  <c r="B399" i="7"/>
  <c r="B400" i="7"/>
  <c r="B401" i="7"/>
  <c r="B402" i="7"/>
  <c r="B403" i="7"/>
  <c r="B404" i="7"/>
  <c r="B405" i="7"/>
  <c r="B406" i="7"/>
  <c r="B407" i="7"/>
  <c r="B408" i="7"/>
  <c r="B409" i="7"/>
  <c r="B410" i="7"/>
  <c r="B411" i="7"/>
  <c r="B412" i="7"/>
  <c r="B413" i="7"/>
  <c r="B414" i="7"/>
  <c r="B415" i="7"/>
  <c r="B416" i="7"/>
  <c r="B417" i="7"/>
  <c r="B418" i="7"/>
  <c r="B419" i="7"/>
  <c r="B420" i="7"/>
  <c r="B421" i="7"/>
  <c r="B422" i="7"/>
  <c r="B423" i="7"/>
  <c r="B424" i="7"/>
  <c r="B425" i="7"/>
  <c r="B426" i="7"/>
  <c r="B427" i="7"/>
  <c r="B428" i="7"/>
  <c r="B429" i="7"/>
  <c r="B430" i="7"/>
  <c r="B431" i="7"/>
  <c r="B432" i="7"/>
  <c r="B433" i="7"/>
  <c r="B434" i="7"/>
  <c r="B435" i="7"/>
  <c r="B436" i="7"/>
  <c r="B437" i="7"/>
  <c r="B438" i="7"/>
  <c r="B439" i="7"/>
  <c r="B440" i="7"/>
  <c r="B441" i="7"/>
  <c r="B442" i="7"/>
  <c r="B443" i="7"/>
  <c r="B444" i="7"/>
  <c r="B445" i="7"/>
  <c r="B446" i="7"/>
  <c r="B447" i="7"/>
  <c r="B448" i="7"/>
  <c r="B449" i="7"/>
  <c r="B450" i="7"/>
  <c r="B451" i="7"/>
  <c r="B452" i="7"/>
  <c r="B453" i="7"/>
  <c r="B454" i="7"/>
  <c r="B455" i="7"/>
  <c r="B456" i="7"/>
  <c r="B457" i="7"/>
  <c r="B458" i="7"/>
  <c r="B459" i="7"/>
  <c r="B460" i="7"/>
  <c r="B461" i="7"/>
  <c r="B462" i="7"/>
  <c r="B463" i="7"/>
  <c r="B464" i="7"/>
  <c r="B465" i="7"/>
  <c r="B466" i="7"/>
  <c r="B467" i="7"/>
  <c r="B468" i="7"/>
  <c r="B469" i="7"/>
  <c r="B470" i="7"/>
  <c r="B471" i="7"/>
  <c r="B472" i="7"/>
  <c r="B473" i="7"/>
  <c r="B474" i="7"/>
  <c r="B475" i="7"/>
  <c r="B476" i="7"/>
  <c r="B477" i="7"/>
  <c r="B478" i="7"/>
  <c r="B479" i="7"/>
  <c r="B480" i="7"/>
  <c r="B481" i="7"/>
  <c r="B482" i="7"/>
  <c r="B483" i="7"/>
  <c r="B484" i="7"/>
  <c r="B485" i="7"/>
  <c r="B486" i="7"/>
  <c r="B487" i="7"/>
  <c r="B488" i="7"/>
  <c r="B489" i="7"/>
  <c r="B490" i="7"/>
  <c r="B491" i="7"/>
  <c r="B492" i="7"/>
  <c r="B493" i="7"/>
  <c r="B494" i="7"/>
  <c r="B495" i="7"/>
  <c r="B496" i="7"/>
  <c r="B497" i="7"/>
  <c r="B498" i="7"/>
  <c r="B499" i="7"/>
  <c r="B500" i="7"/>
  <c r="B501" i="7"/>
  <c r="B502" i="7"/>
  <c r="B503" i="7"/>
  <c r="B504" i="7"/>
  <c r="B505" i="7"/>
  <c r="B506" i="7"/>
  <c r="B507" i="7"/>
  <c r="B508" i="7"/>
  <c r="B509" i="7"/>
  <c r="B510" i="7"/>
  <c r="B511" i="7"/>
  <c r="B512" i="7"/>
  <c r="B513" i="7"/>
  <c r="B514" i="7"/>
  <c r="B515" i="7"/>
  <c r="B516" i="7"/>
  <c r="B517" i="7"/>
  <c r="B518" i="7"/>
  <c r="B519" i="7"/>
  <c r="B520" i="7"/>
  <c r="B521" i="7"/>
  <c r="B522" i="7"/>
  <c r="B523" i="7"/>
  <c r="B524" i="7"/>
  <c r="B525" i="7"/>
  <c r="B526" i="7"/>
  <c r="B527" i="7"/>
  <c r="B528" i="7"/>
  <c r="B529" i="7"/>
  <c r="B530" i="7"/>
  <c r="B531" i="7"/>
  <c r="B532" i="7"/>
  <c r="B533" i="7"/>
  <c r="B534" i="7"/>
  <c r="B535" i="7"/>
  <c r="B536" i="7"/>
  <c r="B537" i="7"/>
  <c r="B538" i="7"/>
  <c r="B539" i="7"/>
  <c r="B540" i="7"/>
  <c r="B541" i="7"/>
  <c r="B542" i="7"/>
  <c r="B543" i="7"/>
  <c r="B544" i="7"/>
  <c r="B545" i="7"/>
  <c r="B546" i="7"/>
  <c r="B547" i="7"/>
  <c r="B548" i="7"/>
  <c r="B549" i="7"/>
  <c r="B550" i="7"/>
  <c r="B551" i="7"/>
  <c r="B552" i="7"/>
  <c r="B553" i="7"/>
  <c r="B554" i="7"/>
  <c r="B555" i="7"/>
  <c r="B556" i="7"/>
  <c r="B557" i="7"/>
  <c r="B558" i="7"/>
  <c r="B559" i="7"/>
  <c r="B560" i="7"/>
  <c r="B561" i="7"/>
  <c r="B562" i="7"/>
  <c r="B563" i="7"/>
  <c r="B564" i="7"/>
  <c r="B565" i="7"/>
  <c r="B566" i="7"/>
  <c r="B567" i="7"/>
  <c r="B568" i="7"/>
  <c r="B569" i="7"/>
  <c r="B570" i="7"/>
  <c r="B571" i="7"/>
  <c r="B572" i="7"/>
  <c r="B573" i="7"/>
  <c r="B574" i="7"/>
  <c r="B575" i="7"/>
  <c r="B576" i="7"/>
  <c r="B577" i="7"/>
  <c r="B578" i="7"/>
  <c r="B579" i="7"/>
  <c r="B580" i="7"/>
  <c r="B581" i="7"/>
  <c r="B582" i="7"/>
  <c r="B583" i="7"/>
  <c r="B584" i="7"/>
  <c r="B585" i="7"/>
  <c r="B586" i="7"/>
  <c r="B587" i="7"/>
  <c r="B588" i="7"/>
  <c r="B589" i="7"/>
  <c r="B590" i="7"/>
  <c r="B591" i="7"/>
  <c r="B592" i="7"/>
  <c r="B593" i="7"/>
  <c r="B594" i="7"/>
  <c r="B595" i="7"/>
  <c r="B596" i="7"/>
  <c r="B597" i="7"/>
  <c r="B598" i="7"/>
  <c r="B599" i="7"/>
  <c r="B600" i="7"/>
  <c r="B601" i="7"/>
  <c r="B602" i="7"/>
  <c r="B603" i="7"/>
  <c r="B604" i="7"/>
  <c r="B605" i="7"/>
  <c r="B606" i="7"/>
  <c r="B607" i="7"/>
  <c r="E3" i="7"/>
  <c r="E2" i="7"/>
  <c r="E4" i="7"/>
  <c r="E5" i="7"/>
  <c r="F5" i="7" s="1"/>
  <c r="E6" i="7"/>
  <c r="E7" i="7"/>
  <c r="E8" i="7"/>
  <c r="E9" i="7"/>
  <c r="F9" i="7" s="1"/>
  <c r="E10" i="7"/>
  <c r="E11" i="7"/>
  <c r="D3" i="7"/>
  <c r="D4" i="7"/>
  <c r="D5" i="7"/>
  <c r="D6" i="7"/>
  <c r="D7" i="7"/>
  <c r="D8" i="7"/>
  <c r="D9" i="7"/>
  <c r="D10" i="7"/>
  <c r="D11" i="7"/>
  <c r="D2" i="7"/>
  <c r="C2" i="7"/>
  <c r="C3" i="7"/>
  <c r="C4" i="7"/>
  <c r="C5" i="7"/>
  <c r="C6" i="7"/>
  <c r="C7" i="7"/>
  <c r="C8" i="7"/>
  <c r="C9" i="7"/>
  <c r="C10" i="7"/>
  <c r="C11" i="7"/>
  <c r="B3" i="7"/>
  <c r="B4" i="7"/>
  <c r="B5" i="7"/>
  <c r="B6" i="7"/>
  <c r="B7" i="7"/>
  <c r="B8" i="7"/>
  <c r="B9" i="7"/>
  <c r="B10" i="7"/>
  <c r="B11" i="7"/>
  <c r="B2" i="7"/>
  <c r="G607" i="7" l="1"/>
  <c r="G591" i="7"/>
  <c r="G575" i="7"/>
  <c r="G559" i="7"/>
  <c r="G543" i="7"/>
  <c r="G527" i="7"/>
  <c r="G511" i="7"/>
  <c r="G495" i="7"/>
  <c r="G479" i="7"/>
  <c r="G463" i="7"/>
  <c r="G447" i="7"/>
  <c r="G431" i="7"/>
  <c r="G415" i="7"/>
  <c r="G399" i="7"/>
  <c r="G383" i="7"/>
  <c r="G367" i="7"/>
  <c r="G351" i="7"/>
  <c r="G335" i="7"/>
  <c r="G319" i="7"/>
  <c r="G303" i="7"/>
  <c r="G287" i="7"/>
  <c r="G271" i="7"/>
  <c r="G255" i="7"/>
  <c r="G239" i="7"/>
  <c r="G223" i="7"/>
  <c r="G207" i="7"/>
  <c r="G191" i="7"/>
  <c r="G175" i="7"/>
  <c r="G159" i="7"/>
  <c r="G143" i="7"/>
  <c r="G127" i="7"/>
  <c r="G111" i="7"/>
  <c r="G95" i="7"/>
  <c r="G79" i="7"/>
  <c r="G63" i="7"/>
  <c r="G47" i="7"/>
  <c r="G31" i="7"/>
  <c r="G15" i="7"/>
  <c r="F607" i="7"/>
  <c r="F603" i="7"/>
  <c r="G603" i="7" s="1"/>
  <c r="F599" i="7"/>
  <c r="G599" i="7" s="1"/>
  <c r="F595" i="7"/>
  <c r="G595" i="7" s="1"/>
  <c r="F591" i="7"/>
  <c r="F587" i="7"/>
  <c r="G587" i="7" s="1"/>
  <c r="F583" i="7"/>
  <c r="G583" i="7" s="1"/>
  <c r="F579" i="7"/>
  <c r="G579" i="7" s="1"/>
  <c r="F575" i="7"/>
  <c r="F571" i="7"/>
  <c r="G571" i="7" s="1"/>
  <c r="F567" i="7"/>
  <c r="G567" i="7" s="1"/>
  <c r="F563" i="7"/>
  <c r="G563" i="7" s="1"/>
  <c r="F559" i="7"/>
  <c r="F555" i="7"/>
  <c r="G555" i="7" s="1"/>
  <c r="F551" i="7"/>
  <c r="G551" i="7" s="1"/>
  <c r="F547" i="7"/>
  <c r="G547" i="7" s="1"/>
  <c r="F543" i="7"/>
  <c r="F539" i="7"/>
  <c r="G539" i="7" s="1"/>
  <c r="F535" i="7"/>
  <c r="G535" i="7" s="1"/>
  <c r="F531" i="7"/>
  <c r="G531" i="7" s="1"/>
  <c r="D20" i="8" s="1"/>
  <c r="F527" i="7"/>
  <c r="F523" i="7"/>
  <c r="G523" i="7" s="1"/>
  <c r="F519" i="7"/>
  <c r="G519" i="7" s="1"/>
  <c r="F515" i="7"/>
  <c r="G515" i="7" s="1"/>
  <c r="F511" i="7"/>
  <c r="F507" i="7"/>
  <c r="G507" i="7" s="1"/>
  <c r="F503" i="7"/>
  <c r="G503" i="7" s="1"/>
  <c r="F499" i="7"/>
  <c r="G499" i="7" s="1"/>
  <c r="F495" i="7"/>
  <c r="F491" i="7"/>
  <c r="G491" i="7" s="1"/>
  <c r="F487" i="7"/>
  <c r="G487" i="7" s="1"/>
  <c r="F483" i="7"/>
  <c r="G483" i="7" s="1"/>
  <c r="F479" i="7"/>
  <c r="F475" i="7"/>
  <c r="G475" i="7" s="1"/>
  <c r="F471" i="7"/>
  <c r="G471" i="7" s="1"/>
  <c r="F467" i="7"/>
  <c r="G467" i="7" s="1"/>
  <c r="F463" i="7"/>
  <c r="F459" i="7"/>
  <c r="G459" i="7" s="1"/>
  <c r="F455" i="7"/>
  <c r="G455" i="7" s="1"/>
  <c r="F451" i="7"/>
  <c r="G451" i="7" s="1"/>
  <c r="F447" i="7"/>
  <c r="F443" i="7"/>
  <c r="G443" i="7" s="1"/>
  <c r="F439" i="7"/>
  <c r="G439" i="7" s="1"/>
  <c r="F435" i="7"/>
  <c r="G435" i="7" s="1"/>
  <c r="F431" i="7"/>
  <c r="F427" i="7"/>
  <c r="G427" i="7" s="1"/>
  <c r="F423" i="7"/>
  <c r="G423" i="7" s="1"/>
  <c r="F419" i="7"/>
  <c r="G419" i="7" s="1"/>
  <c r="F415" i="7"/>
  <c r="F411" i="7"/>
  <c r="G411" i="7" s="1"/>
  <c r="F407" i="7"/>
  <c r="G407" i="7" s="1"/>
  <c r="F403" i="7"/>
  <c r="G403" i="7" s="1"/>
  <c r="F399" i="7"/>
  <c r="F395" i="7"/>
  <c r="G395" i="7" s="1"/>
  <c r="F391" i="7"/>
  <c r="G391" i="7" s="1"/>
  <c r="F387" i="7"/>
  <c r="G387" i="7" s="1"/>
  <c r="F383" i="7"/>
  <c r="F379" i="7"/>
  <c r="G379" i="7" s="1"/>
  <c r="D109" i="8" s="1"/>
  <c r="F375" i="7"/>
  <c r="G375" i="7" s="1"/>
  <c r="F371" i="7"/>
  <c r="G371" i="7" s="1"/>
  <c r="F367" i="7"/>
  <c r="F363" i="7"/>
  <c r="G363" i="7" s="1"/>
  <c r="F359" i="7"/>
  <c r="G359" i="7" s="1"/>
  <c r="F355" i="7"/>
  <c r="G355" i="7" s="1"/>
  <c r="F351" i="7"/>
  <c r="F347" i="7"/>
  <c r="G347" i="7" s="1"/>
  <c r="F343" i="7"/>
  <c r="G343" i="7" s="1"/>
  <c r="F339" i="7"/>
  <c r="G339" i="7" s="1"/>
  <c r="F335" i="7"/>
  <c r="F331" i="7"/>
  <c r="G331" i="7" s="1"/>
  <c r="F327" i="7"/>
  <c r="G327" i="7" s="1"/>
  <c r="F323" i="7"/>
  <c r="G323" i="7" s="1"/>
  <c r="F319" i="7"/>
  <c r="F315" i="7"/>
  <c r="G315" i="7" s="1"/>
  <c r="F311" i="7"/>
  <c r="G311" i="7" s="1"/>
  <c r="F307" i="7"/>
  <c r="G307" i="7" s="1"/>
  <c r="F303" i="7"/>
  <c r="F299" i="7"/>
  <c r="G299" i="7" s="1"/>
  <c r="F295" i="7"/>
  <c r="G295" i="7" s="1"/>
  <c r="F291" i="7"/>
  <c r="G291" i="7" s="1"/>
  <c r="F287" i="7"/>
  <c r="F283" i="7"/>
  <c r="G283" i="7" s="1"/>
  <c r="F279" i="7"/>
  <c r="G279" i="7" s="1"/>
  <c r="F275" i="7"/>
  <c r="G275" i="7" s="1"/>
  <c r="F271" i="7"/>
  <c r="F267" i="7"/>
  <c r="G267" i="7" s="1"/>
  <c r="F263" i="7"/>
  <c r="G263" i="7" s="1"/>
  <c r="F259" i="7"/>
  <c r="G259" i="7" s="1"/>
  <c r="F255" i="7"/>
  <c r="F251" i="7"/>
  <c r="G251" i="7" s="1"/>
  <c r="F247" i="7"/>
  <c r="G247" i="7" s="1"/>
  <c r="F243" i="7"/>
  <c r="G243" i="7" s="1"/>
  <c r="F239" i="7"/>
  <c r="F235" i="7"/>
  <c r="G235" i="7" s="1"/>
  <c r="F231" i="7"/>
  <c r="G231" i="7" s="1"/>
  <c r="F227" i="7"/>
  <c r="G227" i="7" s="1"/>
  <c r="F223" i="7"/>
  <c r="F219" i="7"/>
  <c r="G219" i="7" s="1"/>
  <c r="F215" i="7"/>
  <c r="G215" i="7" s="1"/>
  <c r="F211" i="7"/>
  <c r="G211" i="7" s="1"/>
  <c r="F207" i="7"/>
  <c r="F203" i="7"/>
  <c r="G203" i="7" s="1"/>
  <c r="F199" i="7"/>
  <c r="G199" i="7" s="1"/>
  <c r="F195" i="7"/>
  <c r="G195" i="7" s="1"/>
  <c r="F191" i="7"/>
  <c r="F187" i="7"/>
  <c r="G187" i="7" s="1"/>
  <c r="F183" i="7"/>
  <c r="G183" i="7" s="1"/>
  <c r="F179" i="7"/>
  <c r="G179" i="7" s="1"/>
  <c r="F175" i="7"/>
  <c r="F171" i="7"/>
  <c r="G171" i="7" s="1"/>
  <c r="F167" i="7"/>
  <c r="G167" i="7" s="1"/>
  <c r="F163" i="7"/>
  <c r="G163" i="7" s="1"/>
  <c r="F159" i="7"/>
  <c r="F155" i="7"/>
  <c r="G155" i="7" s="1"/>
  <c r="F151" i="7"/>
  <c r="G151" i="7" s="1"/>
  <c r="F147" i="7"/>
  <c r="G147" i="7" s="1"/>
  <c r="F143" i="7"/>
  <c r="F139" i="7"/>
  <c r="G139" i="7" s="1"/>
  <c r="F135" i="7"/>
  <c r="G135" i="7" s="1"/>
  <c r="F131" i="7"/>
  <c r="G131" i="7" s="1"/>
  <c r="F127" i="7"/>
  <c r="F123" i="7"/>
  <c r="G123" i="7" s="1"/>
  <c r="F119" i="7"/>
  <c r="G119" i="7" s="1"/>
  <c r="F115" i="7"/>
  <c r="G115" i="7" s="1"/>
  <c r="F111" i="7"/>
  <c r="F107" i="7"/>
  <c r="G107" i="7" s="1"/>
  <c r="F103" i="7"/>
  <c r="G103" i="7" s="1"/>
  <c r="F99" i="7"/>
  <c r="G99" i="7" s="1"/>
  <c r="F95" i="7"/>
  <c r="F91" i="7"/>
  <c r="G91" i="7" s="1"/>
  <c r="F87" i="7"/>
  <c r="G87" i="7" s="1"/>
  <c r="F83" i="7"/>
  <c r="G83" i="7" s="1"/>
  <c r="F79" i="7"/>
  <c r="F75" i="7"/>
  <c r="G75" i="7" s="1"/>
  <c r="F71" i="7"/>
  <c r="G71" i="7" s="1"/>
  <c r="F67" i="7"/>
  <c r="G67" i="7" s="1"/>
  <c r="F63" i="7"/>
  <c r="F59" i="7"/>
  <c r="G59" i="7" s="1"/>
  <c r="F55" i="7"/>
  <c r="G55" i="7" s="1"/>
  <c r="F51" i="7"/>
  <c r="G51" i="7" s="1"/>
  <c r="F47" i="7"/>
  <c r="F43" i="7"/>
  <c r="G43" i="7" s="1"/>
  <c r="D63" i="8" s="1"/>
  <c r="F39" i="7"/>
  <c r="G39" i="7" s="1"/>
  <c r="F35" i="7"/>
  <c r="G35" i="7" s="1"/>
  <c r="F31" i="7"/>
  <c r="F27" i="7"/>
  <c r="G27" i="7" s="1"/>
  <c r="D142" i="8" s="1"/>
  <c r="F23" i="7"/>
  <c r="G23" i="7" s="1"/>
  <c r="F19" i="7"/>
  <c r="G19" i="7" s="1"/>
  <c r="G3" i="7"/>
  <c r="F8" i="7"/>
  <c r="G8" i="7" s="1"/>
  <c r="F4" i="7"/>
  <c r="G4" i="7" s="1"/>
  <c r="G602" i="7"/>
  <c r="G598" i="7"/>
  <c r="G586" i="7"/>
  <c r="G582" i="7"/>
  <c r="G570" i="7"/>
  <c r="G566" i="7"/>
  <c r="G554" i="7"/>
  <c r="G550" i="7"/>
  <c r="G538" i="7"/>
  <c r="G534" i="7"/>
  <c r="G522" i="7"/>
  <c r="G518" i="7"/>
  <c r="G506" i="7"/>
  <c r="G502" i="7"/>
  <c r="G490" i="7"/>
  <c r="G486" i="7"/>
  <c r="G474" i="7"/>
  <c r="G470" i="7"/>
  <c r="G458" i="7"/>
  <c r="G454" i="7"/>
  <c r="G442" i="7"/>
  <c r="G438" i="7"/>
  <c r="G426" i="7"/>
  <c r="G422" i="7"/>
  <c r="G410" i="7"/>
  <c r="G406" i="7"/>
  <c r="G394" i="7"/>
  <c r="G390" i="7"/>
  <c r="G378" i="7"/>
  <c r="G374" i="7"/>
  <c r="G362" i="7"/>
  <c r="G358" i="7"/>
  <c r="G346" i="7"/>
  <c r="G342" i="7"/>
  <c r="G330" i="7"/>
  <c r="G326" i="7"/>
  <c r="G314" i="7"/>
  <c r="G310" i="7"/>
  <c r="G294" i="7"/>
  <c r="G282" i="7"/>
  <c r="G278" i="7"/>
  <c r="G266" i="7"/>
  <c r="G250" i="7"/>
  <c r="G218" i="7"/>
  <c r="G198" i="7"/>
  <c r="G182" i="7"/>
  <c r="G166" i="7"/>
  <c r="G154" i="7"/>
  <c r="G150" i="7"/>
  <c r="G138" i="7"/>
  <c r="G122" i="7"/>
  <c r="G106" i="7"/>
  <c r="G90" i="7"/>
  <c r="G70" i="7"/>
  <c r="G58" i="7"/>
  <c r="G42" i="7"/>
  <c r="G38" i="7"/>
  <c r="G26" i="7"/>
  <c r="G22" i="7"/>
  <c r="F606" i="7"/>
  <c r="G606" i="7" s="1"/>
  <c r="F602" i="7"/>
  <c r="F598" i="7"/>
  <c r="F594" i="7"/>
  <c r="G594" i="7" s="1"/>
  <c r="F590" i="7"/>
  <c r="G590" i="7" s="1"/>
  <c r="F586" i="7"/>
  <c r="F582" i="7"/>
  <c r="F578" i="7"/>
  <c r="G578" i="7" s="1"/>
  <c r="F574" i="7"/>
  <c r="G574" i="7" s="1"/>
  <c r="F570" i="7"/>
  <c r="F566" i="7"/>
  <c r="F562" i="7"/>
  <c r="G562" i="7" s="1"/>
  <c r="F558" i="7"/>
  <c r="G558" i="7" s="1"/>
  <c r="F554" i="7"/>
  <c r="F550" i="7"/>
  <c r="F546" i="7"/>
  <c r="G546" i="7" s="1"/>
  <c r="F542" i="7"/>
  <c r="G542" i="7" s="1"/>
  <c r="F538" i="7"/>
  <c r="F534" i="7"/>
  <c r="F530" i="7"/>
  <c r="G530" i="7" s="1"/>
  <c r="F526" i="7"/>
  <c r="G526" i="7" s="1"/>
  <c r="F522" i="7"/>
  <c r="F518" i="7"/>
  <c r="F514" i="7"/>
  <c r="G514" i="7" s="1"/>
  <c r="F510" i="7"/>
  <c r="G510" i="7" s="1"/>
  <c r="F506" i="7"/>
  <c r="F502" i="7"/>
  <c r="F498" i="7"/>
  <c r="G498" i="7" s="1"/>
  <c r="F494" i="7"/>
  <c r="G494" i="7" s="1"/>
  <c r="F490" i="7"/>
  <c r="F486" i="7"/>
  <c r="F482" i="7"/>
  <c r="G482" i="7" s="1"/>
  <c r="F478" i="7"/>
  <c r="G478" i="7" s="1"/>
  <c r="F474" i="7"/>
  <c r="F470" i="7"/>
  <c r="F466" i="7"/>
  <c r="G466" i="7" s="1"/>
  <c r="F462" i="7"/>
  <c r="G462" i="7" s="1"/>
  <c r="F458" i="7"/>
  <c r="F454" i="7"/>
  <c r="F450" i="7"/>
  <c r="G450" i="7" s="1"/>
  <c r="F446" i="7"/>
  <c r="G446" i="7" s="1"/>
  <c r="F442" i="7"/>
  <c r="F438" i="7"/>
  <c r="F434" i="7"/>
  <c r="G434" i="7" s="1"/>
  <c r="F430" i="7"/>
  <c r="G430" i="7" s="1"/>
  <c r="F426" i="7"/>
  <c r="F422" i="7"/>
  <c r="F418" i="7"/>
  <c r="G418" i="7" s="1"/>
  <c r="F414" i="7"/>
  <c r="G414" i="7" s="1"/>
  <c r="F410" i="7"/>
  <c r="F406" i="7"/>
  <c r="F402" i="7"/>
  <c r="G402" i="7" s="1"/>
  <c r="F398" i="7"/>
  <c r="G398" i="7" s="1"/>
  <c r="F394" i="7"/>
  <c r="F390" i="7"/>
  <c r="F386" i="7"/>
  <c r="G386" i="7" s="1"/>
  <c r="F382" i="7"/>
  <c r="G382" i="7" s="1"/>
  <c r="D94" i="8" s="1"/>
  <c r="F378" i="7"/>
  <c r="F374" i="7"/>
  <c r="F370" i="7"/>
  <c r="G370" i="7" s="1"/>
  <c r="F366" i="7"/>
  <c r="G366" i="7" s="1"/>
  <c r="F362" i="7"/>
  <c r="F358" i="7"/>
  <c r="F354" i="7"/>
  <c r="G354" i="7" s="1"/>
  <c r="F350" i="7"/>
  <c r="G350" i="7" s="1"/>
  <c r="F346" i="7"/>
  <c r="F342" i="7"/>
  <c r="F338" i="7"/>
  <c r="G338" i="7" s="1"/>
  <c r="F334" i="7"/>
  <c r="G334" i="7" s="1"/>
  <c r="F330" i="7"/>
  <c r="F326" i="7"/>
  <c r="F322" i="7"/>
  <c r="G322" i="7" s="1"/>
  <c r="F318" i="7"/>
  <c r="G318" i="7" s="1"/>
  <c r="F306" i="7"/>
  <c r="G306" i="7" s="1"/>
  <c r="F302" i="7"/>
  <c r="G302" i="7" s="1"/>
  <c r="F294" i="7"/>
  <c r="F290" i="7"/>
  <c r="G290" i="7" s="1"/>
  <c r="D83" i="8" s="1"/>
  <c r="F282" i="7"/>
  <c r="F274" i="7"/>
  <c r="G274" i="7" s="1"/>
  <c r="F270" i="7"/>
  <c r="G270" i="7" s="1"/>
  <c r="F262" i="7"/>
  <c r="G262" i="7" s="1"/>
  <c r="F254" i="7"/>
  <c r="G254" i="7" s="1"/>
  <c r="F250" i="7"/>
  <c r="F242" i="7"/>
  <c r="G242" i="7" s="1"/>
  <c r="F234" i="7"/>
  <c r="G234" i="7" s="1"/>
  <c r="F230" i="7"/>
  <c r="G230" i="7" s="1"/>
  <c r="F222" i="7"/>
  <c r="G222" i="7" s="1"/>
  <c r="F218" i="7"/>
  <c r="F210" i="7"/>
  <c r="G210" i="7" s="1"/>
  <c r="F206" i="7"/>
  <c r="G206" i="7" s="1"/>
  <c r="F198" i="7"/>
  <c r="F190" i="7"/>
  <c r="G190" i="7" s="1"/>
  <c r="F186" i="7"/>
  <c r="G186" i="7" s="1"/>
  <c r="F178" i="7"/>
  <c r="G178" i="7" s="1"/>
  <c r="F174" i="7"/>
  <c r="G174" i="7" s="1"/>
  <c r="F166" i="7"/>
  <c r="F158" i="7"/>
  <c r="G158" i="7" s="1"/>
  <c r="F154" i="7"/>
  <c r="F146" i="7"/>
  <c r="G146" i="7" s="1"/>
  <c r="F142" i="7"/>
  <c r="G142" i="7" s="1"/>
  <c r="F134" i="7"/>
  <c r="G134" i="7" s="1"/>
  <c r="F130" i="7"/>
  <c r="G130" i="7" s="1"/>
  <c r="F122" i="7"/>
  <c r="F114" i="7"/>
  <c r="G114" i="7" s="1"/>
  <c r="D60" i="8" s="1"/>
  <c r="F110" i="7"/>
  <c r="G110" i="7" s="1"/>
  <c r="F102" i="7"/>
  <c r="G102" i="7" s="1"/>
  <c r="F94" i="7"/>
  <c r="G94" i="7" s="1"/>
  <c r="F90" i="7"/>
  <c r="F82" i="7"/>
  <c r="G82" i="7" s="1"/>
  <c r="F78" i="7"/>
  <c r="G78" i="7" s="1"/>
  <c r="F70" i="7"/>
  <c r="F62" i="7"/>
  <c r="G62" i="7" s="1"/>
  <c r="F54" i="7"/>
  <c r="G54" i="7" s="1"/>
  <c r="F18" i="7"/>
  <c r="G18" i="7" s="1"/>
  <c r="G597" i="7"/>
  <c r="G593" i="7"/>
  <c r="G581" i="7"/>
  <c r="G577" i="7"/>
  <c r="G565" i="7"/>
  <c r="G561" i="7"/>
  <c r="G549" i="7"/>
  <c r="G545" i="7"/>
  <c r="G533" i="7"/>
  <c r="G529" i="7"/>
  <c r="G517" i="7"/>
  <c r="G513" i="7"/>
  <c r="G501" i="7"/>
  <c r="G497" i="7"/>
  <c r="G485" i="7"/>
  <c r="G481" i="7"/>
  <c r="G469" i="7"/>
  <c r="G465" i="7"/>
  <c r="G453" i="7"/>
  <c r="G449" i="7"/>
  <c r="G437" i="7"/>
  <c r="G433" i="7"/>
  <c r="G421" i="7"/>
  <c r="G417" i="7"/>
  <c r="G405" i="7"/>
  <c r="G401" i="7"/>
  <c r="G389" i="7"/>
  <c r="G385" i="7"/>
  <c r="G373" i="7"/>
  <c r="G369" i="7"/>
  <c r="G357" i="7"/>
  <c r="G353" i="7"/>
  <c r="G341" i="7"/>
  <c r="G337" i="7"/>
  <c r="G325" i="7"/>
  <c r="G321" i="7"/>
  <c r="G309" i="7"/>
  <c r="G305" i="7"/>
  <c r="G293" i="7"/>
  <c r="G289" i="7"/>
  <c r="G277" i="7"/>
  <c r="G273" i="7"/>
  <c r="G261" i="7"/>
  <c r="G257" i="7"/>
  <c r="G245" i="7"/>
  <c r="G241" i="7"/>
  <c r="G229" i="7"/>
  <c r="G225" i="7"/>
  <c r="G213" i="7"/>
  <c r="G209" i="7"/>
  <c r="G197" i="7"/>
  <c r="G193" i="7"/>
  <c r="G181" i="7"/>
  <c r="G177" i="7"/>
  <c r="G165" i="7"/>
  <c r="G161" i="7"/>
  <c r="G149" i="7"/>
  <c r="G145" i="7"/>
  <c r="G133" i="7"/>
  <c r="G129" i="7"/>
  <c r="G117" i="7"/>
  <c r="G113" i="7"/>
  <c r="G101" i="7"/>
  <c r="G97" i="7"/>
  <c r="G85" i="7"/>
  <c r="G81" i="7"/>
  <c r="G69" i="7"/>
  <c r="G65" i="7"/>
  <c r="G53" i="7"/>
  <c r="G49" i="7"/>
  <c r="G37" i="7"/>
  <c r="G33" i="7"/>
  <c r="G21" i="7"/>
  <c r="G17" i="7"/>
  <c r="F605" i="7"/>
  <c r="G605" i="7" s="1"/>
  <c r="F601" i="7"/>
  <c r="G601" i="7" s="1"/>
  <c r="F597" i="7"/>
  <c r="F593" i="7"/>
  <c r="F589" i="7"/>
  <c r="G589" i="7" s="1"/>
  <c r="F585" i="7"/>
  <c r="G585" i="7" s="1"/>
  <c r="F581" i="7"/>
  <c r="F577" i="7"/>
  <c r="F573" i="7"/>
  <c r="G573" i="7" s="1"/>
  <c r="F569" i="7"/>
  <c r="G569" i="7" s="1"/>
  <c r="F565" i="7"/>
  <c r="F561" i="7"/>
  <c r="F557" i="7"/>
  <c r="G557" i="7" s="1"/>
  <c r="F553" i="7"/>
  <c r="G553" i="7" s="1"/>
  <c r="F549" i="7"/>
  <c r="F545" i="7"/>
  <c r="F541" i="7"/>
  <c r="G541" i="7" s="1"/>
  <c r="F537" i="7"/>
  <c r="G537" i="7" s="1"/>
  <c r="F533" i="7"/>
  <c r="F529" i="7"/>
  <c r="F525" i="7"/>
  <c r="G525" i="7" s="1"/>
  <c r="F521" i="7"/>
  <c r="G521" i="7" s="1"/>
  <c r="F517" i="7"/>
  <c r="F513" i="7"/>
  <c r="F509" i="7"/>
  <c r="G509" i="7" s="1"/>
  <c r="F505" i="7"/>
  <c r="G505" i="7" s="1"/>
  <c r="F501" i="7"/>
  <c r="F497" i="7"/>
  <c r="F493" i="7"/>
  <c r="G493" i="7" s="1"/>
  <c r="F489" i="7"/>
  <c r="G489" i="7" s="1"/>
  <c r="F485" i="7"/>
  <c r="F481" i="7"/>
  <c r="F477" i="7"/>
  <c r="G477" i="7" s="1"/>
  <c r="F473" i="7"/>
  <c r="G473" i="7" s="1"/>
  <c r="F469" i="7"/>
  <c r="F465" i="7"/>
  <c r="F461" i="7"/>
  <c r="G461" i="7" s="1"/>
  <c r="F457" i="7"/>
  <c r="G457" i="7" s="1"/>
  <c r="F453" i="7"/>
  <c r="F449" i="7"/>
  <c r="F445" i="7"/>
  <c r="G445" i="7" s="1"/>
  <c r="D175" i="8" s="1"/>
  <c r="F441" i="7"/>
  <c r="G441" i="7" s="1"/>
  <c r="F437" i="7"/>
  <c r="F433" i="7"/>
  <c r="F429" i="7"/>
  <c r="G429" i="7" s="1"/>
  <c r="F425" i="7"/>
  <c r="G425" i="7" s="1"/>
  <c r="F421" i="7"/>
  <c r="F417" i="7"/>
  <c r="F413" i="7"/>
  <c r="G413" i="7" s="1"/>
  <c r="F409" i="7"/>
  <c r="G409" i="7" s="1"/>
  <c r="F405" i="7"/>
  <c r="F401" i="7"/>
  <c r="F397" i="7"/>
  <c r="G397" i="7" s="1"/>
  <c r="F393" i="7"/>
  <c r="G393" i="7" s="1"/>
  <c r="F389" i="7"/>
  <c r="F385" i="7"/>
  <c r="F381" i="7"/>
  <c r="G381" i="7" s="1"/>
  <c r="D103" i="8" s="1"/>
  <c r="F377" i="7"/>
  <c r="G377" i="7" s="1"/>
  <c r="F373" i="7"/>
  <c r="F369" i="7"/>
  <c r="F365" i="7"/>
  <c r="G365" i="7" s="1"/>
  <c r="D121" i="8" s="1"/>
  <c r="F361" i="7"/>
  <c r="G361" i="7" s="1"/>
  <c r="F357" i="7"/>
  <c r="F353" i="7"/>
  <c r="F349" i="7"/>
  <c r="G349" i="7" s="1"/>
  <c r="F345" i="7"/>
  <c r="G345" i="7" s="1"/>
  <c r="F341" i="7"/>
  <c r="F337" i="7"/>
  <c r="F333" i="7"/>
  <c r="G333" i="7" s="1"/>
  <c r="F329" i="7"/>
  <c r="G329" i="7" s="1"/>
  <c r="F325" i="7"/>
  <c r="F321" i="7"/>
  <c r="F317" i="7"/>
  <c r="G317" i="7" s="1"/>
  <c r="F313" i="7"/>
  <c r="G313" i="7" s="1"/>
  <c r="F309" i="7"/>
  <c r="F305" i="7"/>
  <c r="F301" i="7"/>
  <c r="G301" i="7" s="1"/>
  <c r="F297" i="7"/>
  <c r="G297" i="7" s="1"/>
  <c r="F293" i="7"/>
  <c r="F289" i="7"/>
  <c r="F285" i="7"/>
  <c r="G285" i="7" s="1"/>
  <c r="D160" i="8" s="1"/>
  <c r="F281" i="7"/>
  <c r="G281" i="7" s="1"/>
  <c r="F277" i="7"/>
  <c r="F273" i="7"/>
  <c r="F269" i="7"/>
  <c r="G269" i="7" s="1"/>
  <c r="F265" i="7"/>
  <c r="G265" i="7" s="1"/>
  <c r="F261" i="7"/>
  <c r="F257" i="7"/>
  <c r="F253" i="7"/>
  <c r="G253" i="7" s="1"/>
  <c r="F249" i="7"/>
  <c r="G249" i="7" s="1"/>
  <c r="F245" i="7"/>
  <c r="F241" i="7"/>
  <c r="F237" i="7"/>
  <c r="G237" i="7" s="1"/>
  <c r="F233" i="7"/>
  <c r="G233" i="7" s="1"/>
  <c r="F229" i="7"/>
  <c r="F225" i="7"/>
  <c r="F221" i="7"/>
  <c r="G221" i="7" s="1"/>
  <c r="F217" i="7"/>
  <c r="G217" i="7" s="1"/>
  <c r="F213" i="7"/>
  <c r="F209" i="7"/>
  <c r="F205" i="7"/>
  <c r="G205" i="7" s="1"/>
  <c r="F201" i="7"/>
  <c r="G201" i="7" s="1"/>
  <c r="F197" i="7"/>
  <c r="F193" i="7"/>
  <c r="F189" i="7"/>
  <c r="G189" i="7" s="1"/>
  <c r="F185" i="7"/>
  <c r="G185" i="7" s="1"/>
  <c r="F181" i="7"/>
  <c r="F177" i="7"/>
  <c r="F173" i="7"/>
  <c r="G173" i="7" s="1"/>
  <c r="F169" i="7"/>
  <c r="G169" i="7" s="1"/>
  <c r="F165" i="7"/>
  <c r="F161" i="7"/>
  <c r="F157" i="7"/>
  <c r="G157" i="7" s="1"/>
  <c r="F153" i="7"/>
  <c r="G153" i="7" s="1"/>
  <c r="F149" i="7"/>
  <c r="F145" i="7"/>
  <c r="F141" i="7"/>
  <c r="G141" i="7" s="1"/>
  <c r="D125" i="8" s="1"/>
  <c r="F137" i="7"/>
  <c r="G137" i="7" s="1"/>
  <c r="F133" i="7"/>
  <c r="F129" i="7"/>
  <c r="F125" i="7"/>
  <c r="G125" i="7" s="1"/>
  <c r="F121" i="7"/>
  <c r="G121" i="7" s="1"/>
  <c r="D169" i="8" s="1"/>
  <c r="F117" i="7"/>
  <c r="F113" i="7"/>
  <c r="F109" i="7"/>
  <c r="G109" i="7" s="1"/>
  <c r="F105" i="7"/>
  <c r="G105" i="7" s="1"/>
  <c r="F101" i="7"/>
  <c r="F97" i="7"/>
  <c r="F93" i="7"/>
  <c r="G93" i="7" s="1"/>
  <c r="F89" i="7"/>
  <c r="G89" i="7" s="1"/>
  <c r="F85" i="7"/>
  <c r="F81" i="7"/>
  <c r="F77" i="7"/>
  <c r="G77" i="7" s="1"/>
  <c r="F73" i="7"/>
  <c r="G73" i="7" s="1"/>
  <c r="F69" i="7"/>
  <c r="F65" i="7"/>
  <c r="F61" i="7"/>
  <c r="G61" i="7" s="1"/>
  <c r="F57" i="7"/>
  <c r="G57" i="7" s="1"/>
  <c r="F53" i="7"/>
  <c r="F49" i="7"/>
  <c r="F45" i="7"/>
  <c r="G45" i="7" s="1"/>
  <c r="F41" i="7"/>
  <c r="G41" i="7" s="1"/>
  <c r="F37" i="7"/>
  <c r="F33" i="7"/>
  <c r="F29" i="7"/>
  <c r="G29" i="7" s="1"/>
  <c r="F25" i="7"/>
  <c r="G25" i="7" s="1"/>
  <c r="F21" i="7"/>
  <c r="F17" i="7"/>
  <c r="F13" i="7"/>
  <c r="G13" i="7" s="1"/>
  <c r="F298" i="7"/>
  <c r="G298" i="7" s="1"/>
  <c r="F286" i="7"/>
  <c r="G286" i="7" s="1"/>
  <c r="F278" i="7"/>
  <c r="F266" i="7"/>
  <c r="F258" i="7"/>
  <c r="G258" i="7" s="1"/>
  <c r="F246" i="7"/>
  <c r="G246" i="7" s="1"/>
  <c r="F238" i="7"/>
  <c r="G238" i="7" s="1"/>
  <c r="F226" i="7"/>
  <c r="G226" i="7" s="1"/>
  <c r="F214" i="7"/>
  <c r="G214" i="7" s="1"/>
  <c r="F202" i="7"/>
  <c r="G202" i="7" s="1"/>
  <c r="F194" i="7"/>
  <c r="G194" i="7" s="1"/>
  <c r="F182" i="7"/>
  <c r="F170" i="7"/>
  <c r="G170" i="7" s="1"/>
  <c r="F162" i="7"/>
  <c r="G162" i="7" s="1"/>
  <c r="F150" i="7"/>
  <c r="F138" i="7"/>
  <c r="F126" i="7"/>
  <c r="G126" i="7" s="1"/>
  <c r="F118" i="7"/>
  <c r="G118" i="7" s="1"/>
  <c r="F106" i="7"/>
  <c r="F98" i="7"/>
  <c r="G98" i="7" s="1"/>
  <c r="F86" i="7"/>
  <c r="G86" i="7" s="1"/>
  <c r="F74" i="7"/>
  <c r="G74" i="7" s="1"/>
  <c r="F66" i="7"/>
  <c r="G66" i="7" s="1"/>
  <c r="F58" i="7"/>
  <c r="F50" i="7"/>
  <c r="G50" i="7" s="1"/>
  <c r="F46" i="7"/>
  <c r="G46" i="7" s="1"/>
  <c r="F42" i="7"/>
  <c r="F38" i="7"/>
  <c r="F34" i="7"/>
  <c r="G34" i="7" s="1"/>
  <c r="D152" i="8" s="1"/>
  <c r="F30" i="7"/>
  <c r="G30" i="7" s="1"/>
  <c r="D31" i="8" s="1"/>
  <c r="F26" i="7"/>
  <c r="F22" i="7"/>
  <c r="F14" i="7"/>
  <c r="G14" i="7" s="1"/>
  <c r="G10" i="7"/>
  <c r="F11" i="7"/>
  <c r="G11" i="7" s="1"/>
  <c r="F7" i="7"/>
  <c r="G7" i="7" s="1"/>
  <c r="D7" i="8" s="1"/>
  <c r="F2" i="7"/>
  <c r="G2" i="7" s="1"/>
  <c r="G9" i="7"/>
  <c r="G5" i="7"/>
  <c r="F10" i="7"/>
  <c r="F6" i="7"/>
  <c r="G6" i="7" s="1"/>
  <c r="F3" i="7"/>
  <c r="G596" i="7"/>
  <c r="G580" i="7"/>
  <c r="G564" i="7"/>
  <c r="G548" i="7"/>
  <c r="G532" i="7"/>
  <c r="G516" i="7"/>
  <c r="G500" i="7"/>
  <c r="G484" i="7"/>
  <c r="G468" i="7"/>
  <c r="G452" i="7"/>
  <c r="G436" i="7"/>
  <c r="G420" i="7"/>
  <c r="G404" i="7"/>
  <c r="G388" i="7"/>
  <c r="G372" i="7"/>
  <c r="G356" i="7"/>
  <c r="G340" i="7"/>
  <c r="G324" i="7"/>
  <c r="G308" i="7"/>
  <c r="G292" i="7"/>
  <c r="G276" i="7"/>
  <c r="G260" i="7"/>
  <c r="G244" i="7"/>
  <c r="G228" i="7"/>
  <c r="G212" i="7"/>
  <c r="G196" i="7"/>
  <c r="G180" i="7"/>
  <c r="G164" i="7"/>
  <c r="G148" i="7"/>
  <c r="G132" i="7"/>
  <c r="G116" i="7"/>
  <c r="G100" i="7"/>
  <c r="G84" i="7"/>
  <c r="G68" i="7"/>
  <c r="G52" i="7"/>
  <c r="G36" i="7"/>
  <c r="G20" i="7"/>
  <c r="F604" i="7"/>
  <c r="G604" i="7" s="1"/>
  <c r="D43" i="8" s="1"/>
  <c r="F600" i="7"/>
  <c r="G600" i="7" s="1"/>
  <c r="F596" i="7"/>
  <c r="F592" i="7"/>
  <c r="G592" i="7" s="1"/>
  <c r="F588" i="7"/>
  <c r="G588" i="7" s="1"/>
  <c r="F584" i="7"/>
  <c r="G584" i="7" s="1"/>
  <c r="F580" i="7"/>
  <c r="F576" i="7"/>
  <c r="G576" i="7" s="1"/>
  <c r="F572" i="7"/>
  <c r="G572" i="7" s="1"/>
  <c r="F568" i="7"/>
  <c r="G568" i="7" s="1"/>
  <c r="F564" i="7"/>
  <c r="F560" i="7"/>
  <c r="G560" i="7" s="1"/>
  <c r="F556" i="7"/>
  <c r="G556" i="7" s="1"/>
  <c r="F552" i="7"/>
  <c r="G552" i="7" s="1"/>
  <c r="F548" i="7"/>
  <c r="F544" i="7"/>
  <c r="G544" i="7" s="1"/>
  <c r="F540" i="7"/>
  <c r="G540" i="7" s="1"/>
  <c r="F536" i="7"/>
  <c r="G536" i="7" s="1"/>
  <c r="F532" i="7"/>
  <c r="F528" i="7"/>
  <c r="G528" i="7" s="1"/>
  <c r="F524" i="7"/>
  <c r="G524" i="7" s="1"/>
  <c r="F520" i="7"/>
  <c r="G520" i="7" s="1"/>
  <c r="F516" i="7"/>
  <c r="F512" i="7"/>
  <c r="G512" i="7" s="1"/>
  <c r="F508" i="7"/>
  <c r="G508" i="7" s="1"/>
  <c r="F504" i="7"/>
  <c r="G504" i="7" s="1"/>
  <c r="F500" i="7"/>
  <c r="F496" i="7"/>
  <c r="G496" i="7" s="1"/>
  <c r="F492" i="7"/>
  <c r="G492" i="7" s="1"/>
  <c r="F488" i="7"/>
  <c r="G488" i="7" s="1"/>
  <c r="F484" i="7"/>
  <c r="F480" i="7"/>
  <c r="G480" i="7" s="1"/>
  <c r="F476" i="7"/>
  <c r="G476" i="7" s="1"/>
  <c r="F472" i="7"/>
  <c r="G472" i="7" s="1"/>
  <c r="F468" i="7"/>
  <c r="F464" i="7"/>
  <c r="G464" i="7" s="1"/>
  <c r="F460" i="7"/>
  <c r="G460" i="7" s="1"/>
  <c r="F456" i="7"/>
  <c r="G456" i="7" s="1"/>
  <c r="F452" i="7"/>
  <c r="F448" i="7"/>
  <c r="G448" i="7" s="1"/>
  <c r="F444" i="7"/>
  <c r="G444" i="7" s="1"/>
  <c r="F440" i="7"/>
  <c r="G440" i="7" s="1"/>
  <c r="D41" i="8" s="1"/>
  <c r="F436" i="7"/>
  <c r="F432" i="7"/>
  <c r="G432" i="7" s="1"/>
  <c r="F428" i="7"/>
  <c r="G428" i="7" s="1"/>
  <c r="F424" i="7"/>
  <c r="G424" i="7" s="1"/>
  <c r="F420" i="7"/>
  <c r="F416" i="7"/>
  <c r="G416" i="7" s="1"/>
  <c r="F412" i="7"/>
  <c r="G412" i="7" s="1"/>
  <c r="F408" i="7"/>
  <c r="G408" i="7" s="1"/>
  <c r="F404" i="7"/>
  <c r="F400" i="7"/>
  <c r="G400" i="7" s="1"/>
  <c r="F396" i="7"/>
  <c r="G396" i="7" s="1"/>
  <c r="F392" i="7"/>
  <c r="G392" i="7" s="1"/>
  <c r="F388" i="7"/>
  <c r="F384" i="7"/>
  <c r="G384" i="7" s="1"/>
  <c r="F380" i="7"/>
  <c r="G380" i="7" s="1"/>
  <c r="F376" i="7"/>
  <c r="G376" i="7" s="1"/>
  <c r="F372" i="7"/>
  <c r="F368" i="7"/>
  <c r="G368" i="7" s="1"/>
  <c r="F364" i="7"/>
  <c r="G364" i="7" s="1"/>
  <c r="F360" i="7"/>
  <c r="G360" i="7" s="1"/>
  <c r="F356" i="7"/>
  <c r="F352" i="7"/>
  <c r="G352" i="7" s="1"/>
  <c r="F348" i="7"/>
  <c r="G348" i="7" s="1"/>
  <c r="F344" i="7"/>
  <c r="G344" i="7" s="1"/>
  <c r="F340" i="7"/>
  <c r="F336" i="7"/>
  <c r="G336" i="7" s="1"/>
  <c r="F332" i="7"/>
  <c r="G332" i="7" s="1"/>
  <c r="F328" i="7"/>
  <c r="G328" i="7" s="1"/>
  <c r="F324" i="7"/>
  <c r="F320" i="7"/>
  <c r="G320" i="7" s="1"/>
  <c r="F316" i="7"/>
  <c r="G316" i="7" s="1"/>
  <c r="D115" i="8" s="1"/>
  <c r="F312" i="7"/>
  <c r="G312" i="7" s="1"/>
  <c r="F308" i="7"/>
  <c r="F304" i="7"/>
  <c r="G304" i="7" s="1"/>
  <c r="D122" i="8" s="1"/>
  <c r="F300" i="7"/>
  <c r="G300" i="7" s="1"/>
  <c r="D74" i="8" s="1"/>
  <c r="F296" i="7"/>
  <c r="G296" i="7" s="1"/>
  <c r="F292" i="7"/>
  <c r="F288" i="7"/>
  <c r="G288" i="7" s="1"/>
  <c r="F284" i="7"/>
  <c r="G284" i="7" s="1"/>
  <c r="F280" i="7"/>
  <c r="G280" i="7" s="1"/>
  <c r="F276" i="7"/>
  <c r="F272" i="7"/>
  <c r="G272" i="7" s="1"/>
  <c r="F268" i="7"/>
  <c r="G268" i="7" s="1"/>
  <c r="F264" i="7"/>
  <c r="G264" i="7" s="1"/>
  <c r="F260" i="7"/>
  <c r="F256" i="7"/>
  <c r="G256" i="7" s="1"/>
  <c r="D21" i="8" s="1"/>
  <c r="F252" i="7"/>
  <c r="G252" i="7" s="1"/>
  <c r="F248" i="7"/>
  <c r="G248" i="7" s="1"/>
  <c r="F244" i="7"/>
  <c r="F240" i="7"/>
  <c r="G240" i="7" s="1"/>
  <c r="F236" i="7"/>
  <c r="G236" i="7" s="1"/>
  <c r="F232" i="7"/>
  <c r="G232" i="7" s="1"/>
  <c r="D111" i="8" s="1"/>
  <c r="F228" i="7"/>
  <c r="F224" i="7"/>
  <c r="G224" i="7" s="1"/>
  <c r="F220" i="7"/>
  <c r="G220" i="7" s="1"/>
  <c r="F216" i="7"/>
  <c r="G216" i="7" s="1"/>
  <c r="F212" i="7"/>
  <c r="F208" i="7"/>
  <c r="G208" i="7" s="1"/>
  <c r="F204" i="7"/>
  <c r="G204" i="7" s="1"/>
  <c r="F200" i="7"/>
  <c r="G200" i="7" s="1"/>
  <c r="F196" i="7"/>
  <c r="F192" i="7"/>
  <c r="G192" i="7" s="1"/>
  <c r="F188" i="7"/>
  <c r="G188" i="7" s="1"/>
  <c r="D104" i="8" s="1"/>
  <c r="F184" i="7"/>
  <c r="G184" i="7" s="1"/>
  <c r="F180" i="7"/>
  <c r="F176" i="7"/>
  <c r="G176" i="7" s="1"/>
  <c r="D8" i="8" s="1"/>
  <c r="F172" i="7"/>
  <c r="G172" i="7" s="1"/>
  <c r="F168" i="7"/>
  <c r="G168" i="7" s="1"/>
  <c r="F164" i="7"/>
  <c r="F160" i="7"/>
  <c r="G160" i="7" s="1"/>
  <c r="F156" i="7"/>
  <c r="G156" i="7" s="1"/>
  <c r="F152" i="7"/>
  <c r="G152" i="7" s="1"/>
  <c r="F148" i="7"/>
  <c r="F144" i="7"/>
  <c r="G144" i="7" s="1"/>
  <c r="F140" i="7"/>
  <c r="G140" i="7" s="1"/>
  <c r="F136" i="7"/>
  <c r="G136" i="7" s="1"/>
  <c r="D86" i="8" s="1"/>
  <c r="F132" i="7"/>
  <c r="F128" i="7"/>
  <c r="G128" i="7" s="1"/>
  <c r="F124" i="7"/>
  <c r="G124" i="7" s="1"/>
  <c r="F120" i="7"/>
  <c r="G120" i="7" s="1"/>
  <c r="F116" i="7"/>
  <c r="F112" i="7"/>
  <c r="G112" i="7" s="1"/>
  <c r="F108" i="7"/>
  <c r="G108" i="7" s="1"/>
  <c r="D62" i="8" s="1"/>
  <c r="F104" i="7"/>
  <c r="G104" i="7" s="1"/>
  <c r="F100" i="7"/>
  <c r="F96" i="7"/>
  <c r="G96" i="7" s="1"/>
  <c r="D129" i="8" s="1"/>
  <c r="F92" i="7"/>
  <c r="G92" i="7" s="1"/>
  <c r="F88" i="7"/>
  <c r="G88" i="7" s="1"/>
  <c r="F84" i="7"/>
  <c r="F80" i="7"/>
  <c r="G80" i="7" s="1"/>
  <c r="D85" i="8" s="1"/>
  <c r="F76" i="7"/>
  <c r="G76" i="7" s="1"/>
  <c r="D17" i="8" s="1"/>
  <c r="F72" i="7"/>
  <c r="G72" i="7" s="1"/>
  <c r="F68" i="7"/>
  <c r="F64" i="7"/>
  <c r="G64" i="7" s="1"/>
  <c r="F60" i="7"/>
  <c r="G60" i="7" s="1"/>
  <c r="D49" i="8" s="1"/>
  <c r="F56" i="7"/>
  <c r="G56" i="7" s="1"/>
  <c r="F52" i="7"/>
  <c r="F48" i="7"/>
  <c r="G48" i="7" s="1"/>
  <c r="F44" i="7"/>
  <c r="G44" i="7" s="1"/>
  <c r="F40" i="7"/>
  <c r="G40" i="7" s="1"/>
  <c r="F36" i="7"/>
  <c r="F32" i="7"/>
  <c r="G32" i="7" s="1"/>
  <c r="F28" i="7"/>
  <c r="G28" i="7" s="1"/>
  <c r="D136" i="8" s="1"/>
  <c r="F24" i="7"/>
  <c r="G24" i="7" s="1"/>
  <c r="F20" i="7"/>
  <c r="F16" i="7"/>
  <c r="G16" i="7" s="1"/>
  <c r="F12" i="7"/>
  <c r="G12" i="7" s="1"/>
  <c r="C4" i="8"/>
  <c r="C8" i="8"/>
  <c r="C12" i="8"/>
  <c r="C16" i="8"/>
  <c r="C20" i="8"/>
  <c r="C24" i="8"/>
  <c r="C28" i="8"/>
  <c r="C32" i="8"/>
  <c r="C36" i="8"/>
  <c r="C40" i="8"/>
  <c r="C44" i="8"/>
  <c r="C48" i="8"/>
  <c r="C52" i="8"/>
  <c r="C56" i="8"/>
  <c r="C60" i="8"/>
  <c r="C64" i="8"/>
  <c r="C68" i="8"/>
  <c r="C72" i="8"/>
  <c r="C76" i="8"/>
  <c r="C80" i="8"/>
  <c r="C84" i="8"/>
  <c r="C88" i="8"/>
  <c r="C92" i="8"/>
  <c r="C96" i="8"/>
  <c r="C100" i="8"/>
  <c r="C104" i="8"/>
  <c r="C108" i="8"/>
  <c r="C112" i="8"/>
  <c r="C116" i="8"/>
  <c r="C120" i="8"/>
  <c r="C124" i="8"/>
  <c r="C128" i="8"/>
  <c r="C2" i="8"/>
  <c r="C5" i="8"/>
  <c r="C9" i="8"/>
  <c r="C13" i="8"/>
  <c r="C17" i="8"/>
  <c r="C21" i="8"/>
  <c r="C25" i="8"/>
  <c r="C29" i="8"/>
  <c r="C33" i="8"/>
  <c r="C37" i="8"/>
  <c r="C41" i="8"/>
  <c r="C45" i="8"/>
  <c r="C49" i="8"/>
  <c r="C53" i="8"/>
  <c r="C57" i="8"/>
  <c r="C61" i="8"/>
  <c r="C65" i="8"/>
  <c r="C69" i="8"/>
  <c r="C73" i="8"/>
  <c r="C77" i="8"/>
  <c r="C81" i="8"/>
  <c r="C85" i="8"/>
  <c r="C89" i="8"/>
  <c r="C93" i="8"/>
  <c r="C97" i="8"/>
  <c r="C101" i="8"/>
  <c r="C105" i="8"/>
  <c r="C109" i="8"/>
  <c r="C113" i="8"/>
  <c r="C117" i="8"/>
  <c r="C121" i="8"/>
  <c r="C125" i="8"/>
  <c r="C129" i="8"/>
  <c r="C133" i="8"/>
  <c r="C137" i="8"/>
  <c r="C141" i="8"/>
  <c r="C145" i="8"/>
  <c r="C149" i="8"/>
  <c r="C3" i="8"/>
  <c r="C11" i="8"/>
  <c r="C19" i="8"/>
  <c r="C31" i="8"/>
  <c r="C39" i="8"/>
  <c r="C47" i="8"/>
  <c r="C55" i="8"/>
  <c r="C63" i="8"/>
  <c r="C71" i="8"/>
  <c r="C79" i="8"/>
  <c r="C87" i="8"/>
  <c r="C95" i="8"/>
  <c r="C103" i="8"/>
  <c r="C111" i="8"/>
  <c r="C119" i="8"/>
  <c r="C127" i="8"/>
  <c r="C134" i="8"/>
  <c r="C139" i="8"/>
  <c r="C144" i="8"/>
  <c r="C150" i="8"/>
  <c r="C154" i="8"/>
  <c r="C158" i="8"/>
  <c r="C162" i="8"/>
  <c r="C166" i="8"/>
  <c r="C170" i="8"/>
  <c r="C174" i="8"/>
  <c r="C178" i="8"/>
  <c r="C182" i="8"/>
  <c r="C6" i="8"/>
  <c r="C14" i="8"/>
  <c r="C22" i="8"/>
  <c r="C34" i="8"/>
  <c r="C42" i="8"/>
  <c r="C50" i="8"/>
  <c r="C58" i="8"/>
  <c r="C66" i="8"/>
  <c r="C74" i="8"/>
  <c r="C82" i="8"/>
  <c r="C90" i="8"/>
  <c r="C98" i="8"/>
  <c r="C106" i="8"/>
  <c r="C114" i="8"/>
  <c r="C122" i="8"/>
  <c r="C130" i="8"/>
  <c r="C135" i="8"/>
  <c r="C140" i="8"/>
  <c r="C146" i="8"/>
  <c r="C151" i="8"/>
  <c r="C155" i="8"/>
  <c r="C159" i="8"/>
  <c r="C163" i="8"/>
  <c r="C167" i="8"/>
  <c r="C171" i="8"/>
  <c r="C175" i="8"/>
  <c r="C179" i="8"/>
  <c r="C183" i="8"/>
  <c r="C187" i="8"/>
  <c r="C191" i="8"/>
  <c r="C185" i="8"/>
  <c r="C190" i="8"/>
  <c r="C7" i="8"/>
  <c r="C15" i="8"/>
  <c r="C23" i="8"/>
  <c r="C27" i="8"/>
  <c r="C35" i="8"/>
  <c r="C43" i="8"/>
  <c r="C51" i="8"/>
  <c r="C59" i="8"/>
  <c r="C67" i="8"/>
  <c r="C75" i="8"/>
  <c r="C83" i="8"/>
  <c r="C91" i="8"/>
  <c r="C99" i="8"/>
  <c r="C107" i="8"/>
  <c r="C115" i="8"/>
  <c r="C123" i="8"/>
  <c r="C131" i="8"/>
  <c r="C136" i="8"/>
  <c r="C142" i="8"/>
  <c r="C147" i="8"/>
  <c r="C152" i="8"/>
  <c r="C156" i="8"/>
  <c r="C160" i="8"/>
  <c r="C164" i="8"/>
  <c r="C168" i="8"/>
  <c r="C172" i="8"/>
  <c r="C176" i="8"/>
  <c r="C180" i="8"/>
  <c r="C184" i="8"/>
  <c r="C188" i="8"/>
  <c r="C177" i="8"/>
  <c r="C189" i="8"/>
  <c r="C10" i="8"/>
  <c r="C18" i="8"/>
  <c r="C26" i="8"/>
  <c r="C30" i="8"/>
  <c r="C38" i="8"/>
  <c r="C46" i="8"/>
  <c r="C54" i="8"/>
  <c r="C62" i="8"/>
  <c r="C70" i="8"/>
  <c r="C78" i="8"/>
  <c r="C86" i="8"/>
  <c r="C94" i="8"/>
  <c r="C102" i="8"/>
  <c r="C110" i="8"/>
  <c r="C118" i="8"/>
  <c r="C126" i="8"/>
  <c r="C132" i="8"/>
  <c r="C138" i="8"/>
  <c r="C143" i="8"/>
  <c r="C148" i="8"/>
  <c r="C153" i="8"/>
  <c r="C157" i="8"/>
  <c r="C161" i="8"/>
  <c r="C165" i="8"/>
  <c r="C169" i="8"/>
  <c r="C173" i="8"/>
  <c r="C181" i="8"/>
  <c r="C186" i="8"/>
  <c r="D4" i="8"/>
  <c r="D13" i="8"/>
  <c r="D29" i="8"/>
  <c r="D33" i="8"/>
  <c r="D37" i="8"/>
  <c r="D57" i="8"/>
  <c r="D61" i="8"/>
  <c r="D65" i="8"/>
  <c r="D69" i="8"/>
  <c r="D77" i="8"/>
  <c r="D81" i="8"/>
  <c r="D97" i="8"/>
  <c r="D101" i="8"/>
  <c r="D117" i="8"/>
  <c r="D133" i="8"/>
  <c r="D137" i="8"/>
  <c r="D141" i="8"/>
  <c r="D145" i="8"/>
  <c r="D153" i="8"/>
  <c r="D157" i="8"/>
  <c r="D165" i="8"/>
  <c r="D173" i="8"/>
  <c r="D177" i="8"/>
  <c r="D181" i="8"/>
  <c r="D185" i="8"/>
  <c r="D189" i="8"/>
  <c r="D5" i="8"/>
  <c r="D9" i="8"/>
  <c r="D14" i="8"/>
  <c r="D22" i="8"/>
  <c r="D26" i="8"/>
  <c r="D30" i="8"/>
  <c r="D34" i="8"/>
  <c r="D38" i="8"/>
  <c r="D42" i="8"/>
  <c r="D46" i="8"/>
  <c r="D50" i="8"/>
  <c r="D54" i="8"/>
  <c r="D58" i="8"/>
  <c r="D66" i="8"/>
  <c r="D70" i="8"/>
  <c r="D78" i="8"/>
  <c r="D82" i="8"/>
  <c r="D90" i="8"/>
  <c r="D102" i="8"/>
  <c r="D106" i="8"/>
  <c r="D110" i="8"/>
  <c r="D114" i="8"/>
  <c r="D118" i="8"/>
  <c r="D126" i="8"/>
  <c r="D130" i="8"/>
  <c r="D134" i="8"/>
  <c r="D138" i="8"/>
  <c r="D146" i="8"/>
  <c r="D150" i="8"/>
  <c r="D154" i="8"/>
  <c r="D158" i="8"/>
  <c r="D166" i="8"/>
  <c r="D170" i="8"/>
  <c r="D174" i="8"/>
  <c r="D178" i="8"/>
  <c r="D182" i="8"/>
  <c r="D186" i="8"/>
  <c r="D190" i="8"/>
  <c r="D10" i="8"/>
  <c r="D3" i="8"/>
  <c r="D12" i="8"/>
  <c r="D28" i="8"/>
  <c r="D36" i="8"/>
  <c r="D44" i="8"/>
  <c r="D52" i="8"/>
  <c r="D68" i="8"/>
  <c r="D76" i="8"/>
  <c r="D84" i="8"/>
  <c r="D92" i="8"/>
  <c r="D100" i="8"/>
  <c r="D108" i="8"/>
  <c r="D116" i="8"/>
  <c r="D124" i="8"/>
  <c r="D132" i="8"/>
  <c r="D140" i="8"/>
  <c r="D148" i="8"/>
  <c r="D156" i="8"/>
  <c r="D172" i="8"/>
  <c r="D180" i="8"/>
  <c r="D188" i="8"/>
  <c r="D6" i="8"/>
  <c r="D15" i="8"/>
  <c r="D23" i="8"/>
  <c r="D39" i="8"/>
  <c r="D47" i="8"/>
  <c r="D55" i="8"/>
  <c r="D71" i="8"/>
  <c r="D87" i="8"/>
  <c r="D95" i="8"/>
  <c r="D127" i="8"/>
  <c r="D135" i="8"/>
  <c r="D143" i="8"/>
  <c r="D151" i="8"/>
  <c r="D159" i="8"/>
  <c r="D167" i="8"/>
  <c r="D183" i="8"/>
  <c r="D191" i="8"/>
  <c r="D16" i="8"/>
  <c r="D24" i="8"/>
  <c r="D32" i="8"/>
  <c r="D40" i="8"/>
  <c r="D48" i="8"/>
  <c r="D56" i="8"/>
  <c r="D64" i="8"/>
  <c r="D72" i="8"/>
  <c r="D80" i="8"/>
  <c r="D88" i="8"/>
  <c r="D96" i="8"/>
  <c r="D112" i="8"/>
  <c r="D120" i="8"/>
  <c r="D128" i="8"/>
  <c r="D144" i="8"/>
  <c r="D168" i="8"/>
  <c r="D176" i="8"/>
  <c r="D184" i="8"/>
  <c r="D11" i="8"/>
  <c r="D19" i="8"/>
  <c r="D27" i="8"/>
  <c r="D35" i="8"/>
  <c r="D51" i="8"/>
  <c r="D59" i="8"/>
  <c r="D67" i="8"/>
  <c r="D75" i="8"/>
  <c r="D91" i="8"/>
  <c r="D99" i="8"/>
  <c r="D107" i="8"/>
  <c r="D123" i="8"/>
  <c r="D131" i="8"/>
  <c r="D139" i="8"/>
  <c r="D147" i="8"/>
  <c r="D155" i="8"/>
  <c r="D163" i="8"/>
  <c r="D171" i="8"/>
  <c r="D179" i="8"/>
  <c r="D187" i="8"/>
  <c r="D162" i="8"/>
  <c r="D79" i="8"/>
  <c r="D2" i="8"/>
  <c r="D164" i="8"/>
  <c r="D25" i="8"/>
  <c r="D161" i="8"/>
  <c r="E5" i="3"/>
  <c r="E6" i="3"/>
  <c r="E9" i="3"/>
  <c r="E12" i="3"/>
  <c r="E16" i="3"/>
  <c r="E17" i="3"/>
  <c r="E20" i="3"/>
  <c r="E28" i="3"/>
  <c r="E32" i="3"/>
  <c r="E44" i="3"/>
  <c r="E48" i="3"/>
  <c r="E60" i="3"/>
  <c r="E76" i="3"/>
  <c r="E92" i="3"/>
  <c r="E108" i="3"/>
  <c r="E140" i="3"/>
  <c r="E156" i="3"/>
  <c r="E172" i="3"/>
  <c r="B7" i="3"/>
  <c r="B19" i="3"/>
  <c r="B24" i="3"/>
  <c r="B28" i="3"/>
  <c r="B35" i="3"/>
  <c r="B40" i="3"/>
  <c r="B44" i="3"/>
  <c r="B51" i="3"/>
  <c r="B56" i="3"/>
  <c r="B60" i="3"/>
  <c r="B67" i="3"/>
  <c r="B72" i="3"/>
  <c r="B76" i="3"/>
  <c r="B83" i="3"/>
  <c r="B88" i="3"/>
  <c r="B104" i="3"/>
  <c r="D3" i="3"/>
  <c r="D4" i="3"/>
  <c r="D7" i="3"/>
  <c r="D8" i="3"/>
  <c r="D11" i="3"/>
  <c r="D12" i="3"/>
  <c r="D15" i="3"/>
  <c r="D16" i="3"/>
  <c r="D19" i="3"/>
  <c r="D23" i="3"/>
  <c r="D24" i="3"/>
  <c r="D27" i="3"/>
  <c r="D31" i="3"/>
  <c r="D32" i="3"/>
  <c r="D35" i="3"/>
  <c r="D39" i="3"/>
  <c r="D43" i="3"/>
  <c r="D47" i="3"/>
  <c r="D51" i="3"/>
  <c r="D55" i="3"/>
  <c r="D59" i="3"/>
  <c r="D63" i="3"/>
  <c r="D67" i="3"/>
  <c r="D71" i="3"/>
  <c r="D75" i="3"/>
  <c r="D79" i="3"/>
  <c r="D83" i="3"/>
  <c r="D87" i="3"/>
  <c r="D151" i="3"/>
  <c r="D159" i="3"/>
  <c r="D167" i="3"/>
  <c r="D175" i="3"/>
  <c r="D183" i="3"/>
  <c r="D191" i="3"/>
  <c r="C6" i="3"/>
  <c r="C10" i="3"/>
  <c r="C14" i="3"/>
  <c r="C21" i="3"/>
  <c r="C22" i="3"/>
  <c r="C25" i="3"/>
  <c r="C26" i="3"/>
  <c r="C29" i="3"/>
  <c r="C30" i="3"/>
  <c r="C33" i="3"/>
  <c r="C34" i="3"/>
  <c r="C37" i="3"/>
  <c r="C38" i="3"/>
  <c r="C41" i="3"/>
  <c r="C42" i="3"/>
  <c r="C45" i="3"/>
  <c r="C46" i="3"/>
  <c r="C49" i="3"/>
  <c r="C50" i="3"/>
  <c r="C53" i="3"/>
  <c r="C54" i="3"/>
  <c r="C57" i="3"/>
  <c r="C58" i="3"/>
  <c r="C61" i="3"/>
  <c r="C62" i="3"/>
  <c r="C65" i="3"/>
  <c r="C66" i="3"/>
  <c r="C69" i="3"/>
  <c r="C70" i="3"/>
  <c r="C73" i="3"/>
  <c r="C74" i="3"/>
  <c r="C77" i="3"/>
  <c r="C78" i="3"/>
  <c r="C81" i="3"/>
  <c r="C82" i="3"/>
  <c r="C85" i="3"/>
  <c r="C86" i="3"/>
  <c r="C89" i="3"/>
  <c r="C90" i="3"/>
  <c r="C93" i="3"/>
  <c r="C94" i="3"/>
  <c r="C97" i="3"/>
  <c r="C98" i="3"/>
  <c r="C101" i="3"/>
  <c r="C102" i="3"/>
  <c r="C105" i="3"/>
  <c r="C106" i="3"/>
  <c r="C109" i="3"/>
  <c r="C110" i="3"/>
  <c r="C113" i="3"/>
  <c r="C114" i="3"/>
  <c r="C117" i="3"/>
  <c r="C118" i="3"/>
  <c r="C121" i="3"/>
  <c r="C122" i="3"/>
  <c r="C125" i="3"/>
  <c r="C126" i="3"/>
  <c r="C129" i="3"/>
  <c r="C130" i="3"/>
  <c r="C133" i="3"/>
  <c r="C134" i="3"/>
  <c r="C137" i="3"/>
  <c r="C138" i="3"/>
  <c r="C141" i="3"/>
  <c r="C142" i="3"/>
  <c r="C145" i="3"/>
  <c r="C146" i="3"/>
  <c r="C149" i="3"/>
  <c r="C150" i="3"/>
  <c r="C153" i="3"/>
  <c r="C154" i="3"/>
  <c r="C157" i="3"/>
  <c r="C158" i="3"/>
  <c r="C161" i="3"/>
  <c r="C162" i="3"/>
  <c r="C165" i="3"/>
  <c r="C166" i="3"/>
  <c r="C169" i="3"/>
  <c r="C170" i="3"/>
  <c r="C173" i="3"/>
  <c r="C174" i="3"/>
  <c r="C177" i="3"/>
  <c r="C178" i="3"/>
  <c r="C181" i="3"/>
  <c r="C182" i="3"/>
  <c r="C185" i="3"/>
  <c r="C186" i="3"/>
  <c r="C189" i="3"/>
  <c r="C190" i="3"/>
  <c r="C18" i="2"/>
  <c r="C18" i="3" s="1"/>
  <c r="B17" i="2"/>
  <c r="B17" i="3" s="1"/>
  <c r="C3" i="2"/>
  <c r="C3" i="3" s="1"/>
  <c r="D3" i="2"/>
  <c r="E3" i="2"/>
  <c r="E3" i="3" s="1"/>
  <c r="C4" i="2"/>
  <c r="C4" i="3" s="1"/>
  <c r="D4" i="2"/>
  <c r="E4" i="2"/>
  <c r="E4" i="3" s="1"/>
  <c r="C5" i="2"/>
  <c r="C5" i="3" s="1"/>
  <c r="D5" i="2"/>
  <c r="D5" i="3" s="1"/>
  <c r="E5" i="2"/>
  <c r="C6" i="2"/>
  <c r="D6" i="2"/>
  <c r="D6" i="3" s="1"/>
  <c r="E6" i="2"/>
  <c r="C7" i="2"/>
  <c r="C7" i="3" s="1"/>
  <c r="D7" i="2"/>
  <c r="E7" i="2"/>
  <c r="E7" i="3" s="1"/>
  <c r="C8" i="2"/>
  <c r="C8" i="3" s="1"/>
  <c r="D8" i="2"/>
  <c r="E8" i="2"/>
  <c r="E8" i="3" s="1"/>
  <c r="C9" i="2"/>
  <c r="C9" i="3" s="1"/>
  <c r="D9" i="2"/>
  <c r="D9" i="3" s="1"/>
  <c r="E9" i="2"/>
  <c r="C10" i="2"/>
  <c r="D10" i="2"/>
  <c r="D10" i="3" s="1"/>
  <c r="E10" i="2"/>
  <c r="E10" i="3" s="1"/>
  <c r="C11" i="2"/>
  <c r="C11" i="3" s="1"/>
  <c r="D11" i="2"/>
  <c r="E11" i="2"/>
  <c r="E11" i="3" s="1"/>
  <c r="C12" i="2"/>
  <c r="C12" i="3" s="1"/>
  <c r="D12" i="2"/>
  <c r="E12" i="2"/>
  <c r="C13" i="2"/>
  <c r="C13" i="3" s="1"/>
  <c r="D13" i="2"/>
  <c r="D13" i="3" s="1"/>
  <c r="E13" i="2"/>
  <c r="E13" i="3" s="1"/>
  <c r="C14" i="2"/>
  <c r="D14" i="2"/>
  <c r="D14" i="3" s="1"/>
  <c r="E14" i="2"/>
  <c r="E14" i="3" s="1"/>
  <c r="C15" i="2"/>
  <c r="C15" i="3" s="1"/>
  <c r="D15" i="2"/>
  <c r="E15" i="2"/>
  <c r="E15" i="3" s="1"/>
  <c r="C16" i="2"/>
  <c r="C16" i="3" s="1"/>
  <c r="D16" i="2"/>
  <c r="E16" i="2"/>
  <c r="C17" i="2"/>
  <c r="C17" i="3" s="1"/>
  <c r="D17" i="2"/>
  <c r="D17" i="3" s="1"/>
  <c r="E17" i="2"/>
  <c r="D18" i="2"/>
  <c r="D18" i="3" s="1"/>
  <c r="E18" i="2"/>
  <c r="E18" i="3" s="1"/>
  <c r="C19" i="2"/>
  <c r="C19" i="3" s="1"/>
  <c r="D19" i="2"/>
  <c r="E19" i="2"/>
  <c r="E19" i="3" s="1"/>
  <c r="C20" i="2"/>
  <c r="C20" i="3" s="1"/>
  <c r="D20" i="2"/>
  <c r="D20" i="3" s="1"/>
  <c r="E20" i="2"/>
  <c r="C21" i="2"/>
  <c r="D21" i="2"/>
  <c r="D21" i="3" s="1"/>
  <c r="E21" i="2"/>
  <c r="E21" i="3" s="1"/>
  <c r="C22" i="2"/>
  <c r="D22" i="2"/>
  <c r="D22" i="3" s="1"/>
  <c r="E22" i="2"/>
  <c r="E22" i="3" s="1"/>
  <c r="C23" i="2"/>
  <c r="C23" i="3" s="1"/>
  <c r="D23" i="2"/>
  <c r="E23" i="2"/>
  <c r="E23" i="3" s="1"/>
  <c r="C24" i="2"/>
  <c r="C24" i="3" s="1"/>
  <c r="D24" i="2"/>
  <c r="E24" i="2"/>
  <c r="E24" i="3" s="1"/>
  <c r="C25" i="2"/>
  <c r="D25" i="2"/>
  <c r="D25" i="3" s="1"/>
  <c r="E25" i="2"/>
  <c r="E25" i="3" s="1"/>
  <c r="C26" i="2"/>
  <c r="D26" i="2"/>
  <c r="D26" i="3" s="1"/>
  <c r="E26" i="2"/>
  <c r="E26" i="3" s="1"/>
  <c r="C27" i="2"/>
  <c r="C27" i="3" s="1"/>
  <c r="D27" i="2"/>
  <c r="E27" i="2"/>
  <c r="E27" i="3" s="1"/>
  <c r="C28" i="2"/>
  <c r="C28" i="3" s="1"/>
  <c r="D28" i="2"/>
  <c r="D28" i="3" s="1"/>
  <c r="E28" i="2"/>
  <c r="C29" i="2"/>
  <c r="D29" i="2"/>
  <c r="D29" i="3" s="1"/>
  <c r="E29" i="2"/>
  <c r="E29" i="3" s="1"/>
  <c r="C30" i="2"/>
  <c r="D30" i="2"/>
  <c r="D30" i="3" s="1"/>
  <c r="E30" i="2"/>
  <c r="E30" i="3" s="1"/>
  <c r="C31" i="2"/>
  <c r="C31" i="3" s="1"/>
  <c r="D31" i="2"/>
  <c r="E31" i="2"/>
  <c r="E31" i="3" s="1"/>
  <c r="C32" i="2"/>
  <c r="C32" i="3" s="1"/>
  <c r="D32" i="2"/>
  <c r="E32" i="2"/>
  <c r="C33" i="2"/>
  <c r="D33" i="2"/>
  <c r="D33" i="3" s="1"/>
  <c r="E33" i="2"/>
  <c r="E33" i="3" s="1"/>
  <c r="C34" i="2"/>
  <c r="D34" i="2"/>
  <c r="D34" i="3" s="1"/>
  <c r="E34" i="2"/>
  <c r="E34" i="3" s="1"/>
  <c r="C35" i="2"/>
  <c r="C35" i="3" s="1"/>
  <c r="D35" i="2"/>
  <c r="E35" i="2"/>
  <c r="E35" i="3" s="1"/>
  <c r="C36" i="2"/>
  <c r="C36" i="3" s="1"/>
  <c r="D36" i="2"/>
  <c r="D36" i="3" s="1"/>
  <c r="E36" i="2"/>
  <c r="E36" i="3" s="1"/>
  <c r="C37" i="2"/>
  <c r="D37" i="2"/>
  <c r="D37" i="3" s="1"/>
  <c r="E37" i="2"/>
  <c r="E37" i="3" s="1"/>
  <c r="C38" i="2"/>
  <c r="D38" i="2"/>
  <c r="D38" i="3" s="1"/>
  <c r="E38" i="2"/>
  <c r="E38" i="3" s="1"/>
  <c r="C39" i="2"/>
  <c r="C39" i="3" s="1"/>
  <c r="D39" i="2"/>
  <c r="E39" i="2"/>
  <c r="E39" i="3" s="1"/>
  <c r="C40" i="2"/>
  <c r="C40" i="3" s="1"/>
  <c r="D40" i="2"/>
  <c r="D40" i="3" s="1"/>
  <c r="E40" i="2"/>
  <c r="E40" i="3" s="1"/>
  <c r="C41" i="2"/>
  <c r="D41" i="2"/>
  <c r="D41" i="3" s="1"/>
  <c r="E41" i="2"/>
  <c r="E41" i="3" s="1"/>
  <c r="C42" i="2"/>
  <c r="D42" i="2"/>
  <c r="D42" i="3" s="1"/>
  <c r="E42" i="2"/>
  <c r="E42" i="3" s="1"/>
  <c r="C43" i="2"/>
  <c r="C43" i="3" s="1"/>
  <c r="D43" i="2"/>
  <c r="E43" i="2"/>
  <c r="E43" i="3" s="1"/>
  <c r="C44" i="2"/>
  <c r="C44" i="3" s="1"/>
  <c r="D44" i="2"/>
  <c r="D44" i="3" s="1"/>
  <c r="E44" i="2"/>
  <c r="C45" i="2"/>
  <c r="D45" i="2"/>
  <c r="D45" i="3" s="1"/>
  <c r="E45" i="2"/>
  <c r="E45" i="3" s="1"/>
  <c r="C46" i="2"/>
  <c r="D46" i="2"/>
  <c r="D46" i="3" s="1"/>
  <c r="E46" i="2"/>
  <c r="E46" i="3" s="1"/>
  <c r="C47" i="2"/>
  <c r="C47" i="3" s="1"/>
  <c r="D47" i="2"/>
  <c r="E47" i="2"/>
  <c r="E47" i="3" s="1"/>
  <c r="C48" i="2"/>
  <c r="C48" i="3" s="1"/>
  <c r="D48" i="2"/>
  <c r="D48" i="3" s="1"/>
  <c r="E48" i="2"/>
  <c r="C49" i="2"/>
  <c r="D49" i="2"/>
  <c r="D49" i="3" s="1"/>
  <c r="E49" i="2"/>
  <c r="E49" i="3" s="1"/>
  <c r="C50" i="2"/>
  <c r="D50" i="2"/>
  <c r="D50" i="3" s="1"/>
  <c r="E50" i="2"/>
  <c r="E50" i="3" s="1"/>
  <c r="C51" i="2"/>
  <c r="C51" i="3" s="1"/>
  <c r="D51" i="2"/>
  <c r="E51" i="2"/>
  <c r="E51" i="3" s="1"/>
  <c r="C52" i="2"/>
  <c r="C52" i="3" s="1"/>
  <c r="D52" i="2"/>
  <c r="D52" i="3" s="1"/>
  <c r="E52" i="2"/>
  <c r="E52" i="3" s="1"/>
  <c r="C53" i="2"/>
  <c r="D53" i="2"/>
  <c r="D53" i="3" s="1"/>
  <c r="E53" i="2"/>
  <c r="E53" i="3" s="1"/>
  <c r="C54" i="2"/>
  <c r="D54" i="2"/>
  <c r="D54" i="3" s="1"/>
  <c r="E54" i="2"/>
  <c r="E54" i="3" s="1"/>
  <c r="C55" i="2"/>
  <c r="C55" i="3" s="1"/>
  <c r="D55" i="2"/>
  <c r="E55" i="2"/>
  <c r="E55" i="3" s="1"/>
  <c r="C56" i="2"/>
  <c r="C56" i="3" s="1"/>
  <c r="D56" i="2"/>
  <c r="D56" i="3" s="1"/>
  <c r="E56" i="2"/>
  <c r="E56" i="3" s="1"/>
  <c r="C57" i="2"/>
  <c r="D57" i="2"/>
  <c r="D57" i="3" s="1"/>
  <c r="E57" i="2"/>
  <c r="E57" i="3" s="1"/>
  <c r="C58" i="2"/>
  <c r="D58" i="2"/>
  <c r="D58" i="3" s="1"/>
  <c r="E58" i="2"/>
  <c r="E58" i="3" s="1"/>
  <c r="C59" i="2"/>
  <c r="C59" i="3" s="1"/>
  <c r="D59" i="2"/>
  <c r="E59" i="2"/>
  <c r="E59" i="3" s="1"/>
  <c r="C60" i="2"/>
  <c r="C60" i="3" s="1"/>
  <c r="D60" i="2"/>
  <c r="D60" i="3" s="1"/>
  <c r="E60" i="2"/>
  <c r="C61" i="2"/>
  <c r="D61" i="2"/>
  <c r="D61" i="3" s="1"/>
  <c r="E61" i="2"/>
  <c r="E61" i="3" s="1"/>
  <c r="C62" i="2"/>
  <c r="D62" i="2"/>
  <c r="D62" i="3" s="1"/>
  <c r="E62" i="2"/>
  <c r="E62" i="3" s="1"/>
  <c r="C63" i="2"/>
  <c r="C63" i="3" s="1"/>
  <c r="D63" i="2"/>
  <c r="E63" i="2"/>
  <c r="E63" i="3" s="1"/>
  <c r="C64" i="2"/>
  <c r="C64" i="3" s="1"/>
  <c r="D64" i="2"/>
  <c r="D64" i="3" s="1"/>
  <c r="E64" i="2"/>
  <c r="E64" i="3" s="1"/>
  <c r="C65" i="2"/>
  <c r="D65" i="2"/>
  <c r="D65" i="3" s="1"/>
  <c r="E65" i="2"/>
  <c r="E65" i="3" s="1"/>
  <c r="C66" i="2"/>
  <c r="D66" i="2"/>
  <c r="D66" i="3" s="1"/>
  <c r="E66" i="2"/>
  <c r="E66" i="3" s="1"/>
  <c r="C67" i="2"/>
  <c r="C67" i="3" s="1"/>
  <c r="D67" i="2"/>
  <c r="E67" i="2"/>
  <c r="E67" i="3" s="1"/>
  <c r="C68" i="2"/>
  <c r="C68" i="3" s="1"/>
  <c r="D68" i="2"/>
  <c r="D68" i="3" s="1"/>
  <c r="E68" i="2"/>
  <c r="E68" i="3" s="1"/>
  <c r="C69" i="2"/>
  <c r="D69" i="2"/>
  <c r="D69" i="3" s="1"/>
  <c r="E69" i="2"/>
  <c r="E69" i="3" s="1"/>
  <c r="C70" i="2"/>
  <c r="D70" i="2"/>
  <c r="D70" i="3" s="1"/>
  <c r="E70" i="2"/>
  <c r="E70" i="3" s="1"/>
  <c r="C71" i="2"/>
  <c r="C71" i="3" s="1"/>
  <c r="D71" i="2"/>
  <c r="E71" i="2"/>
  <c r="E71" i="3" s="1"/>
  <c r="C72" i="2"/>
  <c r="C72" i="3" s="1"/>
  <c r="D72" i="2"/>
  <c r="D72" i="3" s="1"/>
  <c r="E72" i="2"/>
  <c r="E72" i="3" s="1"/>
  <c r="C73" i="2"/>
  <c r="D73" i="2"/>
  <c r="D73" i="3" s="1"/>
  <c r="E73" i="2"/>
  <c r="E73" i="3" s="1"/>
  <c r="C74" i="2"/>
  <c r="D74" i="2"/>
  <c r="D74" i="3" s="1"/>
  <c r="E74" i="2"/>
  <c r="E74" i="3" s="1"/>
  <c r="C75" i="2"/>
  <c r="C75" i="3" s="1"/>
  <c r="D75" i="2"/>
  <c r="E75" i="2"/>
  <c r="E75" i="3" s="1"/>
  <c r="C76" i="2"/>
  <c r="C76" i="3" s="1"/>
  <c r="D76" i="2"/>
  <c r="D76" i="3" s="1"/>
  <c r="E76" i="2"/>
  <c r="C77" i="2"/>
  <c r="D77" i="2"/>
  <c r="D77" i="3" s="1"/>
  <c r="E77" i="2"/>
  <c r="E77" i="3" s="1"/>
  <c r="C78" i="2"/>
  <c r="D78" i="2"/>
  <c r="D78" i="3" s="1"/>
  <c r="E78" i="2"/>
  <c r="E78" i="3" s="1"/>
  <c r="C79" i="2"/>
  <c r="C79" i="3" s="1"/>
  <c r="D79" i="2"/>
  <c r="E79" i="2"/>
  <c r="E79" i="3" s="1"/>
  <c r="C80" i="2"/>
  <c r="C80" i="3" s="1"/>
  <c r="D80" i="2"/>
  <c r="D80" i="3" s="1"/>
  <c r="E80" i="2"/>
  <c r="E80" i="3" s="1"/>
  <c r="C81" i="2"/>
  <c r="D81" i="2"/>
  <c r="D81" i="3" s="1"/>
  <c r="E81" i="2"/>
  <c r="E81" i="3" s="1"/>
  <c r="C82" i="2"/>
  <c r="D82" i="2"/>
  <c r="D82" i="3" s="1"/>
  <c r="E82" i="2"/>
  <c r="E82" i="3" s="1"/>
  <c r="C83" i="2"/>
  <c r="C83" i="3" s="1"/>
  <c r="D83" i="2"/>
  <c r="E83" i="2"/>
  <c r="E83" i="3" s="1"/>
  <c r="C84" i="2"/>
  <c r="C84" i="3" s="1"/>
  <c r="D84" i="2"/>
  <c r="D84" i="3" s="1"/>
  <c r="E84" i="2"/>
  <c r="E84" i="3" s="1"/>
  <c r="C85" i="2"/>
  <c r="D85" i="2"/>
  <c r="D85" i="3" s="1"/>
  <c r="E85" i="2"/>
  <c r="E85" i="3" s="1"/>
  <c r="C86" i="2"/>
  <c r="D86" i="2"/>
  <c r="D86" i="3" s="1"/>
  <c r="E86" i="2"/>
  <c r="E86" i="3" s="1"/>
  <c r="C87" i="2"/>
  <c r="C87" i="3" s="1"/>
  <c r="D87" i="2"/>
  <c r="E87" i="2"/>
  <c r="E87" i="3" s="1"/>
  <c r="C88" i="2"/>
  <c r="C88" i="3" s="1"/>
  <c r="D88" i="2"/>
  <c r="D88" i="3" s="1"/>
  <c r="E88" i="2"/>
  <c r="E88" i="3" s="1"/>
  <c r="C89" i="2"/>
  <c r="D89" i="2"/>
  <c r="D89" i="3" s="1"/>
  <c r="E89" i="2"/>
  <c r="E89" i="3" s="1"/>
  <c r="C90" i="2"/>
  <c r="D90" i="2"/>
  <c r="D90" i="3" s="1"/>
  <c r="E90" i="2"/>
  <c r="E90" i="3" s="1"/>
  <c r="C91" i="2"/>
  <c r="C91" i="3" s="1"/>
  <c r="D91" i="2"/>
  <c r="D91" i="3" s="1"/>
  <c r="E91" i="2"/>
  <c r="E91" i="3" s="1"/>
  <c r="C92" i="2"/>
  <c r="C92" i="3" s="1"/>
  <c r="D92" i="2"/>
  <c r="D92" i="3" s="1"/>
  <c r="E92" i="2"/>
  <c r="C93" i="2"/>
  <c r="D93" i="2"/>
  <c r="D93" i="3" s="1"/>
  <c r="E93" i="2"/>
  <c r="E93" i="3" s="1"/>
  <c r="C94" i="2"/>
  <c r="D94" i="2"/>
  <c r="D94" i="3" s="1"/>
  <c r="E94" i="2"/>
  <c r="E94" i="3" s="1"/>
  <c r="C95" i="2"/>
  <c r="C95" i="3" s="1"/>
  <c r="D95" i="2"/>
  <c r="D95" i="3" s="1"/>
  <c r="E95" i="2"/>
  <c r="E95" i="3" s="1"/>
  <c r="C96" i="2"/>
  <c r="C96" i="3" s="1"/>
  <c r="D96" i="2"/>
  <c r="D96" i="3" s="1"/>
  <c r="E96" i="2"/>
  <c r="E96" i="3" s="1"/>
  <c r="C97" i="2"/>
  <c r="D97" i="2"/>
  <c r="D97" i="3" s="1"/>
  <c r="E97" i="2"/>
  <c r="E97" i="3" s="1"/>
  <c r="C98" i="2"/>
  <c r="D98" i="2"/>
  <c r="D98" i="3" s="1"/>
  <c r="E98" i="2"/>
  <c r="E98" i="3" s="1"/>
  <c r="C99" i="2"/>
  <c r="C99" i="3" s="1"/>
  <c r="D99" i="2"/>
  <c r="D99" i="3" s="1"/>
  <c r="E99" i="2"/>
  <c r="E99" i="3" s="1"/>
  <c r="C100" i="2"/>
  <c r="C100" i="3" s="1"/>
  <c r="D100" i="2"/>
  <c r="D100" i="3" s="1"/>
  <c r="E100" i="2"/>
  <c r="E100" i="3" s="1"/>
  <c r="C101" i="2"/>
  <c r="D101" i="2"/>
  <c r="D101" i="3" s="1"/>
  <c r="E101" i="2"/>
  <c r="E101" i="3" s="1"/>
  <c r="C102" i="2"/>
  <c r="D102" i="2"/>
  <c r="D102" i="3" s="1"/>
  <c r="E102" i="2"/>
  <c r="E102" i="3" s="1"/>
  <c r="C103" i="2"/>
  <c r="C103" i="3" s="1"/>
  <c r="D103" i="2"/>
  <c r="D103" i="3" s="1"/>
  <c r="E103" i="2"/>
  <c r="E103" i="3" s="1"/>
  <c r="C104" i="2"/>
  <c r="C104" i="3" s="1"/>
  <c r="D104" i="2"/>
  <c r="D104" i="3" s="1"/>
  <c r="E104" i="2"/>
  <c r="E104" i="3" s="1"/>
  <c r="C105" i="2"/>
  <c r="D105" i="2"/>
  <c r="D105" i="3" s="1"/>
  <c r="E105" i="2"/>
  <c r="E105" i="3" s="1"/>
  <c r="C106" i="2"/>
  <c r="D106" i="2"/>
  <c r="D106" i="3" s="1"/>
  <c r="E106" i="2"/>
  <c r="E106" i="3" s="1"/>
  <c r="C107" i="2"/>
  <c r="C107" i="3" s="1"/>
  <c r="D107" i="2"/>
  <c r="D107" i="3" s="1"/>
  <c r="E107" i="2"/>
  <c r="E107" i="3" s="1"/>
  <c r="C108" i="2"/>
  <c r="C108" i="3" s="1"/>
  <c r="D108" i="2"/>
  <c r="D108" i="3" s="1"/>
  <c r="E108" i="2"/>
  <c r="C109" i="2"/>
  <c r="D109" i="2"/>
  <c r="D109" i="3" s="1"/>
  <c r="E109" i="2"/>
  <c r="E109" i="3" s="1"/>
  <c r="C110" i="2"/>
  <c r="D110" i="2"/>
  <c r="D110" i="3" s="1"/>
  <c r="E110" i="2"/>
  <c r="E110" i="3" s="1"/>
  <c r="C111" i="2"/>
  <c r="C111" i="3" s="1"/>
  <c r="D111" i="2"/>
  <c r="D111" i="3" s="1"/>
  <c r="E111" i="2"/>
  <c r="E111" i="3" s="1"/>
  <c r="C112" i="2"/>
  <c r="C112" i="3" s="1"/>
  <c r="D112" i="2"/>
  <c r="D112" i="3" s="1"/>
  <c r="E112" i="2"/>
  <c r="E112" i="3" s="1"/>
  <c r="C113" i="2"/>
  <c r="D113" i="2"/>
  <c r="D113" i="3" s="1"/>
  <c r="E113" i="2"/>
  <c r="E113" i="3" s="1"/>
  <c r="C114" i="2"/>
  <c r="D114" i="2"/>
  <c r="D114" i="3" s="1"/>
  <c r="E114" i="2"/>
  <c r="E114" i="3" s="1"/>
  <c r="C115" i="2"/>
  <c r="C115" i="3" s="1"/>
  <c r="D115" i="2"/>
  <c r="D115" i="3" s="1"/>
  <c r="E115" i="2"/>
  <c r="E115" i="3" s="1"/>
  <c r="C116" i="2"/>
  <c r="C116" i="3" s="1"/>
  <c r="D116" i="2"/>
  <c r="D116" i="3" s="1"/>
  <c r="E116" i="2"/>
  <c r="E116" i="3" s="1"/>
  <c r="C117" i="2"/>
  <c r="D117" i="2"/>
  <c r="D117" i="3" s="1"/>
  <c r="E117" i="2"/>
  <c r="E117" i="3" s="1"/>
  <c r="C118" i="2"/>
  <c r="D118" i="2"/>
  <c r="D118" i="3" s="1"/>
  <c r="E118" i="2"/>
  <c r="E118" i="3" s="1"/>
  <c r="C119" i="2"/>
  <c r="C119" i="3" s="1"/>
  <c r="D119" i="2"/>
  <c r="D119" i="3" s="1"/>
  <c r="E119" i="2"/>
  <c r="E119" i="3" s="1"/>
  <c r="C120" i="2"/>
  <c r="C120" i="3" s="1"/>
  <c r="D120" i="2"/>
  <c r="D120" i="3" s="1"/>
  <c r="E120" i="2"/>
  <c r="E120" i="3" s="1"/>
  <c r="C121" i="2"/>
  <c r="D121" i="2"/>
  <c r="D121" i="3" s="1"/>
  <c r="E121" i="2"/>
  <c r="E121" i="3" s="1"/>
  <c r="C122" i="2"/>
  <c r="D122" i="2"/>
  <c r="D122" i="3" s="1"/>
  <c r="E122" i="2"/>
  <c r="E122" i="3" s="1"/>
  <c r="C123" i="2"/>
  <c r="C123" i="3" s="1"/>
  <c r="D123" i="2"/>
  <c r="D123" i="3" s="1"/>
  <c r="E123" i="2"/>
  <c r="E123" i="3" s="1"/>
  <c r="C124" i="2"/>
  <c r="C124" i="3" s="1"/>
  <c r="D124" i="2"/>
  <c r="D124" i="3" s="1"/>
  <c r="E124" i="2"/>
  <c r="E124" i="3" s="1"/>
  <c r="C125" i="2"/>
  <c r="D125" i="2"/>
  <c r="D125" i="3" s="1"/>
  <c r="E125" i="2"/>
  <c r="E125" i="3" s="1"/>
  <c r="C126" i="2"/>
  <c r="D126" i="2"/>
  <c r="D126" i="3" s="1"/>
  <c r="E126" i="2"/>
  <c r="E126" i="3" s="1"/>
  <c r="C127" i="2"/>
  <c r="C127" i="3" s="1"/>
  <c r="D127" i="2"/>
  <c r="D127" i="3" s="1"/>
  <c r="E127" i="2"/>
  <c r="E127" i="3" s="1"/>
  <c r="C128" i="2"/>
  <c r="C128" i="3" s="1"/>
  <c r="D128" i="2"/>
  <c r="D128" i="3" s="1"/>
  <c r="E128" i="2"/>
  <c r="E128" i="3" s="1"/>
  <c r="C129" i="2"/>
  <c r="D129" i="2"/>
  <c r="D129" i="3" s="1"/>
  <c r="E129" i="2"/>
  <c r="E129" i="3" s="1"/>
  <c r="C130" i="2"/>
  <c r="D130" i="2"/>
  <c r="D130" i="3" s="1"/>
  <c r="E130" i="2"/>
  <c r="E130" i="3" s="1"/>
  <c r="C131" i="2"/>
  <c r="C131" i="3" s="1"/>
  <c r="D131" i="2"/>
  <c r="D131" i="3" s="1"/>
  <c r="E131" i="2"/>
  <c r="E131" i="3" s="1"/>
  <c r="C132" i="2"/>
  <c r="C132" i="3" s="1"/>
  <c r="D132" i="2"/>
  <c r="D132" i="3" s="1"/>
  <c r="E132" i="2"/>
  <c r="E132" i="3" s="1"/>
  <c r="C133" i="2"/>
  <c r="D133" i="2"/>
  <c r="D133" i="3" s="1"/>
  <c r="E133" i="2"/>
  <c r="E133" i="3" s="1"/>
  <c r="C134" i="2"/>
  <c r="D134" i="2"/>
  <c r="D134" i="3" s="1"/>
  <c r="E134" i="2"/>
  <c r="E134" i="3" s="1"/>
  <c r="C135" i="2"/>
  <c r="C135" i="3" s="1"/>
  <c r="D135" i="2"/>
  <c r="D135" i="3" s="1"/>
  <c r="E135" i="2"/>
  <c r="E135" i="3" s="1"/>
  <c r="C136" i="2"/>
  <c r="C136" i="3" s="1"/>
  <c r="D136" i="2"/>
  <c r="D136" i="3" s="1"/>
  <c r="E136" i="2"/>
  <c r="E136" i="3" s="1"/>
  <c r="C137" i="2"/>
  <c r="D137" i="2"/>
  <c r="D137" i="3" s="1"/>
  <c r="E137" i="2"/>
  <c r="E137" i="3" s="1"/>
  <c r="C138" i="2"/>
  <c r="D138" i="2"/>
  <c r="D138" i="3" s="1"/>
  <c r="E138" i="2"/>
  <c r="E138" i="3" s="1"/>
  <c r="C139" i="2"/>
  <c r="C139" i="3" s="1"/>
  <c r="D139" i="2"/>
  <c r="D139" i="3" s="1"/>
  <c r="E139" i="2"/>
  <c r="E139" i="3" s="1"/>
  <c r="C140" i="2"/>
  <c r="C140" i="3" s="1"/>
  <c r="D140" i="2"/>
  <c r="D140" i="3" s="1"/>
  <c r="E140" i="2"/>
  <c r="C141" i="2"/>
  <c r="D141" i="2"/>
  <c r="D141" i="3" s="1"/>
  <c r="E141" i="2"/>
  <c r="E141" i="3" s="1"/>
  <c r="C142" i="2"/>
  <c r="D142" i="2"/>
  <c r="D142" i="3" s="1"/>
  <c r="E142" i="2"/>
  <c r="E142" i="3" s="1"/>
  <c r="C143" i="2"/>
  <c r="C143" i="3" s="1"/>
  <c r="D143" i="2"/>
  <c r="D143" i="3" s="1"/>
  <c r="E143" i="2"/>
  <c r="E143" i="3" s="1"/>
  <c r="C144" i="2"/>
  <c r="C144" i="3" s="1"/>
  <c r="D144" i="2"/>
  <c r="D144" i="3" s="1"/>
  <c r="E144" i="2"/>
  <c r="E144" i="3" s="1"/>
  <c r="C145" i="2"/>
  <c r="D145" i="2"/>
  <c r="D145" i="3" s="1"/>
  <c r="E145" i="2"/>
  <c r="E145" i="3" s="1"/>
  <c r="C146" i="2"/>
  <c r="D146" i="2"/>
  <c r="D146" i="3" s="1"/>
  <c r="E146" i="2"/>
  <c r="E146" i="3" s="1"/>
  <c r="C147" i="2"/>
  <c r="C147" i="3" s="1"/>
  <c r="D147" i="2"/>
  <c r="D147" i="3" s="1"/>
  <c r="E147" i="2"/>
  <c r="E147" i="3" s="1"/>
  <c r="C148" i="2"/>
  <c r="C148" i="3" s="1"/>
  <c r="D148" i="2"/>
  <c r="D148" i="3" s="1"/>
  <c r="E148" i="2"/>
  <c r="E148" i="3" s="1"/>
  <c r="C149" i="2"/>
  <c r="D149" i="2"/>
  <c r="D149" i="3" s="1"/>
  <c r="E149" i="2"/>
  <c r="E149" i="3" s="1"/>
  <c r="C150" i="2"/>
  <c r="D150" i="2"/>
  <c r="D150" i="3" s="1"/>
  <c r="E150" i="2"/>
  <c r="E150" i="3" s="1"/>
  <c r="C151" i="2"/>
  <c r="C151" i="3" s="1"/>
  <c r="D151" i="2"/>
  <c r="E151" i="2"/>
  <c r="E151" i="3" s="1"/>
  <c r="C152" i="2"/>
  <c r="C152" i="3" s="1"/>
  <c r="D152" i="2"/>
  <c r="D152" i="3" s="1"/>
  <c r="E152" i="2"/>
  <c r="E152" i="3" s="1"/>
  <c r="C153" i="2"/>
  <c r="D153" i="2"/>
  <c r="D153" i="3" s="1"/>
  <c r="E153" i="2"/>
  <c r="E153" i="3" s="1"/>
  <c r="C154" i="2"/>
  <c r="D154" i="2"/>
  <c r="D154" i="3" s="1"/>
  <c r="E154" i="2"/>
  <c r="E154" i="3" s="1"/>
  <c r="C155" i="2"/>
  <c r="C155" i="3" s="1"/>
  <c r="D155" i="2"/>
  <c r="D155" i="3" s="1"/>
  <c r="E155" i="2"/>
  <c r="E155" i="3" s="1"/>
  <c r="C156" i="2"/>
  <c r="C156" i="3" s="1"/>
  <c r="D156" i="2"/>
  <c r="D156" i="3" s="1"/>
  <c r="E156" i="2"/>
  <c r="C157" i="2"/>
  <c r="D157" i="2"/>
  <c r="D157" i="3" s="1"/>
  <c r="E157" i="2"/>
  <c r="E157" i="3" s="1"/>
  <c r="C158" i="2"/>
  <c r="D158" i="2"/>
  <c r="D158" i="3" s="1"/>
  <c r="E158" i="2"/>
  <c r="E158" i="3" s="1"/>
  <c r="C159" i="2"/>
  <c r="C159" i="3" s="1"/>
  <c r="D159" i="2"/>
  <c r="E159" i="2"/>
  <c r="E159" i="3" s="1"/>
  <c r="C160" i="2"/>
  <c r="C160" i="3" s="1"/>
  <c r="D160" i="2"/>
  <c r="D160" i="3" s="1"/>
  <c r="E160" i="2"/>
  <c r="E160" i="3" s="1"/>
  <c r="C161" i="2"/>
  <c r="D161" i="2"/>
  <c r="D161" i="3" s="1"/>
  <c r="E161" i="2"/>
  <c r="E161" i="3" s="1"/>
  <c r="C162" i="2"/>
  <c r="D162" i="2"/>
  <c r="D162" i="3" s="1"/>
  <c r="E162" i="2"/>
  <c r="E162" i="3" s="1"/>
  <c r="C163" i="2"/>
  <c r="C163" i="3" s="1"/>
  <c r="D163" i="2"/>
  <c r="D163" i="3" s="1"/>
  <c r="E163" i="2"/>
  <c r="E163" i="3" s="1"/>
  <c r="C164" i="2"/>
  <c r="C164" i="3" s="1"/>
  <c r="D164" i="2"/>
  <c r="D164" i="3" s="1"/>
  <c r="E164" i="2"/>
  <c r="E164" i="3" s="1"/>
  <c r="C165" i="2"/>
  <c r="D165" i="2"/>
  <c r="D165" i="3" s="1"/>
  <c r="E165" i="2"/>
  <c r="E165" i="3" s="1"/>
  <c r="C166" i="2"/>
  <c r="D166" i="2"/>
  <c r="D166" i="3" s="1"/>
  <c r="E166" i="2"/>
  <c r="E166" i="3" s="1"/>
  <c r="C167" i="2"/>
  <c r="C167" i="3" s="1"/>
  <c r="D167" i="2"/>
  <c r="E167" i="2"/>
  <c r="E167" i="3" s="1"/>
  <c r="C168" i="2"/>
  <c r="C168" i="3" s="1"/>
  <c r="D168" i="2"/>
  <c r="D168" i="3" s="1"/>
  <c r="E168" i="2"/>
  <c r="E168" i="3" s="1"/>
  <c r="C169" i="2"/>
  <c r="D169" i="2"/>
  <c r="D169" i="3" s="1"/>
  <c r="E169" i="2"/>
  <c r="E169" i="3" s="1"/>
  <c r="C170" i="2"/>
  <c r="D170" i="2"/>
  <c r="D170" i="3" s="1"/>
  <c r="E170" i="2"/>
  <c r="E170" i="3" s="1"/>
  <c r="C171" i="2"/>
  <c r="C171" i="3" s="1"/>
  <c r="D171" i="2"/>
  <c r="D171" i="3" s="1"/>
  <c r="E171" i="2"/>
  <c r="E171" i="3" s="1"/>
  <c r="C172" i="2"/>
  <c r="C172" i="3" s="1"/>
  <c r="D172" i="2"/>
  <c r="D172" i="3" s="1"/>
  <c r="E172" i="2"/>
  <c r="C173" i="2"/>
  <c r="D173" i="2"/>
  <c r="D173" i="3" s="1"/>
  <c r="E173" i="2"/>
  <c r="E173" i="3" s="1"/>
  <c r="C174" i="2"/>
  <c r="D174" i="2"/>
  <c r="D174" i="3" s="1"/>
  <c r="E174" i="2"/>
  <c r="E174" i="3" s="1"/>
  <c r="C175" i="2"/>
  <c r="C175" i="3" s="1"/>
  <c r="D175" i="2"/>
  <c r="E175" i="2"/>
  <c r="E175" i="3" s="1"/>
  <c r="C176" i="2"/>
  <c r="C176" i="3" s="1"/>
  <c r="D176" i="2"/>
  <c r="D176" i="3" s="1"/>
  <c r="E176" i="2"/>
  <c r="E176" i="3" s="1"/>
  <c r="C177" i="2"/>
  <c r="D177" i="2"/>
  <c r="D177" i="3" s="1"/>
  <c r="E177" i="2"/>
  <c r="E177" i="3" s="1"/>
  <c r="C178" i="2"/>
  <c r="D178" i="2"/>
  <c r="D178" i="3" s="1"/>
  <c r="E178" i="2"/>
  <c r="E178" i="3" s="1"/>
  <c r="C179" i="2"/>
  <c r="C179" i="3" s="1"/>
  <c r="D179" i="2"/>
  <c r="D179" i="3" s="1"/>
  <c r="E179" i="2"/>
  <c r="E179" i="3" s="1"/>
  <c r="C180" i="2"/>
  <c r="C180" i="3" s="1"/>
  <c r="D180" i="2"/>
  <c r="D180" i="3" s="1"/>
  <c r="E180" i="2"/>
  <c r="E180" i="3" s="1"/>
  <c r="C181" i="2"/>
  <c r="D181" i="2"/>
  <c r="D181" i="3" s="1"/>
  <c r="E181" i="2"/>
  <c r="E181" i="3" s="1"/>
  <c r="C182" i="2"/>
  <c r="D182" i="2"/>
  <c r="D182" i="3" s="1"/>
  <c r="E182" i="2"/>
  <c r="E182" i="3" s="1"/>
  <c r="C183" i="2"/>
  <c r="C183" i="3" s="1"/>
  <c r="D183" i="2"/>
  <c r="E183" i="2"/>
  <c r="E183" i="3" s="1"/>
  <c r="C184" i="2"/>
  <c r="C184" i="3" s="1"/>
  <c r="D184" i="2"/>
  <c r="D184" i="3" s="1"/>
  <c r="E184" i="2"/>
  <c r="E184" i="3" s="1"/>
  <c r="C185" i="2"/>
  <c r="D185" i="2"/>
  <c r="D185" i="3" s="1"/>
  <c r="E185" i="2"/>
  <c r="E185" i="3" s="1"/>
  <c r="C186" i="2"/>
  <c r="D186" i="2"/>
  <c r="D186" i="3" s="1"/>
  <c r="E186" i="2"/>
  <c r="E186" i="3" s="1"/>
  <c r="C187" i="2"/>
  <c r="C187" i="3" s="1"/>
  <c r="D187" i="2"/>
  <c r="D187" i="3" s="1"/>
  <c r="E187" i="2"/>
  <c r="E187" i="3" s="1"/>
  <c r="C188" i="2"/>
  <c r="C188" i="3" s="1"/>
  <c r="D188" i="2"/>
  <c r="D188" i="3" s="1"/>
  <c r="E188" i="2"/>
  <c r="E188" i="3" s="1"/>
  <c r="C189" i="2"/>
  <c r="D189" i="2"/>
  <c r="D189" i="3" s="1"/>
  <c r="E189" i="2"/>
  <c r="E189" i="3" s="1"/>
  <c r="C190" i="2"/>
  <c r="D190" i="2"/>
  <c r="D190" i="3" s="1"/>
  <c r="E190" i="2"/>
  <c r="E190" i="3" s="1"/>
  <c r="C191" i="2"/>
  <c r="C191" i="3" s="1"/>
  <c r="D191" i="2"/>
  <c r="E191" i="2"/>
  <c r="E191" i="3" s="1"/>
  <c r="B4" i="2"/>
  <c r="B4" i="3" s="1"/>
  <c r="B5" i="2"/>
  <c r="B5" i="3" s="1"/>
  <c r="B6" i="2"/>
  <c r="B6" i="3" s="1"/>
  <c r="B7" i="2"/>
  <c r="B8" i="2"/>
  <c r="B8" i="3" s="1"/>
  <c r="B9" i="2"/>
  <c r="B9" i="3" s="1"/>
  <c r="B10" i="2"/>
  <c r="B10" i="3" s="1"/>
  <c r="B11" i="2"/>
  <c r="B11" i="3" s="1"/>
  <c r="B12" i="2"/>
  <c r="B12" i="3" s="1"/>
  <c r="B13" i="2"/>
  <c r="B13" i="3" s="1"/>
  <c r="B14" i="2"/>
  <c r="B14" i="3" s="1"/>
  <c r="B15" i="2"/>
  <c r="B15" i="3" s="1"/>
  <c r="B16" i="2"/>
  <c r="B16" i="3" s="1"/>
  <c r="B18" i="2"/>
  <c r="B18" i="3" s="1"/>
  <c r="B19" i="2"/>
  <c r="B20" i="2"/>
  <c r="B20" i="3" s="1"/>
  <c r="B21" i="2"/>
  <c r="B21" i="3" s="1"/>
  <c r="B22" i="2"/>
  <c r="B22" i="3" s="1"/>
  <c r="B23" i="2"/>
  <c r="B23" i="3" s="1"/>
  <c r="B24" i="2"/>
  <c r="B25" i="2"/>
  <c r="B25" i="3" s="1"/>
  <c r="B26" i="2"/>
  <c r="B26" i="3" s="1"/>
  <c r="B27" i="2"/>
  <c r="B27" i="3" s="1"/>
  <c r="B28" i="2"/>
  <c r="B29" i="2"/>
  <c r="B29" i="3" s="1"/>
  <c r="B30" i="2"/>
  <c r="B30" i="3" s="1"/>
  <c r="B31" i="2"/>
  <c r="B31" i="3" s="1"/>
  <c r="B32" i="2"/>
  <c r="B32" i="3" s="1"/>
  <c r="B33" i="2"/>
  <c r="B33" i="3" s="1"/>
  <c r="B34" i="2"/>
  <c r="B34" i="3" s="1"/>
  <c r="B35" i="2"/>
  <c r="B36" i="2"/>
  <c r="B36" i="3" s="1"/>
  <c r="B37" i="2"/>
  <c r="B37" i="3" s="1"/>
  <c r="B38" i="2"/>
  <c r="B38" i="3" s="1"/>
  <c r="B39" i="2"/>
  <c r="B39" i="3" s="1"/>
  <c r="B40" i="2"/>
  <c r="B41" i="2"/>
  <c r="B41" i="3" s="1"/>
  <c r="B42" i="2"/>
  <c r="B42" i="3" s="1"/>
  <c r="B43" i="2"/>
  <c r="B43" i="3" s="1"/>
  <c r="B44" i="2"/>
  <c r="B45" i="2"/>
  <c r="B45" i="3" s="1"/>
  <c r="B46" i="2"/>
  <c r="B46" i="3" s="1"/>
  <c r="B47" i="2"/>
  <c r="B47" i="3" s="1"/>
  <c r="B48" i="2"/>
  <c r="B48" i="3" s="1"/>
  <c r="B49" i="2"/>
  <c r="B49" i="3" s="1"/>
  <c r="B50" i="2"/>
  <c r="B50" i="3" s="1"/>
  <c r="B51" i="2"/>
  <c r="B52" i="2"/>
  <c r="B52" i="3" s="1"/>
  <c r="B53" i="2"/>
  <c r="B53" i="3" s="1"/>
  <c r="B54" i="2"/>
  <c r="B54" i="3" s="1"/>
  <c r="B55" i="2"/>
  <c r="B55" i="3" s="1"/>
  <c r="B56" i="2"/>
  <c r="B57" i="2"/>
  <c r="B57" i="3" s="1"/>
  <c r="B58" i="2"/>
  <c r="B58" i="3" s="1"/>
  <c r="B59" i="2"/>
  <c r="B59" i="3" s="1"/>
  <c r="B60" i="2"/>
  <c r="B61" i="2"/>
  <c r="B61" i="3" s="1"/>
  <c r="B62" i="2"/>
  <c r="B62" i="3" s="1"/>
  <c r="B63" i="2"/>
  <c r="B63" i="3" s="1"/>
  <c r="B64" i="2"/>
  <c r="B64" i="3" s="1"/>
  <c r="B65" i="2"/>
  <c r="B65" i="3" s="1"/>
  <c r="B66" i="2"/>
  <c r="B66" i="3" s="1"/>
  <c r="B67" i="2"/>
  <c r="B68" i="2"/>
  <c r="B68" i="3" s="1"/>
  <c r="B69" i="2"/>
  <c r="B69" i="3" s="1"/>
  <c r="B70" i="2"/>
  <c r="B70" i="3" s="1"/>
  <c r="B71" i="2"/>
  <c r="B71" i="3" s="1"/>
  <c r="B72" i="2"/>
  <c r="B73" i="2"/>
  <c r="B73" i="3" s="1"/>
  <c r="B74" i="2"/>
  <c r="B74" i="3" s="1"/>
  <c r="B75" i="2"/>
  <c r="B75" i="3" s="1"/>
  <c r="B76" i="2"/>
  <c r="B77" i="2"/>
  <c r="B77" i="3" s="1"/>
  <c r="B78" i="2"/>
  <c r="B78" i="3" s="1"/>
  <c r="B79" i="2"/>
  <c r="B79" i="3" s="1"/>
  <c r="B80" i="2"/>
  <c r="B80" i="3" s="1"/>
  <c r="B81" i="2"/>
  <c r="B81" i="3" s="1"/>
  <c r="B82" i="2"/>
  <c r="B82" i="3" s="1"/>
  <c r="B83" i="2"/>
  <c r="B84" i="2"/>
  <c r="B84" i="3" s="1"/>
  <c r="B85" i="2"/>
  <c r="B85" i="3" s="1"/>
  <c r="B86" i="2"/>
  <c r="B86" i="3" s="1"/>
  <c r="B87" i="2"/>
  <c r="B87" i="3" s="1"/>
  <c r="B88" i="2"/>
  <c r="B89" i="2"/>
  <c r="B89" i="3" s="1"/>
  <c r="B90" i="2"/>
  <c r="B90" i="3" s="1"/>
  <c r="B91" i="2"/>
  <c r="B91" i="3" s="1"/>
  <c r="B92" i="2"/>
  <c r="B92" i="3" s="1"/>
  <c r="B93" i="2"/>
  <c r="B93" i="3" s="1"/>
  <c r="B94" i="2"/>
  <c r="B94" i="3" s="1"/>
  <c r="B95" i="2"/>
  <c r="B95" i="3" s="1"/>
  <c r="B96" i="2"/>
  <c r="B96" i="3" s="1"/>
  <c r="B97" i="2"/>
  <c r="B97" i="3" s="1"/>
  <c r="B98" i="2"/>
  <c r="B98" i="3" s="1"/>
  <c r="B99" i="2"/>
  <c r="B99" i="3" s="1"/>
  <c r="B100" i="2"/>
  <c r="B100" i="3" s="1"/>
  <c r="B101" i="2"/>
  <c r="B101" i="3" s="1"/>
  <c r="B102" i="2"/>
  <c r="B102" i="3" s="1"/>
  <c r="B103" i="2"/>
  <c r="B103" i="3" s="1"/>
  <c r="B104" i="2"/>
  <c r="B105" i="2"/>
  <c r="B105" i="3" s="1"/>
  <c r="B106" i="2"/>
  <c r="B106" i="3" s="1"/>
  <c r="B107" i="2"/>
  <c r="B107" i="3" s="1"/>
  <c r="B108" i="2"/>
  <c r="B108" i="3" s="1"/>
  <c r="B109" i="2"/>
  <c r="B109" i="3" s="1"/>
  <c r="B110" i="2"/>
  <c r="B110" i="3" s="1"/>
  <c r="B111" i="2"/>
  <c r="B111" i="3" s="1"/>
  <c r="B112" i="2"/>
  <c r="B112" i="3" s="1"/>
  <c r="B113" i="2"/>
  <c r="B113" i="3" s="1"/>
  <c r="B114" i="2"/>
  <c r="B114" i="3" s="1"/>
  <c r="B115" i="2"/>
  <c r="B115" i="3" s="1"/>
  <c r="B116" i="2"/>
  <c r="B116" i="3" s="1"/>
  <c r="B117" i="2"/>
  <c r="B117" i="3" s="1"/>
  <c r="B118" i="2"/>
  <c r="B118" i="3" s="1"/>
  <c r="B119" i="2"/>
  <c r="B119" i="3" s="1"/>
  <c r="B120" i="2"/>
  <c r="B120" i="3" s="1"/>
  <c r="B121" i="2"/>
  <c r="B121" i="3" s="1"/>
  <c r="B122" i="2"/>
  <c r="B122" i="3" s="1"/>
  <c r="B123" i="2"/>
  <c r="B123" i="3" s="1"/>
  <c r="B124" i="2"/>
  <c r="B124" i="3" s="1"/>
  <c r="B125" i="2"/>
  <c r="B125" i="3" s="1"/>
  <c r="B126" i="2"/>
  <c r="B126" i="3" s="1"/>
  <c r="B127" i="2"/>
  <c r="B127" i="3" s="1"/>
  <c r="B128" i="2"/>
  <c r="B128" i="3" s="1"/>
  <c r="B129" i="2"/>
  <c r="B129" i="3" s="1"/>
  <c r="B130" i="2"/>
  <c r="B130" i="3" s="1"/>
  <c r="B131" i="2"/>
  <c r="B131" i="3" s="1"/>
  <c r="B132" i="2"/>
  <c r="B132" i="3" s="1"/>
  <c r="B133" i="2"/>
  <c r="B133" i="3" s="1"/>
  <c r="B134" i="2"/>
  <c r="B134" i="3" s="1"/>
  <c r="B135" i="2"/>
  <c r="B135" i="3" s="1"/>
  <c r="B136" i="2"/>
  <c r="B136" i="3" s="1"/>
  <c r="B137" i="2"/>
  <c r="B137" i="3" s="1"/>
  <c r="B138" i="2"/>
  <c r="B138" i="3" s="1"/>
  <c r="B139" i="2"/>
  <c r="B139" i="3" s="1"/>
  <c r="B140" i="2"/>
  <c r="B140" i="3" s="1"/>
  <c r="B141" i="2"/>
  <c r="B141" i="3" s="1"/>
  <c r="B142" i="2"/>
  <c r="B142" i="3" s="1"/>
  <c r="B143" i="2"/>
  <c r="B143" i="3" s="1"/>
  <c r="B144" i="2"/>
  <c r="B144" i="3" s="1"/>
  <c r="B145" i="2"/>
  <c r="B145" i="3" s="1"/>
  <c r="B146" i="2"/>
  <c r="B146" i="3" s="1"/>
  <c r="B147" i="2"/>
  <c r="B147" i="3" s="1"/>
  <c r="B148" i="2"/>
  <c r="B148" i="3" s="1"/>
  <c r="B149" i="2"/>
  <c r="B149" i="3" s="1"/>
  <c r="B150" i="2"/>
  <c r="B150" i="3" s="1"/>
  <c r="B151" i="2"/>
  <c r="B151" i="3" s="1"/>
  <c r="B152" i="2"/>
  <c r="B152" i="3" s="1"/>
  <c r="B153" i="2"/>
  <c r="B153" i="3" s="1"/>
  <c r="B154" i="2"/>
  <c r="B154" i="3" s="1"/>
  <c r="B155" i="2"/>
  <c r="B155" i="3" s="1"/>
  <c r="B156" i="2"/>
  <c r="B156" i="3" s="1"/>
  <c r="B157" i="2"/>
  <c r="B157" i="3" s="1"/>
  <c r="B158" i="2"/>
  <c r="B158" i="3" s="1"/>
  <c r="B159" i="2"/>
  <c r="B159" i="3" s="1"/>
  <c r="B160" i="2"/>
  <c r="B160" i="3" s="1"/>
  <c r="B161" i="2"/>
  <c r="B161" i="3" s="1"/>
  <c r="B162" i="2"/>
  <c r="B162" i="3" s="1"/>
  <c r="B163" i="2"/>
  <c r="B163" i="3" s="1"/>
  <c r="B164" i="2"/>
  <c r="B164" i="3" s="1"/>
  <c r="B165" i="2"/>
  <c r="B165" i="3" s="1"/>
  <c r="B166" i="2"/>
  <c r="B166" i="3" s="1"/>
  <c r="B167" i="2"/>
  <c r="B167" i="3" s="1"/>
  <c r="B168" i="2"/>
  <c r="B168" i="3" s="1"/>
  <c r="B169" i="2"/>
  <c r="B169" i="3" s="1"/>
  <c r="B170" i="2"/>
  <c r="B170" i="3" s="1"/>
  <c r="B171" i="2"/>
  <c r="B171" i="3" s="1"/>
  <c r="B172" i="2"/>
  <c r="B172" i="3" s="1"/>
  <c r="B173" i="2"/>
  <c r="B173" i="3" s="1"/>
  <c r="B174" i="2"/>
  <c r="B174" i="3" s="1"/>
  <c r="B175" i="2"/>
  <c r="B175" i="3" s="1"/>
  <c r="B176" i="2"/>
  <c r="B176" i="3" s="1"/>
  <c r="B177" i="2"/>
  <c r="B177" i="3" s="1"/>
  <c r="B178" i="2"/>
  <c r="B178" i="3" s="1"/>
  <c r="B179" i="2"/>
  <c r="B179" i="3" s="1"/>
  <c r="B180" i="2"/>
  <c r="B180" i="3" s="1"/>
  <c r="B181" i="2"/>
  <c r="B181" i="3" s="1"/>
  <c r="B182" i="2"/>
  <c r="B182" i="3" s="1"/>
  <c r="B183" i="2"/>
  <c r="B183" i="3" s="1"/>
  <c r="B184" i="2"/>
  <c r="B184" i="3" s="1"/>
  <c r="B185" i="2"/>
  <c r="B185" i="3" s="1"/>
  <c r="B186" i="2"/>
  <c r="B186" i="3" s="1"/>
  <c r="B187" i="2"/>
  <c r="B187" i="3" s="1"/>
  <c r="B188" i="2"/>
  <c r="B188" i="3" s="1"/>
  <c r="B189" i="2"/>
  <c r="B189" i="3" s="1"/>
  <c r="B190" i="2"/>
  <c r="B190" i="3" s="1"/>
  <c r="B191" i="2"/>
  <c r="B191" i="3" s="1"/>
  <c r="B3" i="2"/>
  <c r="B3" i="3" s="1"/>
  <c r="C2" i="2"/>
  <c r="C2" i="3" s="1"/>
  <c r="D2" i="2"/>
  <c r="D2" i="3" s="1"/>
  <c r="E2" i="2"/>
  <c r="E2" i="3" s="1"/>
  <c r="B2" i="2"/>
  <c r="B2" i="3" s="1"/>
  <c r="D113" i="8" l="1"/>
  <c r="D73" i="8"/>
  <c r="D53" i="8"/>
  <c r="D98" i="8"/>
  <c r="D93" i="8"/>
  <c r="D18" i="8"/>
  <c r="D89" i="8"/>
  <c r="D45" i="8"/>
  <c r="B45" i="9" s="1"/>
  <c r="D149" i="8"/>
  <c r="D105" i="8"/>
  <c r="B21" i="9"/>
  <c r="B25" i="9"/>
  <c r="B29" i="9"/>
  <c r="B33" i="9"/>
  <c r="B37" i="9"/>
  <c r="B41" i="9"/>
  <c r="B57" i="9"/>
  <c r="B23" i="9"/>
  <c r="B28" i="9"/>
  <c r="B34" i="9"/>
  <c r="B39" i="9"/>
  <c r="B44" i="9"/>
  <c r="B50" i="9"/>
  <c r="B70" i="9"/>
  <c r="B86" i="9"/>
  <c r="B102" i="9"/>
  <c r="B118" i="9"/>
  <c r="B19" i="9"/>
  <c r="B24" i="9"/>
  <c r="B30" i="9"/>
  <c r="B35" i="9"/>
  <c r="B40" i="9"/>
  <c r="B56" i="9"/>
  <c r="B75" i="9"/>
  <c r="B91" i="9"/>
  <c r="B107" i="9"/>
  <c r="B20" i="9"/>
  <c r="B26" i="9"/>
  <c r="B31" i="9"/>
  <c r="B36" i="9"/>
  <c r="B42" i="9"/>
  <c r="B47" i="9"/>
  <c r="B68" i="9"/>
  <c r="B84" i="9"/>
  <c r="B100" i="9"/>
  <c r="B116" i="9"/>
  <c r="B22" i="9"/>
  <c r="B27" i="9"/>
  <c r="B32" i="9"/>
  <c r="B38" i="9"/>
  <c r="B43" i="9"/>
  <c r="B59" i="9"/>
  <c r="B77" i="9"/>
  <c r="B93" i="9"/>
  <c r="B109" i="9"/>
  <c r="B3" i="9"/>
  <c r="C22" i="9"/>
  <c r="C26" i="9"/>
  <c r="C30" i="9"/>
  <c r="C34" i="9"/>
  <c r="C38" i="9"/>
  <c r="C42" i="9"/>
  <c r="C46" i="9"/>
  <c r="C50" i="9"/>
  <c r="C54" i="9"/>
  <c r="C58" i="9"/>
  <c r="C62" i="9"/>
  <c r="C66" i="9"/>
  <c r="C70" i="9"/>
  <c r="C74" i="9"/>
  <c r="C78" i="9"/>
  <c r="C82" i="9"/>
  <c r="C86" i="9"/>
  <c r="C90" i="9"/>
  <c r="C94" i="9"/>
  <c r="C98" i="9"/>
  <c r="C102" i="9"/>
  <c r="C106" i="9"/>
  <c r="C110" i="9"/>
  <c r="C114" i="9"/>
  <c r="C118" i="9"/>
  <c r="C122" i="9"/>
  <c r="C126" i="9"/>
  <c r="C130" i="9"/>
  <c r="C134" i="9"/>
  <c r="C138" i="9"/>
  <c r="C142" i="9"/>
  <c r="C146" i="9"/>
  <c r="C150" i="9"/>
  <c r="C154" i="9"/>
  <c r="C158" i="9"/>
  <c r="C162" i="9"/>
  <c r="C166" i="9"/>
  <c r="C170" i="9"/>
  <c r="C174" i="9"/>
  <c r="C178" i="9"/>
  <c r="C182" i="9"/>
  <c r="C186" i="9"/>
  <c r="C190" i="9"/>
  <c r="C19" i="9"/>
  <c r="C23" i="9"/>
  <c r="C27" i="9"/>
  <c r="C31" i="9"/>
  <c r="C21" i="9"/>
  <c r="C29" i="9"/>
  <c r="C36" i="9"/>
  <c r="C41" i="9"/>
  <c r="C47" i="9"/>
  <c r="C52" i="9"/>
  <c r="C57" i="9"/>
  <c r="C63" i="9"/>
  <c r="C68" i="9"/>
  <c r="C73" i="9"/>
  <c r="C79" i="9"/>
  <c r="C84" i="9"/>
  <c r="C89" i="9"/>
  <c r="C95" i="9"/>
  <c r="C100" i="9"/>
  <c r="C105" i="9"/>
  <c r="C111" i="9"/>
  <c r="C116" i="9"/>
  <c r="C121" i="9"/>
  <c r="C127" i="9"/>
  <c r="C132" i="9"/>
  <c r="C137" i="9"/>
  <c r="C143" i="9"/>
  <c r="C148" i="9"/>
  <c r="C153" i="9"/>
  <c r="C159" i="9"/>
  <c r="C164" i="9"/>
  <c r="C169" i="9"/>
  <c r="C175" i="9"/>
  <c r="C180" i="9"/>
  <c r="C185" i="9"/>
  <c r="C191" i="9"/>
  <c r="C24" i="9"/>
  <c r="C32" i="9"/>
  <c r="C37" i="9"/>
  <c r="C43" i="9"/>
  <c r="C48" i="9"/>
  <c r="C53" i="9"/>
  <c r="C59" i="9"/>
  <c r="C64" i="9"/>
  <c r="C69" i="9"/>
  <c r="C75" i="9"/>
  <c r="C80" i="9"/>
  <c r="C85" i="9"/>
  <c r="C91" i="9"/>
  <c r="C96" i="9"/>
  <c r="C101" i="9"/>
  <c r="C107" i="9"/>
  <c r="C112" i="9"/>
  <c r="C117" i="9"/>
  <c r="C123" i="9"/>
  <c r="C128" i="9"/>
  <c r="C133" i="9"/>
  <c r="C139" i="9"/>
  <c r="C144" i="9"/>
  <c r="C149" i="9"/>
  <c r="C155" i="9"/>
  <c r="C160" i="9"/>
  <c r="C165" i="9"/>
  <c r="C171" i="9"/>
  <c r="C176" i="9"/>
  <c r="C181" i="9"/>
  <c r="C187" i="9"/>
  <c r="C25" i="9"/>
  <c r="C33" i="9"/>
  <c r="C39" i="9"/>
  <c r="C44" i="9"/>
  <c r="C49" i="9"/>
  <c r="C55" i="9"/>
  <c r="C60" i="9"/>
  <c r="C65" i="9"/>
  <c r="C71" i="9"/>
  <c r="C76" i="9"/>
  <c r="C81" i="9"/>
  <c r="C87" i="9"/>
  <c r="C92" i="9"/>
  <c r="C97" i="9"/>
  <c r="C103" i="9"/>
  <c r="C108" i="9"/>
  <c r="C113" i="9"/>
  <c r="C119" i="9"/>
  <c r="C124" i="9"/>
  <c r="C129" i="9"/>
  <c r="C135" i="9"/>
  <c r="C140" i="9"/>
  <c r="C145" i="9"/>
  <c r="C151" i="9"/>
  <c r="C156" i="9"/>
  <c r="C161" i="9"/>
  <c r="C167" i="9"/>
  <c r="C172" i="9"/>
  <c r="C177" i="9"/>
  <c r="C183" i="9"/>
  <c r="C188" i="9"/>
  <c r="C20" i="9"/>
  <c r="C28" i="9"/>
  <c r="C35" i="9"/>
  <c r="C40" i="9"/>
  <c r="C45" i="9"/>
  <c r="C51" i="9"/>
  <c r="C56" i="9"/>
  <c r="C61" i="9"/>
  <c r="C67" i="9"/>
  <c r="C72" i="9"/>
  <c r="C77" i="9"/>
  <c r="C83" i="9"/>
  <c r="C88" i="9"/>
  <c r="C93" i="9"/>
  <c r="C99" i="9"/>
  <c r="C104" i="9"/>
  <c r="C109" i="9"/>
  <c r="C115" i="9"/>
  <c r="C120" i="9"/>
  <c r="C125" i="9"/>
  <c r="C131" i="9"/>
  <c r="C136" i="9"/>
  <c r="C141" i="9"/>
  <c r="C147" i="9"/>
  <c r="C152" i="9"/>
  <c r="C157" i="9"/>
  <c r="C163" i="9"/>
  <c r="C168" i="9"/>
  <c r="C173" i="9"/>
  <c r="C179" i="9"/>
  <c r="C184" i="9"/>
  <c r="C189" i="9"/>
  <c r="B2" i="9"/>
  <c r="D119" i="8"/>
  <c r="B130" i="9" s="1"/>
  <c r="C7" i="9"/>
  <c r="C11" i="9"/>
  <c r="C15" i="9"/>
  <c r="C3" i="9"/>
  <c r="C4" i="9"/>
  <c r="C8" i="9"/>
  <c r="C12" i="9"/>
  <c r="C16" i="9"/>
  <c r="C2" i="9"/>
  <c r="C5" i="9"/>
  <c r="C9" i="9"/>
  <c r="C13" i="9"/>
  <c r="C17" i="9"/>
  <c r="C6" i="9"/>
  <c r="C10" i="9"/>
  <c r="C14" i="9"/>
  <c r="C18" i="9"/>
  <c r="B5" i="9"/>
  <c r="B9" i="9"/>
  <c r="B13" i="9"/>
  <c r="B17" i="9"/>
  <c r="B11" i="9"/>
  <c r="B6" i="9"/>
  <c r="B10" i="9"/>
  <c r="B14" i="9"/>
  <c r="B18" i="9"/>
  <c r="B15" i="9"/>
  <c r="B4" i="9"/>
  <c r="B12" i="9"/>
  <c r="B7" i="9"/>
  <c r="B8" i="9"/>
  <c r="B16" i="9"/>
  <c r="E2" i="9" l="1"/>
  <c r="B105" i="9"/>
  <c r="B89" i="9"/>
  <c r="B73" i="9"/>
  <c r="B54" i="9"/>
  <c r="B112" i="9"/>
  <c r="B96" i="9"/>
  <c r="B80" i="9"/>
  <c r="B63" i="9"/>
  <c r="B103" i="9"/>
  <c r="B87" i="9"/>
  <c r="B71" i="9"/>
  <c r="B51" i="9"/>
  <c r="B114" i="9"/>
  <c r="B98" i="9"/>
  <c r="B82" i="9"/>
  <c r="B66" i="9"/>
  <c r="B53" i="9"/>
  <c r="B117" i="9"/>
  <c r="B101" i="9"/>
  <c r="B85" i="9"/>
  <c r="B69" i="9"/>
  <c r="B48" i="9"/>
  <c r="B108" i="9"/>
  <c r="B92" i="9"/>
  <c r="B76" i="9"/>
  <c r="B58" i="9"/>
  <c r="B115" i="9"/>
  <c r="B99" i="9"/>
  <c r="B83" i="9"/>
  <c r="B67" i="9"/>
  <c r="B46" i="9"/>
  <c r="B110" i="9"/>
  <c r="B94" i="9"/>
  <c r="B78" i="9"/>
  <c r="B60" i="9"/>
  <c r="B65" i="9"/>
  <c r="B49" i="9"/>
  <c r="B113" i="9"/>
  <c r="B97" i="9"/>
  <c r="B81" i="9"/>
  <c r="B64" i="9"/>
  <c r="B104" i="9"/>
  <c r="B88" i="9"/>
  <c r="B72" i="9"/>
  <c r="B52" i="9"/>
  <c r="B111" i="9"/>
  <c r="B95" i="9"/>
  <c r="B79" i="9"/>
  <c r="B62" i="9"/>
  <c r="B106" i="9"/>
  <c r="B90" i="9"/>
  <c r="B74" i="9"/>
  <c r="B55" i="9"/>
  <c r="B61" i="9"/>
  <c r="B177" i="9"/>
  <c r="B184" i="9"/>
  <c r="B165" i="9"/>
  <c r="B145" i="9"/>
  <c r="B129" i="9"/>
  <c r="B172" i="9"/>
  <c r="B156" i="9"/>
  <c r="B140" i="9"/>
  <c r="B124" i="9"/>
  <c r="B191" i="9"/>
  <c r="B175" i="9"/>
  <c r="B159" i="9"/>
  <c r="B143" i="9"/>
  <c r="B127" i="9"/>
  <c r="B185" i="9"/>
  <c r="B169" i="9"/>
  <c r="B157" i="9"/>
  <c r="B141" i="9"/>
  <c r="B125" i="9"/>
  <c r="B188" i="9"/>
  <c r="B168" i="9"/>
  <c r="B152" i="9"/>
  <c r="B136" i="9"/>
  <c r="B120" i="9"/>
  <c r="B187" i="9"/>
  <c r="B171" i="9"/>
  <c r="B155" i="9"/>
  <c r="B139" i="9"/>
  <c r="B123" i="9"/>
  <c r="B190" i="9"/>
  <c r="B174" i="9"/>
  <c r="B158" i="9"/>
  <c r="B142" i="9"/>
  <c r="B126" i="9"/>
  <c r="B173" i="9"/>
  <c r="B153" i="9"/>
  <c r="B137" i="9"/>
  <c r="B121" i="9"/>
  <c r="B180" i="9"/>
  <c r="B164" i="9"/>
  <c r="B148" i="9"/>
  <c r="B132" i="9"/>
  <c r="B183" i="9"/>
  <c r="B167" i="9"/>
  <c r="B151" i="9"/>
  <c r="B135" i="9"/>
  <c r="B119" i="9"/>
  <c r="B186" i="9"/>
  <c r="B170" i="9"/>
  <c r="B154" i="9"/>
  <c r="B138" i="9"/>
  <c r="B122" i="9"/>
  <c r="E19" i="9"/>
  <c r="E23" i="9"/>
  <c r="E27" i="9"/>
  <c r="E31" i="9"/>
  <c r="E35" i="9"/>
  <c r="E39" i="9"/>
  <c r="E43" i="9"/>
  <c r="E47" i="9"/>
  <c r="E51" i="9"/>
  <c r="E55" i="9"/>
  <c r="E59" i="9"/>
  <c r="E63" i="9"/>
  <c r="E67" i="9"/>
  <c r="E71" i="9"/>
  <c r="E75" i="9"/>
  <c r="E79" i="9"/>
  <c r="E83" i="9"/>
  <c r="E87" i="9"/>
  <c r="E91" i="9"/>
  <c r="E95" i="9"/>
  <c r="E99" i="9"/>
  <c r="E103" i="9"/>
  <c r="E20" i="9"/>
  <c r="E24" i="9"/>
  <c r="E28" i="9"/>
  <c r="E32" i="9"/>
  <c r="E36" i="9"/>
  <c r="E40" i="9"/>
  <c r="E44" i="9"/>
  <c r="E48" i="9"/>
  <c r="E52" i="9"/>
  <c r="E56" i="9"/>
  <c r="E60" i="9"/>
  <c r="E64" i="9"/>
  <c r="E68" i="9"/>
  <c r="E72" i="9"/>
  <c r="E76" i="9"/>
  <c r="E80" i="9"/>
  <c r="E84" i="9"/>
  <c r="E88" i="9"/>
  <c r="E92" i="9"/>
  <c r="E96" i="9"/>
  <c r="E100" i="9"/>
  <c r="E104" i="9"/>
  <c r="E21" i="9"/>
  <c r="E25" i="9"/>
  <c r="E29" i="9"/>
  <c r="E33" i="9"/>
  <c r="E37" i="9"/>
  <c r="E41" i="9"/>
  <c r="E45" i="9"/>
  <c r="E49" i="9"/>
  <c r="E53" i="9"/>
  <c r="E57" i="9"/>
  <c r="E61" i="9"/>
  <c r="E65" i="9"/>
  <c r="E69" i="9"/>
  <c r="E73" i="9"/>
  <c r="E77" i="9"/>
  <c r="E81" i="9"/>
  <c r="E85" i="9"/>
  <c r="E89" i="9"/>
  <c r="E93" i="9"/>
  <c r="E97" i="9"/>
  <c r="E101" i="9"/>
  <c r="E105" i="9"/>
  <c r="E22" i="9"/>
  <c r="E26" i="9"/>
  <c r="E30" i="9"/>
  <c r="E34" i="9"/>
  <c r="E38" i="9"/>
  <c r="E42" i="9"/>
  <c r="E46" i="9"/>
  <c r="E50" i="9"/>
  <c r="E54" i="9"/>
  <c r="E58" i="9"/>
  <c r="E62" i="9"/>
  <c r="E66" i="9"/>
  <c r="E70" i="9"/>
  <c r="E74" i="9"/>
  <c r="E78" i="9"/>
  <c r="E82" i="9"/>
  <c r="E86" i="9"/>
  <c r="E90" i="9"/>
  <c r="E94" i="9"/>
  <c r="E98" i="9"/>
  <c r="E102" i="9"/>
  <c r="E106" i="9"/>
  <c r="E109" i="9"/>
  <c r="E113" i="9"/>
  <c r="E117" i="9"/>
  <c r="E121" i="9"/>
  <c r="E125" i="9"/>
  <c r="E129" i="9"/>
  <c r="E133" i="9"/>
  <c r="E137" i="9"/>
  <c r="E141" i="9"/>
  <c r="E145" i="9"/>
  <c r="E149" i="9"/>
  <c r="E153" i="9"/>
  <c r="E157" i="9"/>
  <c r="E161" i="9"/>
  <c r="E165" i="9"/>
  <c r="E169" i="9"/>
  <c r="E173" i="9"/>
  <c r="E177" i="9"/>
  <c r="E181" i="9"/>
  <c r="E185" i="9"/>
  <c r="E189" i="9"/>
  <c r="E3" i="9"/>
  <c r="E7" i="9"/>
  <c r="E11" i="9"/>
  <c r="E15" i="9"/>
  <c r="E110" i="9"/>
  <c r="E114" i="9"/>
  <c r="E118" i="9"/>
  <c r="E122" i="9"/>
  <c r="E126" i="9"/>
  <c r="E130" i="9"/>
  <c r="E134" i="9"/>
  <c r="E138" i="9"/>
  <c r="E142" i="9"/>
  <c r="E146" i="9"/>
  <c r="E150" i="9"/>
  <c r="E154" i="9"/>
  <c r="E158" i="9"/>
  <c r="E162" i="9"/>
  <c r="E166" i="9"/>
  <c r="E170" i="9"/>
  <c r="E174" i="9"/>
  <c r="E178" i="9"/>
  <c r="E182" i="9"/>
  <c r="E186" i="9"/>
  <c r="E190" i="9"/>
  <c r="E4" i="9"/>
  <c r="E8" i="9"/>
  <c r="E12" i="9"/>
  <c r="E16" i="9"/>
  <c r="E108" i="9"/>
  <c r="E116" i="9"/>
  <c r="E124" i="9"/>
  <c r="E132" i="9"/>
  <c r="E140" i="9"/>
  <c r="E148" i="9"/>
  <c r="E156" i="9"/>
  <c r="E164" i="9"/>
  <c r="E172" i="9"/>
  <c r="E180" i="9"/>
  <c r="E188" i="9"/>
  <c r="E6" i="9"/>
  <c r="E14" i="9"/>
  <c r="E111" i="9"/>
  <c r="E119" i="9"/>
  <c r="E127" i="9"/>
  <c r="E135" i="9"/>
  <c r="E143" i="9"/>
  <c r="E151" i="9"/>
  <c r="E159" i="9"/>
  <c r="E167" i="9"/>
  <c r="E175" i="9"/>
  <c r="E183" i="9"/>
  <c r="E191" i="9"/>
  <c r="E9" i="9"/>
  <c r="E17" i="9"/>
  <c r="E112" i="9"/>
  <c r="E120" i="9"/>
  <c r="E128" i="9"/>
  <c r="E136" i="9"/>
  <c r="E144" i="9"/>
  <c r="E152" i="9"/>
  <c r="E160" i="9"/>
  <c r="E168" i="9"/>
  <c r="E176" i="9"/>
  <c r="E184" i="9"/>
  <c r="E10" i="9"/>
  <c r="E18" i="9"/>
  <c r="E107" i="9"/>
  <c r="E115" i="9"/>
  <c r="E123" i="9"/>
  <c r="E131" i="9"/>
  <c r="E139" i="9"/>
  <c r="E147" i="9"/>
  <c r="E155" i="9"/>
  <c r="E163" i="9"/>
  <c r="E171" i="9"/>
  <c r="E179" i="9"/>
  <c r="E187" i="9"/>
  <c r="E5" i="9"/>
  <c r="E13" i="9"/>
  <c r="B161" i="9"/>
  <c r="B189" i="9"/>
  <c r="B181" i="9"/>
  <c r="B149" i="9"/>
  <c r="B133" i="9"/>
  <c r="B176" i="9"/>
  <c r="B160" i="9"/>
  <c r="B144" i="9"/>
  <c r="B128" i="9"/>
  <c r="B179" i="9"/>
  <c r="B163" i="9"/>
  <c r="B147" i="9"/>
  <c r="B131" i="9"/>
  <c r="B182" i="9"/>
  <c r="B166" i="9"/>
  <c r="B150" i="9"/>
  <c r="B134" i="9"/>
  <c r="B178" i="9"/>
  <c r="B162" i="9"/>
  <c r="B146" i="9"/>
  <c r="F40" i="9" l="1"/>
  <c r="G40" i="9" s="1"/>
  <c r="B40" i="10" s="1"/>
  <c r="F28" i="9"/>
  <c r="G28" i="9" s="1"/>
  <c r="B28" i="10" s="1"/>
  <c r="F16" i="9"/>
  <c r="G16" i="9" s="1"/>
  <c r="B16" i="10" s="1"/>
  <c r="F18" i="9"/>
  <c r="G18" i="9" s="1"/>
  <c r="B18" i="10" s="1"/>
  <c r="F179" i="9"/>
  <c r="G179" i="9" s="1"/>
  <c r="B179" i="10" s="1"/>
  <c r="F147" i="9"/>
  <c r="G147" i="9" s="1"/>
  <c r="B147" i="10" s="1"/>
  <c r="F115" i="9"/>
  <c r="G115" i="9" s="1"/>
  <c r="B115" i="10" s="1"/>
  <c r="F83" i="9"/>
  <c r="G83" i="9" s="1"/>
  <c r="B83" i="10" s="1"/>
  <c r="F51" i="9"/>
  <c r="G51" i="9" s="1"/>
  <c r="B51" i="10" s="1"/>
  <c r="F19" i="9"/>
  <c r="G19" i="9" s="1"/>
  <c r="B19" i="10" s="1"/>
  <c r="F162" i="9"/>
  <c r="G162" i="9" s="1"/>
  <c r="B162" i="10" s="1"/>
  <c r="F130" i="9"/>
  <c r="G130" i="9" s="1"/>
  <c r="B130" i="10" s="1"/>
  <c r="F98" i="9"/>
  <c r="G98" i="9" s="1"/>
  <c r="B98" i="10" s="1"/>
  <c r="F66" i="9"/>
  <c r="F34" i="9"/>
  <c r="G34" i="9" s="1"/>
  <c r="B34" i="10" s="1"/>
  <c r="F173" i="9"/>
  <c r="G173" i="9" s="1"/>
  <c r="B173" i="10" s="1"/>
  <c r="F141" i="9"/>
  <c r="F109" i="9"/>
  <c r="G109" i="9" s="1"/>
  <c r="B109" i="10" s="1"/>
  <c r="F77" i="9"/>
  <c r="G77" i="9" s="1"/>
  <c r="B77" i="10" s="1"/>
  <c r="F29" i="9"/>
  <c r="G29" i="9" s="1"/>
  <c r="B29" i="10" s="1"/>
  <c r="F104" i="9"/>
  <c r="G104" i="9" s="1"/>
  <c r="B104" i="10" s="1"/>
  <c r="F88" i="9"/>
  <c r="G88" i="9" s="1"/>
  <c r="B88" i="10" s="1"/>
  <c r="F56" i="9"/>
  <c r="F24" i="9"/>
  <c r="G24" i="9" s="1"/>
  <c r="B24" i="10" s="1"/>
  <c r="G141" i="9"/>
  <c r="B141" i="10" s="1"/>
  <c r="F4" i="9"/>
  <c r="G4" i="9" s="1"/>
  <c r="B4" i="10" s="1"/>
  <c r="F8" i="9"/>
  <c r="G8" i="9" s="1"/>
  <c r="B8" i="10" s="1"/>
  <c r="F11" i="9"/>
  <c r="G11" i="9" s="1"/>
  <c r="B11" i="10" s="1"/>
  <c r="F14" i="9"/>
  <c r="G14" i="9" s="1"/>
  <c r="B14" i="10" s="1"/>
  <c r="F191" i="9"/>
  <c r="G191" i="9" s="1"/>
  <c r="B191" i="10" s="1"/>
  <c r="F175" i="9"/>
  <c r="G175" i="9" s="1"/>
  <c r="B175" i="10" s="1"/>
  <c r="F159" i="9"/>
  <c r="G159" i="9" s="1"/>
  <c r="B159" i="10" s="1"/>
  <c r="F143" i="9"/>
  <c r="G143" i="9" s="1"/>
  <c r="B143" i="10" s="1"/>
  <c r="F127" i="9"/>
  <c r="G127" i="9" s="1"/>
  <c r="B127" i="10" s="1"/>
  <c r="F111" i="9"/>
  <c r="G111" i="9" s="1"/>
  <c r="B111" i="10" s="1"/>
  <c r="F95" i="9"/>
  <c r="G95" i="9" s="1"/>
  <c r="B95" i="10" s="1"/>
  <c r="F79" i="9"/>
  <c r="G79" i="9" s="1"/>
  <c r="B79" i="10" s="1"/>
  <c r="F63" i="9"/>
  <c r="F47" i="9"/>
  <c r="G47" i="9" s="1"/>
  <c r="B47" i="10" s="1"/>
  <c r="F31" i="9"/>
  <c r="G31" i="9" s="1"/>
  <c r="B31" i="10" s="1"/>
  <c r="F190" i="9"/>
  <c r="G190" i="9" s="1"/>
  <c r="B190" i="10" s="1"/>
  <c r="F174" i="9"/>
  <c r="G174" i="9" s="1"/>
  <c r="B174" i="10" s="1"/>
  <c r="F158" i="9"/>
  <c r="G158" i="9" s="1"/>
  <c r="B158" i="10" s="1"/>
  <c r="F142" i="9"/>
  <c r="G142" i="9" s="1"/>
  <c r="B142" i="10" s="1"/>
  <c r="F126" i="9"/>
  <c r="G126" i="9" s="1"/>
  <c r="B126" i="10" s="1"/>
  <c r="F110" i="9"/>
  <c r="G110" i="9" s="1"/>
  <c r="B110" i="10" s="1"/>
  <c r="F94" i="9"/>
  <c r="G94" i="9" s="1"/>
  <c r="B94" i="10" s="1"/>
  <c r="F78" i="9"/>
  <c r="G78" i="9" s="1"/>
  <c r="B78" i="10" s="1"/>
  <c r="F62" i="9"/>
  <c r="G62" i="9" s="1"/>
  <c r="B62" i="10" s="1"/>
  <c r="F46" i="9"/>
  <c r="G46" i="9" s="1"/>
  <c r="B46" i="10" s="1"/>
  <c r="F30" i="9"/>
  <c r="G30" i="9" s="1"/>
  <c r="B30" i="10" s="1"/>
  <c r="F185" i="9"/>
  <c r="G185" i="9" s="1"/>
  <c r="B185" i="10" s="1"/>
  <c r="F169" i="9"/>
  <c r="G169" i="9" s="1"/>
  <c r="B169" i="10" s="1"/>
  <c r="F153" i="9"/>
  <c r="G153" i="9" s="1"/>
  <c r="B153" i="10" s="1"/>
  <c r="F137" i="9"/>
  <c r="G137" i="9" s="1"/>
  <c r="B137" i="10" s="1"/>
  <c r="F121" i="9"/>
  <c r="G121" i="9" s="1"/>
  <c r="B121" i="10" s="1"/>
  <c r="F105" i="9"/>
  <c r="G105" i="9" s="1"/>
  <c r="B105" i="10" s="1"/>
  <c r="F89" i="9"/>
  <c r="G89" i="9" s="1"/>
  <c r="B89" i="10" s="1"/>
  <c r="F73" i="9"/>
  <c r="G73" i="9" s="1"/>
  <c r="B73" i="10" s="1"/>
  <c r="F57" i="9"/>
  <c r="G57" i="9" s="1"/>
  <c r="B57" i="10" s="1"/>
  <c r="F41" i="9"/>
  <c r="G41" i="9" s="1"/>
  <c r="B41" i="10" s="1"/>
  <c r="F25" i="9"/>
  <c r="G25" i="9" s="1"/>
  <c r="B25" i="10" s="1"/>
  <c r="F180" i="9"/>
  <c r="G180" i="9" s="1"/>
  <c r="B180" i="10" s="1"/>
  <c r="F164" i="9"/>
  <c r="G164" i="9" s="1"/>
  <c r="B164" i="10" s="1"/>
  <c r="F148" i="9"/>
  <c r="G148" i="9" s="1"/>
  <c r="B148" i="10" s="1"/>
  <c r="F132" i="9"/>
  <c r="G132" i="9" s="1"/>
  <c r="B132" i="10" s="1"/>
  <c r="F116" i="9"/>
  <c r="G116" i="9" s="1"/>
  <c r="B116" i="10" s="1"/>
  <c r="F100" i="9"/>
  <c r="G100" i="9" s="1"/>
  <c r="B100" i="10" s="1"/>
  <c r="F84" i="9"/>
  <c r="G84" i="9" s="1"/>
  <c r="B84" i="10" s="1"/>
  <c r="F68" i="9"/>
  <c r="G68" i="9" s="1"/>
  <c r="B68" i="10" s="1"/>
  <c r="F52" i="9"/>
  <c r="G52" i="9" s="1"/>
  <c r="B52" i="10" s="1"/>
  <c r="F36" i="9"/>
  <c r="G36" i="9" s="1"/>
  <c r="B36" i="10" s="1"/>
  <c r="F20" i="9"/>
  <c r="G20" i="9" s="1"/>
  <c r="B20" i="10" s="1"/>
  <c r="G66" i="9"/>
  <c r="B66" i="10" s="1"/>
  <c r="F12" i="9"/>
  <c r="G12" i="9" s="1"/>
  <c r="B12" i="10" s="1"/>
  <c r="F15" i="9"/>
  <c r="G15" i="9" s="1"/>
  <c r="B15" i="10" s="1"/>
  <c r="F2" i="9"/>
  <c r="G2" i="9" s="1"/>
  <c r="B2" i="10" s="1"/>
  <c r="F163" i="9"/>
  <c r="G163" i="9" s="1"/>
  <c r="B163" i="10" s="1"/>
  <c r="F131" i="9"/>
  <c r="G131" i="9" s="1"/>
  <c r="B131" i="10" s="1"/>
  <c r="F99" i="9"/>
  <c r="G99" i="9" s="1"/>
  <c r="B99" i="10" s="1"/>
  <c r="F67" i="9"/>
  <c r="G67" i="9" s="1"/>
  <c r="B67" i="10" s="1"/>
  <c r="F35" i="9"/>
  <c r="G35" i="9" s="1"/>
  <c r="B35" i="10" s="1"/>
  <c r="F178" i="9"/>
  <c r="G178" i="9" s="1"/>
  <c r="B178" i="10" s="1"/>
  <c r="F146" i="9"/>
  <c r="G146" i="9" s="1"/>
  <c r="B146" i="10" s="1"/>
  <c r="F114" i="9"/>
  <c r="G114" i="9" s="1"/>
  <c r="B114" i="10" s="1"/>
  <c r="F82" i="9"/>
  <c r="G82" i="9" s="1"/>
  <c r="B82" i="10" s="1"/>
  <c r="F50" i="9"/>
  <c r="G50" i="9" s="1"/>
  <c r="B50" i="10" s="1"/>
  <c r="F189" i="9"/>
  <c r="G189" i="9" s="1"/>
  <c r="B189" i="10" s="1"/>
  <c r="F157" i="9"/>
  <c r="G157" i="9" s="1"/>
  <c r="B157" i="10" s="1"/>
  <c r="F125" i="9"/>
  <c r="G125" i="9" s="1"/>
  <c r="B125" i="10" s="1"/>
  <c r="F93" i="9"/>
  <c r="G93" i="9" s="1"/>
  <c r="B93" i="10" s="1"/>
  <c r="F61" i="9"/>
  <c r="G61" i="9" s="1"/>
  <c r="B61" i="10" s="1"/>
  <c r="F45" i="9"/>
  <c r="G45" i="9" s="1"/>
  <c r="B45" i="10" s="1"/>
  <c r="F184" i="9"/>
  <c r="G184" i="9" s="1"/>
  <c r="B184" i="10" s="1"/>
  <c r="F168" i="9"/>
  <c r="G168" i="9" s="1"/>
  <c r="B168" i="10" s="1"/>
  <c r="F152" i="9"/>
  <c r="G152" i="9" s="1"/>
  <c r="B152" i="10" s="1"/>
  <c r="F136" i="9"/>
  <c r="G136" i="9" s="1"/>
  <c r="B136" i="10" s="1"/>
  <c r="F120" i="9"/>
  <c r="G120" i="9" s="1"/>
  <c r="B120" i="10" s="1"/>
  <c r="F72" i="9"/>
  <c r="G72" i="9" s="1"/>
  <c r="B72" i="10" s="1"/>
  <c r="G56" i="9"/>
  <c r="B56" i="10" s="1"/>
  <c r="G63" i="9"/>
  <c r="B63" i="10" s="1"/>
  <c r="F17" i="9"/>
  <c r="G17" i="9" s="1"/>
  <c r="B17" i="10" s="1"/>
  <c r="F13" i="9"/>
  <c r="G13" i="9" s="1"/>
  <c r="B13" i="10" s="1"/>
  <c r="F7" i="9"/>
  <c r="G7" i="9" s="1"/>
  <c r="B7" i="10" s="1"/>
  <c r="F10" i="9"/>
  <c r="G10" i="9" s="1"/>
  <c r="B10" i="10" s="1"/>
  <c r="F187" i="9"/>
  <c r="G187" i="9" s="1"/>
  <c r="B187" i="10" s="1"/>
  <c r="F171" i="9"/>
  <c r="G171" i="9" s="1"/>
  <c r="B171" i="10" s="1"/>
  <c r="F155" i="9"/>
  <c r="G155" i="9" s="1"/>
  <c r="B155" i="10" s="1"/>
  <c r="F139" i="9"/>
  <c r="G139" i="9" s="1"/>
  <c r="B139" i="10" s="1"/>
  <c r="F123" i="9"/>
  <c r="G123" i="9" s="1"/>
  <c r="B123" i="10" s="1"/>
  <c r="F107" i="9"/>
  <c r="G107" i="9" s="1"/>
  <c r="B107" i="10" s="1"/>
  <c r="F91" i="9"/>
  <c r="G91" i="9" s="1"/>
  <c r="B91" i="10" s="1"/>
  <c r="F75" i="9"/>
  <c r="G75" i="9" s="1"/>
  <c r="B75" i="10" s="1"/>
  <c r="F59" i="9"/>
  <c r="G59" i="9" s="1"/>
  <c r="B59" i="10" s="1"/>
  <c r="F43" i="9"/>
  <c r="G43" i="9" s="1"/>
  <c r="B43" i="10" s="1"/>
  <c r="F27" i="9"/>
  <c r="G27" i="9" s="1"/>
  <c r="B27" i="10" s="1"/>
  <c r="F186" i="9"/>
  <c r="G186" i="9" s="1"/>
  <c r="B186" i="10" s="1"/>
  <c r="F170" i="9"/>
  <c r="G170" i="9" s="1"/>
  <c r="B170" i="10" s="1"/>
  <c r="F154" i="9"/>
  <c r="G154" i="9" s="1"/>
  <c r="B154" i="10" s="1"/>
  <c r="F138" i="9"/>
  <c r="G138" i="9" s="1"/>
  <c r="B138" i="10" s="1"/>
  <c r="F122" i="9"/>
  <c r="G122" i="9" s="1"/>
  <c r="B122" i="10" s="1"/>
  <c r="F106" i="9"/>
  <c r="G106" i="9" s="1"/>
  <c r="B106" i="10" s="1"/>
  <c r="F90" i="9"/>
  <c r="G90" i="9" s="1"/>
  <c r="B90" i="10" s="1"/>
  <c r="F74" i="9"/>
  <c r="G74" i="9" s="1"/>
  <c r="B74" i="10" s="1"/>
  <c r="F58" i="9"/>
  <c r="G58" i="9" s="1"/>
  <c r="B58" i="10" s="1"/>
  <c r="F42" i="9"/>
  <c r="G42" i="9" s="1"/>
  <c r="B42" i="10" s="1"/>
  <c r="F26" i="9"/>
  <c r="G26" i="9" s="1"/>
  <c r="B26" i="10" s="1"/>
  <c r="F181" i="9"/>
  <c r="G181" i="9" s="1"/>
  <c r="B181" i="10" s="1"/>
  <c r="F165" i="9"/>
  <c r="G165" i="9" s="1"/>
  <c r="B165" i="10" s="1"/>
  <c r="F149" i="9"/>
  <c r="G149" i="9" s="1"/>
  <c r="B149" i="10" s="1"/>
  <c r="F133" i="9"/>
  <c r="G133" i="9" s="1"/>
  <c r="B133" i="10" s="1"/>
  <c r="F117" i="9"/>
  <c r="G117" i="9" s="1"/>
  <c r="B117" i="10" s="1"/>
  <c r="F101" i="9"/>
  <c r="G101" i="9" s="1"/>
  <c r="B101" i="10" s="1"/>
  <c r="F85" i="9"/>
  <c r="G85" i="9" s="1"/>
  <c r="B85" i="10" s="1"/>
  <c r="F69" i="9"/>
  <c r="G69" i="9" s="1"/>
  <c r="B69" i="10" s="1"/>
  <c r="F53" i="9"/>
  <c r="G53" i="9" s="1"/>
  <c r="B53" i="10" s="1"/>
  <c r="F37" i="9"/>
  <c r="G37" i="9" s="1"/>
  <c r="B37" i="10" s="1"/>
  <c r="F21" i="9"/>
  <c r="G21" i="9" s="1"/>
  <c r="B21" i="10" s="1"/>
  <c r="F176" i="9"/>
  <c r="G176" i="9" s="1"/>
  <c r="B176" i="10" s="1"/>
  <c r="F160" i="9"/>
  <c r="G160" i="9" s="1"/>
  <c r="B160" i="10" s="1"/>
  <c r="F144" i="9"/>
  <c r="G144" i="9" s="1"/>
  <c r="B144" i="10" s="1"/>
  <c r="F128" i="9"/>
  <c r="G128" i="9" s="1"/>
  <c r="B128" i="10" s="1"/>
  <c r="F112" i="9"/>
  <c r="G112" i="9" s="1"/>
  <c r="B112" i="10" s="1"/>
  <c r="F96" i="9"/>
  <c r="G96" i="9" s="1"/>
  <c r="B96" i="10" s="1"/>
  <c r="F80" i="9"/>
  <c r="G80" i="9" s="1"/>
  <c r="B80" i="10" s="1"/>
  <c r="F64" i="9"/>
  <c r="G64" i="9" s="1"/>
  <c r="B64" i="10" s="1"/>
  <c r="F48" i="9"/>
  <c r="G48" i="9" s="1"/>
  <c r="B48" i="10" s="1"/>
  <c r="F32" i="9"/>
  <c r="G32" i="9" s="1"/>
  <c r="B32" i="10" s="1"/>
  <c r="F9" i="9"/>
  <c r="G9" i="9" s="1"/>
  <c r="B9" i="10" s="1"/>
  <c r="F5" i="9"/>
  <c r="G5" i="9" s="1"/>
  <c r="B5" i="10" s="1"/>
  <c r="F3" i="9"/>
  <c r="G3" i="9" s="1"/>
  <c r="B3" i="10" s="1"/>
  <c r="F6" i="9"/>
  <c r="G6" i="9" s="1"/>
  <c r="B6" i="10" s="1"/>
  <c r="F183" i="9"/>
  <c r="G183" i="9" s="1"/>
  <c r="B183" i="10" s="1"/>
  <c r="F167" i="9"/>
  <c r="G167" i="9" s="1"/>
  <c r="B167" i="10" s="1"/>
  <c r="F151" i="9"/>
  <c r="G151" i="9" s="1"/>
  <c r="B151" i="10" s="1"/>
  <c r="F135" i="9"/>
  <c r="G135" i="9" s="1"/>
  <c r="B135" i="10" s="1"/>
  <c r="F119" i="9"/>
  <c r="G119" i="9" s="1"/>
  <c r="B119" i="10" s="1"/>
  <c r="F103" i="9"/>
  <c r="G103" i="9" s="1"/>
  <c r="B103" i="10" s="1"/>
  <c r="F87" i="9"/>
  <c r="G87" i="9" s="1"/>
  <c r="B87" i="10" s="1"/>
  <c r="F71" i="9"/>
  <c r="G71" i="9" s="1"/>
  <c r="B71" i="10" s="1"/>
  <c r="F55" i="9"/>
  <c r="G55" i="9" s="1"/>
  <c r="B55" i="10" s="1"/>
  <c r="F39" i="9"/>
  <c r="G39" i="9" s="1"/>
  <c r="B39" i="10" s="1"/>
  <c r="F23" i="9"/>
  <c r="G23" i="9" s="1"/>
  <c r="B23" i="10" s="1"/>
  <c r="F182" i="9"/>
  <c r="G182" i="9" s="1"/>
  <c r="B182" i="10" s="1"/>
  <c r="F166" i="9"/>
  <c r="G166" i="9" s="1"/>
  <c r="B166" i="10" s="1"/>
  <c r="F150" i="9"/>
  <c r="G150" i="9" s="1"/>
  <c r="B150" i="10" s="1"/>
  <c r="F134" i="9"/>
  <c r="G134" i="9" s="1"/>
  <c r="B134" i="10" s="1"/>
  <c r="F118" i="9"/>
  <c r="G118" i="9" s="1"/>
  <c r="B118" i="10" s="1"/>
  <c r="F102" i="9"/>
  <c r="G102" i="9" s="1"/>
  <c r="B102" i="10" s="1"/>
  <c r="F86" i="9"/>
  <c r="G86" i="9" s="1"/>
  <c r="B86" i="10" s="1"/>
  <c r="F70" i="9"/>
  <c r="G70" i="9" s="1"/>
  <c r="B70" i="10" s="1"/>
  <c r="F54" i="9"/>
  <c r="G54" i="9" s="1"/>
  <c r="B54" i="10" s="1"/>
  <c r="F38" i="9"/>
  <c r="G38" i="9" s="1"/>
  <c r="B38" i="10" s="1"/>
  <c r="F22" i="9"/>
  <c r="G22" i="9" s="1"/>
  <c r="B22" i="10" s="1"/>
  <c r="F177" i="9"/>
  <c r="G177" i="9" s="1"/>
  <c r="B177" i="10" s="1"/>
  <c r="F161" i="9"/>
  <c r="G161" i="9" s="1"/>
  <c r="B161" i="10" s="1"/>
  <c r="F145" i="9"/>
  <c r="G145" i="9" s="1"/>
  <c r="B145" i="10" s="1"/>
  <c r="F129" i="9"/>
  <c r="G129" i="9" s="1"/>
  <c r="B129" i="10" s="1"/>
  <c r="F113" i="9"/>
  <c r="G113" i="9" s="1"/>
  <c r="B113" i="10" s="1"/>
  <c r="F97" i="9"/>
  <c r="G97" i="9" s="1"/>
  <c r="B97" i="10" s="1"/>
  <c r="F81" i="9"/>
  <c r="G81" i="9" s="1"/>
  <c r="B81" i="10" s="1"/>
  <c r="F65" i="9"/>
  <c r="G65" i="9" s="1"/>
  <c r="B65" i="10" s="1"/>
  <c r="F49" i="9"/>
  <c r="G49" i="9" s="1"/>
  <c r="B49" i="10" s="1"/>
  <c r="F33" i="9"/>
  <c r="G33" i="9" s="1"/>
  <c r="B33" i="10" s="1"/>
  <c r="F188" i="9"/>
  <c r="G188" i="9" s="1"/>
  <c r="B188" i="10" s="1"/>
  <c r="F172" i="9"/>
  <c r="G172" i="9" s="1"/>
  <c r="B172" i="10" s="1"/>
  <c r="F156" i="9"/>
  <c r="G156" i="9" s="1"/>
  <c r="B156" i="10" s="1"/>
  <c r="F140" i="9"/>
  <c r="G140" i="9" s="1"/>
  <c r="B140" i="10" s="1"/>
  <c r="F124" i="9"/>
  <c r="G124" i="9" s="1"/>
  <c r="B124" i="10" s="1"/>
  <c r="F108" i="9"/>
  <c r="G108" i="9" s="1"/>
  <c r="B108" i="10" s="1"/>
  <c r="F92" i="9"/>
  <c r="G92" i="9" s="1"/>
  <c r="B92" i="10" s="1"/>
  <c r="F76" i="9"/>
  <c r="G76" i="9" s="1"/>
  <c r="B76" i="10" s="1"/>
  <c r="F60" i="9"/>
  <c r="G60" i="9" s="1"/>
  <c r="B60" i="10" s="1"/>
  <c r="F44" i="9"/>
  <c r="G44" i="9" s="1"/>
  <c r="B44" i="10" s="1"/>
</calcChain>
</file>

<file path=xl/sharedStrings.xml><?xml version="1.0" encoding="utf-8"?>
<sst xmlns="http://schemas.openxmlformats.org/spreadsheetml/2006/main" count="41" uniqueCount="24">
  <si>
    <t>Выгодно</t>
  </si>
  <si>
    <t>Дороговато, но куплю</t>
  </si>
  <si>
    <t>Слишком дорого</t>
  </si>
  <si>
    <t>Сомнительно дешево</t>
  </si>
  <si>
    <t>%</t>
  </si>
  <si>
    <t>Подозрительно дешево</t>
  </si>
  <si>
    <t>Выгодная покупка</t>
  </si>
  <si>
    <t>Value</t>
  </si>
  <si>
    <t>Probability</t>
  </si>
  <si>
    <t>ID</t>
  </si>
  <si>
    <t>Выгодная покупка: Вероятность покупки</t>
  </si>
  <si>
    <t>Дороговато, но куплю: Вероятность покупки</t>
  </si>
  <si>
    <t>Дороговато, но куплю: Вероятность покупки с поправкой</t>
  </si>
  <si>
    <t>Разница вероятностей</t>
  </si>
  <si>
    <t>Уровень цен</t>
  </si>
  <si>
    <t>Total Purchase Likelihood - Expensive</t>
  </si>
  <si>
    <t>Total Purchase Likelihood - Difference</t>
  </si>
  <si>
    <t>Cumulative Difference</t>
  </si>
  <si>
    <t>Cumulative Expensive</t>
  </si>
  <si>
    <t>Reverce Cumulative Expensive</t>
  </si>
  <si>
    <t>Reverse Cumulative Difference</t>
  </si>
  <si>
    <t>AVG Cumulative purchase likelihood</t>
  </si>
  <si>
    <t>Revenue (assuming 1000 units offered)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</si>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</sst>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"/>
    <numFmt numFmtId="165" formatCode="0.0000000000"/>
  </numFmts>
  <fonts count="4" x14ac:knownFonts="1"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164" fontId="0" fillId="0" borderId="0" xfId="1" applyNumberFormat="1" applyFon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" fontId="0" fillId="0" borderId="0" xfId="0" applyNumberFormat="1"/>
    <xf numFmtId="9" fontId="0" fillId="0" borderId="0" xfId="2" applyFont="1"/>
    <xf numFmtId="0" fontId="3" fillId="0" borderId="0" xfId="0" applyFont="1"/>
  </cellXfs>
  <cellStyles count="3">
    <cellStyle name="Обычный" xfId="0" builtinId="0"/>
    <cellStyle name="Процентный" xfId="2" builtinId="5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6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chartsheet" Target="chartsheets/sheet3.xml"/><Relationship Id="rId5" Type="http://schemas.openxmlformats.org/officeDocument/2006/relationships/worksheet" Target="worksheets/sheet4.xml"/><Relationship Id="rId15" Type="http://schemas.openxmlformats.org/officeDocument/2006/relationships/calcChain" Target="calcChain.xml"/><Relationship Id="rId10" Type="http://schemas.openxmlformats.org/officeDocument/2006/relationships/worksheet" Target="worksheets/sheet8.xml"/><Relationship Id="rId4" Type="http://schemas.openxmlformats.org/officeDocument/2006/relationships/chartsheet" Target="chartsheets/sheet1.xml"/><Relationship Id="rId9" Type="http://schemas.openxmlformats.org/officeDocument/2006/relationships/chartsheet" Target="chartsheets/sheet2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'Cumulative Reverse, %'!$B$1</c:f>
              <c:strCache>
                <c:ptCount val="1"/>
                <c:pt idx="0">
                  <c:v>Выгодная покупка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'Cumulative Reverse, %'!$A$2:$A$191</c:f>
              <c:numCache>
                <c:formatCode>General</c:formatCode>
                <c:ptCount val="190"/>
                <c:pt idx="0">
                  <c:v>10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33</c:v>
                </c:pt>
                <c:pt idx="18">
                  <c:v>35</c:v>
                </c:pt>
                <c:pt idx="19">
                  <c:v>40</c:v>
                </c:pt>
                <c:pt idx="20">
                  <c:v>45</c:v>
                </c:pt>
                <c:pt idx="21">
                  <c:v>48</c:v>
                </c:pt>
                <c:pt idx="22">
                  <c:v>49</c:v>
                </c:pt>
                <c:pt idx="23">
                  <c:v>50</c:v>
                </c:pt>
                <c:pt idx="24">
                  <c:v>53</c:v>
                </c:pt>
                <c:pt idx="25">
                  <c:v>54</c:v>
                </c:pt>
                <c:pt idx="26">
                  <c:v>55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65</c:v>
                </c:pt>
                <c:pt idx="31">
                  <c:v>66</c:v>
                </c:pt>
                <c:pt idx="32">
                  <c:v>67</c:v>
                </c:pt>
                <c:pt idx="33">
                  <c:v>69</c:v>
                </c:pt>
                <c:pt idx="34">
                  <c:v>70</c:v>
                </c:pt>
                <c:pt idx="35">
                  <c:v>71</c:v>
                </c:pt>
                <c:pt idx="36">
                  <c:v>72</c:v>
                </c:pt>
                <c:pt idx="37">
                  <c:v>73</c:v>
                </c:pt>
                <c:pt idx="38">
                  <c:v>74</c:v>
                </c:pt>
                <c:pt idx="39">
                  <c:v>75</c:v>
                </c:pt>
                <c:pt idx="40">
                  <c:v>77</c:v>
                </c:pt>
                <c:pt idx="41">
                  <c:v>78</c:v>
                </c:pt>
                <c:pt idx="42">
                  <c:v>79</c:v>
                </c:pt>
                <c:pt idx="43">
                  <c:v>80</c:v>
                </c:pt>
                <c:pt idx="44">
                  <c:v>86</c:v>
                </c:pt>
                <c:pt idx="45">
                  <c:v>87</c:v>
                </c:pt>
                <c:pt idx="46">
                  <c:v>89</c:v>
                </c:pt>
                <c:pt idx="47">
                  <c:v>90</c:v>
                </c:pt>
                <c:pt idx="48">
                  <c:v>95</c:v>
                </c:pt>
                <c:pt idx="49">
                  <c:v>97</c:v>
                </c:pt>
                <c:pt idx="50">
                  <c:v>98</c:v>
                </c:pt>
                <c:pt idx="51">
                  <c:v>99</c:v>
                </c:pt>
                <c:pt idx="52">
                  <c:v>100</c:v>
                </c:pt>
                <c:pt idx="53">
                  <c:v>101</c:v>
                </c:pt>
                <c:pt idx="54">
                  <c:v>102</c:v>
                </c:pt>
                <c:pt idx="55">
                  <c:v>105</c:v>
                </c:pt>
                <c:pt idx="56">
                  <c:v>106</c:v>
                </c:pt>
                <c:pt idx="57">
                  <c:v>110</c:v>
                </c:pt>
                <c:pt idx="58">
                  <c:v>115</c:v>
                </c:pt>
                <c:pt idx="59">
                  <c:v>119</c:v>
                </c:pt>
                <c:pt idx="60">
                  <c:v>120</c:v>
                </c:pt>
                <c:pt idx="61">
                  <c:v>125</c:v>
                </c:pt>
                <c:pt idx="62">
                  <c:v>126</c:v>
                </c:pt>
                <c:pt idx="63">
                  <c:v>127</c:v>
                </c:pt>
                <c:pt idx="64">
                  <c:v>128</c:v>
                </c:pt>
                <c:pt idx="65">
                  <c:v>129</c:v>
                </c:pt>
                <c:pt idx="66">
                  <c:v>130</c:v>
                </c:pt>
                <c:pt idx="67">
                  <c:v>133</c:v>
                </c:pt>
                <c:pt idx="68">
                  <c:v>135</c:v>
                </c:pt>
                <c:pt idx="69">
                  <c:v>138</c:v>
                </c:pt>
                <c:pt idx="70">
                  <c:v>139</c:v>
                </c:pt>
                <c:pt idx="71">
                  <c:v>140</c:v>
                </c:pt>
                <c:pt idx="72">
                  <c:v>142</c:v>
                </c:pt>
                <c:pt idx="73">
                  <c:v>145</c:v>
                </c:pt>
                <c:pt idx="74">
                  <c:v>146</c:v>
                </c:pt>
                <c:pt idx="75">
                  <c:v>148</c:v>
                </c:pt>
                <c:pt idx="76">
                  <c:v>149</c:v>
                </c:pt>
                <c:pt idx="77">
                  <c:v>150</c:v>
                </c:pt>
                <c:pt idx="78">
                  <c:v>154</c:v>
                </c:pt>
                <c:pt idx="79">
                  <c:v>155</c:v>
                </c:pt>
                <c:pt idx="80">
                  <c:v>159</c:v>
                </c:pt>
                <c:pt idx="81">
                  <c:v>160</c:v>
                </c:pt>
                <c:pt idx="82">
                  <c:v>165</c:v>
                </c:pt>
                <c:pt idx="83">
                  <c:v>170</c:v>
                </c:pt>
                <c:pt idx="84">
                  <c:v>171</c:v>
                </c:pt>
                <c:pt idx="85">
                  <c:v>174</c:v>
                </c:pt>
                <c:pt idx="86">
                  <c:v>175</c:v>
                </c:pt>
                <c:pt idx="87">
                  <c:v>180</c:v>
                </c:pt>
                <c:pt idx="88">
                  <c:v>185</c:v>
                </c:pt>
                <c:pt idx="89">
                  <c:v>188</c:v>
                </c:pt>
                <c:pt idx="90">
                  <c:v>189</c:v>
                </c:pt>
                <c:pt idx="91">
                  <c:v>190</c:v>
                </c:pt>
                <c:pt idx="92">
                  <c:v>194</c:v>
                </c:pt>
                <c:pt idx="93">
                  <c:v>195</c:v>
                </c:pt>
                <c:pt idx="94">
                  <c:v>197</c:v>
                </c:pt>
                <c:pt idx="95">
                  <c:v>198</c:v>
                </c:pt>
                <c:pt idx="96">
                  <c:v>199</c:v>
                </c:pt>
                <c:pt idx="97">
                  <c:v>200</c:v>
                </c:pt>
                <c:pt idx="98">
                  <c:v>205</c:v>
                </c:pt>
                <c:pt idx="99">
                  <c:v>209</c:v>
                </c:pt>
                <c:pt idx="100">
                  <c:v>210</c:v>
                </c:pt>
                <c:pt idx="101">
                  <c:v>215</c:v>
                </c:pt>
                <c:pt idx="102">
                  <c:v>219</c:v>
                </c:pt>
                <c:pt idx="103">
                  <c:v>220</c:v>
                </c:pt>
                <c:pt idx="104">
                  <c:v>221</c:v>
                </c:pt>
                <c:pt idx="105">
                  <c:v>225</c:v>
                </c:pt>
                <c:pt idx="106">
                  <c:v>229</c:v>
                </c:pt>
                <c:pt idx="107">
                  <c:v>230</c:v>
                </c:pt>
                <c:pt idx="108">
                  <c:v>237</c:v>
                </c:pt>
                <c:pt idx="109">
                  <c:v>238</c:v>
                </c:pt>
                <c:pt idx="110">
                  <c:v>239</c:v>
                </c:pt>
                <c:pt idx="111">
                  <c:v>240</c:v>
                </c:pt>
                <c:pt idx="112">
                  <c:v>244</c:v>
                </c:pt>
                <c:pt idx="113">
                  <c:v>245</c:v>
                </c:pt>
                <c:pt idx="114">
                  <c:v>246</c:v>
                </c:pt>
                <c:pt idx="115">
                  <c:v>247</c:v>
                </c:pt>
                <c:pt idx="116">
                  <c:v>249</c:v>
                </c:pt>
                <c:pt idx="117">
                  <c:v>250</c:v>
                </c:pt>
                <c:pt idx="118">
                  <c:v>255</c:v>
                </c:pt>
                <c:pt idx="119">
                  <c:v>259</c:v>
                </c:pt>
                <c:pt idx="120">
                  <c:v>260</c:v>
                </c:pt>
                <c:pt idx="121">
                  <c:v>265</c:v>
                </c:pt>
                <c:pt idx="122">
                  <c:v>269</c:v>
                </c:pt>
                <c:pt idx="123">
                  <c:v>270</c:v>
                </c:pt>
                <c:pt idx="124">
                  <c:v>273</c:v>
                </c:pt>
                <c:pt idx="125">
                  <c:v>275</c:v>
                </c:pt>
                <c:pt idx="126">
                  <c:v>279</c:v>
                </c:pt>
                <c:pt idx="127">
                  <c:v>280</c:v>
                </c:pt>
                <c:pt idx="128">
                  <c:v>288</c:v>
                </c:pt>
                <c:pt idx="129">
                  <c:v>289</c:v>
                </c:pt>
                <c:pt idx="130">
                  <c:v>290</c:v>
                </c:pt>
                <c:pt idx="131">
                  <c:v>296</c:v>
                </c:pt>
                <c:pt idx="132">
                  <c:v>298</c:v>
                </c:pt>
                <c:pt idx="133">
                  <c:v>299</c:v>
                </c:pt>
                <c:pt idx="134">
                  <c:v>300</c:v>
                </c:pt>
                <c:pt idx="135">
                  <c:v>301</c:v>
                </c:pt>
                <c:pt idx="136">
                  <c:v>305</c:v>
                </c:pt>
                <c:pt idx="137">
                  <c:v>306</c:v>
                </c:pt>
                <c:pt idx="138">
                  <c:v>309</c:v>
                </c:pt>
                <c:pt idx="139">
                  <c:v>310</c:v>
                </c:pt>
                <c:pt idx="140">
                  <c:v>312</c:v>
                </c:pt>
                <c:pt idx="141">
                  <c:v>316</c:v>
                </c:pt>
                <c:pt idx="142">
                  <c:v>320</c:v>
                </c:pt>
                <c:pt idx="143">
                  <c:v>325</c:v>
                </c:pt>
                <c:pt idx="144">
                  <c:v>330</c:v>
                </c:pt>
                <c:pt idx="145">
                  <c:v>340</c:v>
                </c:pt>
                <c:pt idx="146">
                  <c:v>349</c:v>
                </c:pt>
                <c:pt idx="147">
                  <c:v>350</c:v>
                </c:pt>
                <c:pt idx="148">
                  <c:v>351</c:v>
                </c:pt>
                <c:pt idx="149">
                  <c:v>355</c:v>
                </c:pt>
                <c:pt idx="150">
                  <c:v>360</c:v>
                </c:pt>
                <c:pt idx="151">
                  <c:v>365</c:v>
                </c:pt>
                <c:pt idx="152">
                  <c:v>369</c:v>
                </c:pt>
                <c:pt idx="153">
                  <c:v>370</c:v>
                </c:pt>
                <c:pt idx="154">
                  <c:v>375</c:v>
                </c:pt>
                <c:pt idx="155">
                  <c:v>380</c:v>
                </c:pt>
                <c:pt idx="156">
                  <c:v>390</c:v>
                </c:pt>
                <c:pt idx="157">
                  <c:v>398</c:v>
                </c:pt>
                <c:pt idx="158">
                  <c:v>399</c:v>
                </c:pt>
                <c:pt idx="159">
                  <c:v>400</c:v>
                </c:pt>
                <c:pt idx="160">
                  <c:v>410</c:v>
                </c:pt>
                <c:pt idx="161">
                  <c:v>415</c:v>
                </c:pt>
                <c:pt idx="162">
                  <c:v>420</c:v>
                </c:pt>
                <c:pt idx="163">
                  <c:v>425</c:v>
                </c:pt>
                <c:pt idx="164">
                  <c:v>430</c:v>
                </c:pt>
                <c:pt idx="165">
                  <c:v>440</c:v>
                </c:pt>
                <c:pt idx="166">
                  <c:v>449</c:v>
                </c:pt>
                <c:pt idx="167">
                  <c:v>450</c:v>
                </c:pt>
                <c:pt idx="168">
                  <c:v>458</c:v>
                </c:pt>
                <c:pt idx="169">
                  <c:v>460</c:v>
                </c:pt>
                <c:pt idx="170">
                  <c:v>470</c:v>
                </c:pt>
                <c:pt idx="171">
                  <c:v>480</c:v>
                </c:pt>
                <c:pt idx="172">
                  <c:v>499</c:v>
                </c:pt>
                <c:pt idx="173">
                  <c:v>500</c:v>
                </c:pt>
                <c:pt idx="174">
                  <c:v>550</c:v>
                </c:pt>
                <c:pt idx="175">
                  <c:v>570</c:v>
                </c:pt>
                <c:pt idx="176">
                  <c:v>575</c:v>
                </c:pt>
                <c:pt idx="177">
                  <c:v>579</c:v>
                </c:pt>
                <c:pt idx="178">
                  <c:v>600</c:v>
                </c:pt>
                <c:pt idx="179">
                  <c:v>630</c:v>
                </c:pt>
                <c:pt idx="180">
                  <c:v>650</c:v>
                </c:pt>
                <c:pt idx="181">
                  <c:v>670</c:v>
                </c:pt>
                <c:pt idx="182">
                  <c:v>679</c:v>
                </c:pt>
                <c:pt idx="183">
                  <c:v>699</c:v>
                </c:pt>
                <c:pt idx="184">
                  <c:v>700</c:v>
                </c:pt>
                <c:pt idx="185">
                  <c:v>750</c:v>
                </c:pt>
                <c:pt idx="186">
                  <c:v>800</c:v>
                </c:pt>
                <c:pt idx="187">
                  <c:v>900</c:v>
                </c:pt>
                <c:pt idx="188">
                  <c:v>1000</c:v>
                </c:pt>
                <c:pt idx="189">
                  <c:v>3000</c:v>
                </c:pt>
              </c:numCache>
            </c:numRef>
          </c:xVal>
          <c:yVal>
            <c:numRef>
              <c:f>'Cumulative Reverse, %'!$B$2:$B$191</c:f>
              <c:numCache>
                <c:formatCode>0.0</c:formatCode>
                <c:ptCount val="19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99.669970000000006</c:v>
                </c:pt>
                <c:pt idx="6">
                  <c:v>99.17492</c:v>
                </c:pt>
                <c:pt idx="7">
                  <c:v>99.009900000000002</c:v>
                </c:pt>
                <c:pt idx="8">
                  <c:v>98.844880000000003</c:v>
                </c:pt>
                <c:pt idx="9">
                  <c:v>98.844880000000003</c:v>
                </c:pt>
                <c:pt idx="10">
                  <c:v>98.844880000000003</c:v>
                </c:pt>
                <c:pt idx="11">
                  <c:v>98.844880000000003</c:v>
                </c:pt>
                <c:pt idx="12">
                  <c:v>98.844880000000003</c:v>
                </c:pt>
                <c:pt idx="13">
                  <c:v>98.679860000000005</c:v>
                </c:pt>
                <c:pt idx="14">
                  <c:v>98.679860000000005</c:v>
                </c:pt>
                <c:pt idx="15">
                  <c:v>98.514840000000007</c:v>
                </c:pt>
                <c:pt idx="16">
                  <c:v>98.01979</c:v>
                </c:pt>
                <c:pt idx="17">
                  <c:v>97.854770000000002</c:v>
                </c:pt>
                <c:pt idx="18">
                  <c:v>97.689750000000004</c:v>
                </c:pt>
                <c:pt idx="19">
                  <c:v>97.359719999999996</c:v>
                </c:pt>
                <c:pt idx="20">
                  <c:v>97.194699999999997</c:v>
                </c:pt>
                <c:pt idx="21">
                  <c:v>97.029679999999999</c:v>
                </c:pt>
                <c:pt idx="22">
                  <c:v>97.029679999999999</c:v>
                </c:pt>
                <c:pt idx="23">
                  <c:v>95.049480000000003</c:v>
                </c:pt>
                <c:pt idx="24">
                  <c:v>95.049480000000003</c:v>
                </c:pt>
                <c:pt idx="25">
                  <c:v>95.049480000000003</c:v>
                </c:pt>
                <c:pt idx="26">
                  <c:v>95.049480000000003</c:v>
                </c:pt>
                <c:pt idx="27">
                  <c:v>94.884460000000004</c:v>
                </c:pt>
                <c:pt idx="28">
                  <c:v>94.884460000000004</c:v>
                </c:pt>
                <c:pt idx="29">
                  <c:v>94.554429999999996</c:v>
                </c:pt>
                <c:pt idx="30">
                  <c:v>94.389409999999998</c:v>
                </c:pt>
                <c:pt idx="31">
                  <c:v>94.389409999999998</c:v>
                </c:pt>
                <c:pt idx="32">
                  <c:v>94.389409999999998</c:v>
                </c:pt>
                <c:pt idx="33">
                  <c:v>94.22439</c:v>
                </c:pt>
                <c:pt idx="34">
                  <c:v>93.234290000000001</c:v>
                </c:pt>
                <c:pt idx="35">
                  <c:v>93.234290000000001</c:v>
                </c:pt>
                <c:pt idx="36">
                  <c:v>93.069270000000003</c:v>
                </c:pt>
                <c:pt idx="37">
                  <c:v>93.069270000000003</c:v>
                </c:pt>
                <c:pt idx="38">
                  <c:v>93.069270000000003</c:v>
                </c:pt>
                <c:pt idx="39">
                  <c:v>92.739239999999995</c:v>
                </c:pt>
                <c:pt idx="40">
                  <c:v>92.739239999999995</c:v>
                </c:pt>
                <c:pt idx="41">
                  <c:v>92.574219999999997</c:v>
                </c:pt>
                <c:pt idx="42">
                  <c:v>92.409199999999998</c:v>
                </c:pt>
                <c:pt idx="43">
                  <c:v>90.759029999999996</c:v>
                </c:pt>
                <c:pt idx="44">
                  <c:v>90.759029999999996</c:v>
                </c:pt>
                <c:pt idx="45">
                  <c:v>90.759029999999996</c:v>
                </c:pt>
                <c:pt idx="46">
                  <c:v>90.594009999999997</c:v>
                </c:pt>
                <c:pt idx="47">
                  <c:v>89.603909999999999</c:v>
                </c:pt>
                <c:pt idx="48">
                  <c:v>89.603909999999999</c:v>
                </c:pt>
                <c:pt idx="49">
                  <c:v>89.438890000000001</c:v>
                </c:pt>
                <c:pt idx="50">
                  <c:v>89.438890000000001</c:v>
                </c:pt>
                <c:pt idx="51">
                  <c:v>88.118759999999995</c:v>
                </c:pt>
                <c:pt idx="52">
                  <c:v>78.38279</c:v>
                </c:pt>
                <c:pt idx="53">
                  <c:v>78.38279</c:v>
                </c:pt>
                <c:pt idx="54">
                  <c:v>78.38279</c:v>
                </c:pt>
                <c:pt idx="55">
                  <c:v>78.38279</c:v>
                </c:pt>
                <c:pt idx="56">
                  <c:v>78.38279</c:v>
                </c:pt>
                <c:pt idx="57">
                  <c:v>77.887740000000008</c:v>
                </c:pt>
                <c:pt idx="58">
                  <c:v>77.72272000000001</c:v>
                </c:pt>
                <c:pt idx="59">
                  <c:v>77.72272000000001</c:v>
                </c:pt>
                <c:pt idx="60">
                  <c:v>76.402590000000004</c:v>
                </c:pt>
                <c:pt idx="61">
                  <c:v>76.237570000000005</c:v>
                </c:pt>
                <c:pt idx="62">
                  <c:v>76.072550000000007</c:v>
                </c:pt>
                <c:pt idx="63">
                  <c:v>76.072550000000007</c:v>
                </c:pt>
                <c:pt idx="64">
                  <c:v>76.072550000000007</c:v>
                </c:pt>
                <c:pt idx="65">
                  <c:v>76.072550000000007</c:v>
                </c:pt>
                <c:pt idx="66">
                  <c:v>75.247470000000007</c:v>
                </c:pt>
                <c:pt idx="67">
                  <c:v>75.247470000000007</c:v>
                </c:pt>
                <c:pt idx="68">
                  <c:v>75.082450000000009</c:v>
                </c:pt>
                <c:pt idx="69">
                  <c:v>75.082450000000009</c:v>
                </c:pt>
                <c:pt idx="70">
                  <c:v>74.91743000000001</c:v>
                </c:pt>
                <c:pt idx="71">
                  <c:v>74.09235000000001</c:v>
                </c:pt>
                <c:pt idx="72">
                  <c:v>73.927330000000012</c:v>
                </c:pt>
                <c:pt idx="73">
                  <c:v>73.927330000000012</c:v>
                </c:pt>
                <c:pt idx="74">
                  <c:v>73.927330000000012</c:v>
                </c:pt>
                <c:pt idx="75">
                  <c:v>73.927330000000012</c:v>
                </c:pt>
                <c:pt idx="76">
                  <c:v>73.927330000000012</c:v>
                </c:pt>
                <c:pt idx="77">
                  <c:v>60.560990000000011</c:v>
                </c:pt>
                <c:pt idx="78">
                  <c:v>60.395970000000013</c:v>
                </c:pt>
                <c:pt idx="79">
                  <c:v>60.230950000000014</c:v>
                </c:pt>
                <c:pt idx="80">
                  <c:v>60.230950000000014</c:v>
                </c:pt>
                <c:pt idx="81">
                  <c:v>59.405870000000014</c:v>
                </c:pt>
                <c:pt idx="82">
                  <c:v>59.405870000000014</c:v>
                </c:pt>
                <c:pt idx="83">
                  <c:v>58.745800000000017</c:v>
                </c:pt>
                <c:pt idx="84">
                  <c:v>58.580780000000019</c:v>
                </c:pt>
                <c:pt idx="85">
                  <c:v>58.580780000000019</c:v>
                </c:pt>
                <c:pt idx="86">
                  <c:v>58.580780000000019</c:v>
                </c:pt>
                <c:pt idx="87">
                  <c:v>55.775500000000015</c:v>
                </c:pt>
                <c:pt idx="88">
                  <c:v>55.775500000000015</c:v>
                </c:pt>
                <c:pt idx="89">
                  <c:v>55.610480000000017</c:v>
                </c:pt>
                <c:pt idx="90">
                  <c:v>55.445460000000018</c:v>
                </c:pt>
                <c:pt idx="91">
                  <c:v>54.785390000000021</c:v>
                </c:pt>
                <c:pt idx="92">
                  <c:v>54.620370000000023</c:v>
                </c:pt>
                <c:pt idx="93">
                  <c:v>54.620370000000023</c:v>
                </c:pt>
                <c:pt idx="94">
                  <c:v>54.620370000000023</c:v>
                </c:pt>
                <c:pt idx="95">
                  <c:v>54.620370000000023</c:v>
                </c:pt>
                <c:pt idx="96">
                  <c:v>52.640170000000026</c:v>
                </c:pt>
                <c:pt idx="97">
                  <c:v>37.953700000000026</c:v>
                </c:pt>
                <c:pt idx="98">
                  <c:v>37.953700000000026</c:v>
                </c:pt>
                <c:pt idx="99">
                  <c:v>37.953700000000026</c:v>
                </c:pt>
                <c:pt idx="100">
                  <c:v>37.458650000000027</c:v>
                </c:pt>
                <c:pt idx="101">
                  <c:v>37.293630000000029</c:v>
                </c:pt>
                <c:pt idx="102">
                  <c:v>37.12861000000003</c:v>
                </c:pt>
                <c:pt idx="103">
                  <c:v>36.468540000000033</c:v>
                </c:pt>
                <c:pt idx="104">
                  <c:v>36.303520000000034</c:v>
                </c:pt>
                <c:pt idx="105">
                  <c:v>36.303520000000034</c:v>
                </c:pt>
                <c:pt idx="106">
                  <c:v>36.138500000000036</c:v>
                </c:pt>
                <c:pt idx="107">
                  <c:v>35.64345000000003</c:v>
                </c:pt>
                <c:pt idx="108">
                  <c:v>35.64345000000003</c:v>
                </c:pt>
                <c:pt idx="109">
                  <c:v>35.478430000000031</c:v>
                </c:pt>
                <c:pt idx="110">
                  <c:v>35.478430000000031</c:v>
                </c:pt>
                <c:pt idx="111">
                  <c:v>34.818360000000027</c:v>
                </c:pt>
                <c:pt idx="112">
                  <c:v>34.818360000000027</c:v>
                </c:pt>
                <c:pt idx="113">
                  <c:v>34.653340000000028</c:v>
                </c:pt>
                <c:pt idx="114">
                  <c:v>34.653340000000028</c:v>
                </c:pt>
                <c:pt idx="115">
                  <c:v>34.48832000000003</c:v>
                </c:pt>
                <c:pt idx="116">
                  <c:v>33.993270000000024</c:v>
                </c:pt>
                <c:pt idx="117">
                  <c:v>23.597230000000025</c:v>
                </c:pt>
                <c:pt idx="118">
                  <c:v>23.597230000000025</c:v>
                </c:pt>
                <c:pt idx="119">
                  <c:v>23.432210000000026</c:v>
                </c:pt>
                <c:pt idx="120">
                  <c:v>22.93716000000002</c:v>
                </c:pt>
                <c:pt idx="121">
                  <c:v>22.772140000000022</c:v>
                </c:pt>
                <c:pt idx="122">
                  <c:v>22.772140000000022</c:v>
                </c:pt>
                <c:pt idx="123">
                  <c:v>22.277090000000015</c:v>
                </c:pt>
                <c:pt idx="124">
                  <c:v>22.277090000000015</c:v>
                </c:pt>
                <c:pt idx="125">
                  <c:v>22.277090000000015</c:v>
                </c:pt>
                <c:pt idx="126">
                  <c:v>22.112070000000017</c:v>
                </c:pt>
                <c:pt idx="127">
                  <c:v>20.296890000000019</c:v>
                </c:pt>
                <c:pt idx="128">
                  <c:v>20.296890000000019</c:v>
                </c:pt>
                <c:pt idx="129">
                  <c:v>20.296890000000019</c:v>
                </c:pt>
                <c:pt idx="130">
                  <c:v>19.966860000000025</c:v>
                </c:pt>
                <c:pt idx="131">
                  <c:v>19.966860000000025</c:v>
                </c:pt>
                <c:pt idx="132">
                  <c:v>19.966860000000025</c:v>
                </c:pt>
                <c:pt idx="133">
                  <c:v>19.636830000000032</c:v>
                </c:pt>
                <c:pt idx="134">
                  <c:v>9.2407900000000325</c:v>
                </c:pt>
                <c:pt idx="135">
                  <c:v>9.2407900000000325</c:v>
                </c:pt>
                <c:pt idx="136">
                  <c:v>9.2407900000000325</c:v>
                </c:pt>
                <c:pt idx="137">
                  <c:v>9.2407900000000325</c:v>
                </c:pt>
                <c:pt idx="138">
                  <c:v>9.2407900000000325</c:v>
                </c:pt>
                <c:pt idx="139">
                  <c:v>9.2407900000000325</c:v>
                </c:pt>
                <c:pt idx="140">
                  <c:v>9.0757700000000341</c:v>
                </c:pt>
                <c:pt idx="141">
                  <c:v>9.0757700000000341</c:v>
                </c:pt>
                <c:pt idx="142">
                  <c:v>8.2506900000000343</c:v>
                </c:pt>
                <c:pt idx="143">
                  <c:v>8.2506900000000343</c:v>
                </c:pt>
                <c:pt idx="144">
                  <c:v>8.2506900000000343</c:v>
                </c:pt>
                <c:pt idx="145">
                  <c:v>8.2506900000000343</c:v>
                </c:pt>
                <c:pt idx="146">
                  <c:v>8.2506900000000343</c:v>
                </c:pt>
                <c:pt idx="147">
                  <c:v>5.2803900000000397</c:v>
                </c:pt>
                <c:pt idx="148">
                  <c:v>5.2803900000000397</c:v>
                </c:pt>
                <c:pt idx="149">
                  <c:v>5.2803900000000397</c:v>
                </c:pt>
                <c:pt idx="150">
                  <c:v>5.1153700000000413</c:v>
                </c:pt>
                <c:pt idx="151">
                  <c:v>5.1153700000000413</c:v>
                </c:pt>
                <c:pt idx="152">
                  <c:v>5.1153700000000413</c:v>
                </c:pt>
                <c:pt idx="153">
                  <c:v>4.9503500000000429</c:v>
                </c:pt>
                <c:pt idx="154">
                  <c:v>4.9503500000000429</c:v>
                </c:pt>
                <c:pt idx="155">
                  <c:v>4.9503500000000429</c:v>
                </c:pt>
                <c:pt idx="156">
                  <c:v>4.9503500000000429</c:v>
                </c:pt>
                <c:pt idx="157">
                  <c:v>4.9503500000000429</c:v>
                </c:pt>
                <c:pt idx="158">
                  <c:v>4.6203200000000493</c:v>
                </c:pt>
                <c:pt idx="159">
                  <c:v>2.3100900000000451</c:v>
                </c:pt>
                <c:pt idx="160">
                  <c:v>2.1450700000000467</c:v>
                </c:pt>
                <c:pt idx="161">
                  <c:v>2.1450700000000467</c:v>
                </c:pt>
                <c:pt idx="162">
                  <c:v>1.9800500000000483</c:v>
                </c:pt>
                <c:pt idx="163">
                  <c:v>1.9800500000000483</c:v>
                </c:pt>
                <c:pt idx="164">
                  <c:v>1.8150300000000499</c:v>
                </c:pt>
                <c:pt idx="165">
                  <c:v>1.8150300000000499</c:v>
                </c:pt>
                <c:pt idx="166">
                  <c:v>1.8150300000000499</c:v>
                </c:pt>
                <c:pt idx="167">
                  <c:v>1.3199800000000437</c:v>
                </c:pt>
                <c:pt idx="168">
                  <c:v>1.3199800000000437</c:v>
                </c:pt>
                <c:pt idx="169">
                  <c:v>1.3199800000000437</c:v>
                </c:pt>
                <c:pt idx="170">
                  <c:v>1.3199800000000437</c:v>
                </c:pt>
                <c:pt idx="171">
                  <c:v>1.3199800000000437</c:v>
                </c:pt>
                <c:pt idx="172">
                  <c:v>1.3199800000000437</c:v>
                </c:pt>
                <c:pt idx="173">
                  <c:v>0.49490000000004386</c:v>
                </c:pt>
                <c:pt idx="174">
                  <c:v>0.32988000000004547</c:v>
                </c:pt>
                <c:pt idx="175">
                  <c:v>0.32988000000004547</c:v>
                </c:pt>
                <c:pt idx="176">
                  <c:v>0.32988000000004547</c:v>
                </c:pt>
                <c:pt idx="177">
                  <c:v>0.32988000000004547</c:v>
                </c:pt>
                <c:pt idx="178">
                  <c:v>-1.4999999994813606E-4</c:v>
                </c:pt>
                <c:pt idx="179">
                  <c:v>-1.4999999994813606E-4</c:v>
                </c:pt>
                <c:pt idx="180">
                  <c:v>-1.4999999994813606E-4</c:v>
                </c:pt>
                <c:pt idx="181">
                  <c:v>-1.4999999994813606E-4</c:v>
                </c:pt>
                <c:pt idx="182">
                  <c:v>-1.4999999994813606E-4</c:v>
                </c:pt>
                <c:pt idx="183">
                  <c:v>-1.4999999994813606E-4</c:v>
                </c:pt>
                <c:pt idx="184">
                  <c:v>-1.4999999994813606E-4</c:v>
                </c:pt>
                <c:pt idx="185">
                  <c:v>-1.4999999994813606E-4</c:v>
                </c:pt>
                <c:pt idx="186">
                  <c:v>-1.4999999994813606E-4</c:v>
                </c:pt>
                <c:pt idx="187">
                  <c:v>-1.4999999994813606E-4</c:v>
                </c:pt>
                <c:pt idx="188">
                  <c:v>-1.4999999994813606E-4</c:v>
                </c:pt>
                <c:pt idx="189">
                  <c:v>-1.4999999994813606E-4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31-CA47-9478-37085521F978}"/>
            </c:ext>
          </c:extLst>
        </c:ser>
        <c:ser>
          <c:idx val="1"/>
          <c:order val="1"/>
          <c:tx>
            <c:strRef>
              <c:f>'Cumulative Reverse, %'!$C$1</c:f>
              <c:strCache>
                <c:ptCount val="1"/>
                <c:pt idx="0">
                  <c:v>Дороговато, но куплю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'Cumulative Reverse, %'!$A$2:$A$191</c:f>
              <c:numCache>
                <c:formatCode>General</c:formatCode>
                <c:ptCount val="190"/>
                <c:pt idx="0">
                  <c:v>10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33</c:v>
                </c:pt>
                <c:pt idx="18">
                  <c:v>35</c:v>
                </c:pt>
                <c:pt idx="19">
                  <c:v>40</c:v>
                </c:pt>
                <c:pt idx="20">
                  <c:v>45</c:v>
                </c:pt>
                <c:pt idx="21">
                  <c:v>48</c:v>
                </c:pt>
                <c:pt idx="22">
                  <c:v>49</c:v>
                </c:pt>
                <c:pt idx="23">
                  <c:v>50</c:v>
                </c:pt>
                <c:pt idx="24">
                  <c:v>53</c:v>
                </c:pt>
                <c:pt idx="25">
                  <c:v>54</c:v>
                </c:pt>
                <c:pt idx="26">
                  <c:v>55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65</c:v>
                </c:pt>
                <c:pt idx="31">
                  <c:v>66</c:v>
                </c:pt>
                <c:pt idx="32">
                  <c:v>67</c:v>
                </c:pt>
                <c:pt idx="33">
                  <c:v>69</c:v>
                </c:pt>
                <c:pt idx="34">
                  <c:v>70</c:v>
                </c:pt>
                <c:pt idx="35">
                  <c:v>71</c:v>
                </c:pt>
                <c:pt idx="36">
                  <c:v>72</c:v>
                </c:pt>
                <c:pt idx="37">
                  <c:v>73</c:v>
                </c:pt>
                <c:pt idx="38">
                  <c:v>74</c:v>
                </c:pt>
                <c:pt idx="39">
                  <c:v>75</c:v>
                </c:pt>
                <c:pt idx="40">
                  <c:v>77</c:v>
                </c:pt>
                <c:pt idx="41">
                  <c:v>78</c:v>
                </c:pt>
                <c:pt idx="42">
                  <c:v>79</c:v>
                </c:pt>
                <c:pt idx="43">
                  <c:v>80</c:v>
                </c:pt>
                <c:pt idx="44">
                  <c:v>86</c:v>
                </c:pt>
                <c:pt idx="45">
                  <c:v>87</c:v>
                </c:pt>
                <c:pt idx="46">
                  <c:v>89</c:v>
                </c:pt>
                <c:pt idx="47">
                  <c:v>90</c:v>
                </c:pt>
                <c:pt idx="48">
                  <c:v>95</c:v>
                </c:pt>
                <c:pt idx="49">
                  <c:v>97</c:v>
                </c:pt>
                <c:pt idx="50">
                  <c:v>98</c:v>
                </c:pt>
                <c:pt idx="51">
                  <c:v>99</c:v>
                </c:pt>
                <c:pt idx="52">
                  <c:v>100</c:v>
                </c:pt>
                <c:pt idx="53">
                  <c:v>101</c:v>
                </c:pt>
                <c:pt idx="54">
                  <c:v>102</c:v>
                </c:pt>
                <c:pt idx="55">
                  <c:v>105</c:v>
                </c:pt>
                <c:pt idx="56">
                  <c:v>106</c:v>
                </c:pt>
                <c:pt idx="57">
                  <c:v>110</c:v>
                </c:pt>
                <c:pt idx="58">
                  <c:v>115</c:v>
                </c:pt>
                <c:pt idx="59">
                  <c:v>119</c:v>
                </c:pt>
                <c:pt idx="60">
                  <c:v>120</c:v>
                </c:pt>
                <c:pt idx="61">
                  <c:v>125</c:v>
                </c:pt>
                <c:pt idx="62">
                  <c:v>126</c:v>
                </c:pt>
                <c:pt idx="63">
                  <c:v>127</c:v>
                </c:pt>
                <c:pt idx="64">
                  <c:v>128</c:v>
                </c:pt>
                <c:pt idx="65">
                  <c:v>129</c:v>
                </c:pt>
                <c:pt idx="66">
                  <c:v>130</c:v>
                </c:pt>
                <c:pt idx="67">
                  <c:v>133</c:v>
                </c:pt>
                <c:pt idx="68">
                  <c:v>135</c:v>
                </c:pt>
                <c:pt idx="69">
                  <c:v>138</c:v>
                </c:pt>
                <c:pt idx="70">
                  <c:v>139</c:v>
                </c:pt>
                <c:pt idx="71">
                  <c:v>140</c:v>
                </c:pt>
                <c:pt idx="72">
                  <c:v>142</c:v>
                </c:pt>
                <c:pt idx="73">
                  <c:v>145</c:v>
                </c:pt>
                <c:pt idx="74">
                  <c:v>146</c:v>
                </c:pt>
                <c:pt idx="75">
                  <c:v>148</c:v>
                </c:pt>
                <c:pt idx="76">
                  <c:v>149</c:v>
                </c:pt>
                <c:pt idx="77">
                  <c:v>150</c:v>
                </c:pt>
                <c:pt idx="78">
                  <c:v>154</c:v>
                </c:pt>
                <c:pt idx="79">
                  <c:v>155</c:v>
                </c:pt>
                <c:pt idx="80">
                  <c:v>159</c:v>
                </c:pt>
                <c:pt idx="81">
                  <c:v>160</c:v>
                </c:pt>
                <c:pt idx="82">
                  <c:v>165</c:v>
                </c:pt>
                <c:pt idx="83">
                  <c:v>170</c:v>
                </c:pt>
                <c:pt idx="84">
                  <c:v>171</c:v>
                </c:pt>
                <c:pt idx="85">
                  <c:v>174</c:v>
                </c:pt>
                <c:pt idx="86">
                  <c:v>175</c:v>
                </c:pt>
                <c:pt idx="87">
                  <c:v>180</c:v>
                </c:pt>
                <c:pt idx="88">
                  <c:v>185</c:v>
                </c:pt>
                <c:pt idx="89">
                  <c:v>188</c:v>
                </c:pt>
                <c:pt idx="90">
                  <c:v>189</c:v>
                </c:pt>
                <c:pt idx="91">
                  <c:v>190</c:v>
                </c:pt>
                <c:pt idx="92">
                  <c:v>194</c:v>
                </c:pt>
                <c:pt idx="93">
                  <c:v>195</c:v>
                </c:pt>
                <c:pt idx="94">
                  <c:v>197</c:v>
                </c:pt>
                <c:pt idx="95">
                  <c:v>198</c:v>
                </c:pt>
                <c:pt idx="96">
                  <c:v>199</c:v>
                </c:pt>
                <c:pt idx="97">
                  <c:v>200</c:v>
                </c:pt>
                <c:pt idx="98">
                  <c:v>205</c:v>
                </c:pt>
                <c:pt idx="99">
                  <c:v>209</c:v>
                </c:pt>
                <c:pt idx="100">
                  <c:v>210</c:v>
                </c:pt>
                <c:pt idx="101">
                  <c:v>215</c:v>
                </c:pt>
                <c:pt idx="102">
                  <c:v>219</c:v>
                </c:pt>
                <c:pt idx="103">
                  <c:v>220</c:v>
                </c:pt>
                <c:pt idx="104">
                  <c:v>221</c:v>
                </c:pt>
                <c:pt idx="105">
                  <c:v>225</c:v>
                </c:pt>
                <c:pt idx="106">
                  <c:v>229</c:v>
                </c:pt>
                <c:pt idx="107">
                  <c:v>230</c:v>
                </c:pt>
                <c:pt idx="108">
                  <c:v>237</c:v>
                </c:pt>
                <c:pt idx="109">
                  <c:v>238</c:v>
                </c:pt>
                <c:pt idx="110">
                  <c:v>239</c:v>
                </c:pt>
                <c:pt idx="111">
                  <c:v>240</c:v>
                </c:pt>
                <c:pt idx="112">
                  <c:v>244</c:v>
                </c:pt>
                <c:pt idx="113">
                  <c:v>245</c:v>
                </c:pt>
                <c:pt idx="114">
                  <c:v>246</c:v>
                </c:pt>
                <c:pt idx="115">
                  <c:v>247</c:v>
                </c:pt>
                <c:pt idx="116">
                  <c:v>249</c:v>
                </c:pt>
                <c:pt idx="117">
                  <c:v>250</c:v>
                </c:pt>
                <c:pt idx="118">
                  <c:v>255</c:v>
                </c:pt>
                <c:pt idx="119">
                  <c:v>259</c:v>
                </c:pt>
                <c:pt idx="120">
                  <c:v>260</c:v>
                </c:pt>
                <c:pt idx="121">
                  <c:v>265</c:v>
                </c:pt>
                <c:pt idx="122">
                  <c:v>269</c:v>
                </c:pt>
                <c:pt idx="123">
                  <c:v>270</c:v>
                </c:pt>
                <c:pt idx="124">
                  <c:v>273</c:v>
                </c:pt>
                <c:pt idx="125">
                  <c:v>275</c:v>
                </c:pt>
                <c:pt idx="126">
                  <c:v>279</c:v>
                </c:pt>
                <c:pt idx="127">
                  <c:v>280</c:v>
                </c:pt>
                <c:pt idx="128">
                  <c:v>288</c:v>
                </c:pt>
                <c:pt idx="129">
                  <c:v>289</c:v>
                </c:pt>
                <c:pt idx="130">
                  <c:v>290</c:v>
                </c:pt>
                <c:pt idx="131">
                  <c:v>296</c:v>
                </c:pt>
                <c:pt idx="132">
                  <c:v>298</c:v>
                </c:pt>
                <c:pt idx="133">
                  <c:v>299</c:v>
                </c:pt>
                <c:pt idx="134">
                  <c:v>300</c:v>
                </c:pt>
                <c:pt idx="135">
                  <c:v>301</c:v>
                </c:pt>
                <c:pt idx="136">
                  <c:v>305</c:v>
                </c:pt>
                <c:pt idx="137">
                  <c:v>306</c:v>
                </c:pt>
                <c:pt idx="138">
                  <c:v>309</c:v>
                </c:pt>
                <c:pt idx="139">
                  <c:v>310</c:v>
                </c:pt>
                <c:pt idx="140">
                  <c:v>312</c:v>
                </c:pt>
                <c:pt idx="141">
                  <c:v>316</c:v>
                </c:pt>
                <c:pt idx="142">
                  <c:v>320</c:v>
                </c:pt>
                <c:pt idx="143">
                  <c:v>325</c:v>
                </c:pt>
                <c:pt idx="144">
                  <c:v>330</c:v>
                </c:pt>
                <c:pt idx="145">
                  <c:v>340</c:v>
                </c:pt>
                <c:pt idx="146">
                  <c:v>349</c:v>
                </c:pt>
                <c:pt idx="147">
                  <c:v>350</c:v>
                </c:pt>
                <c:pt idx="148">
                  <c:v>351</c:v>
                </c:pt>
                <c:pt idx="149">
                  <c:v>355</c:v>
                </c:pt>
                <c:pt idx="150">
                  <c:v>360</c:v>
                </c:pt>
                <c:pt idx="151">
                  <c:v>365</c:v>
                </c:pt>
                <c:pt idx="152">
                  <c:v>369</c:v>
                </c:pt>
                <c:pt idx="153">
                  <c:v>370</c:v>
                </c:pt>
                <c:pt idx="154">
                  <c:v>375</c:v>
                </c:pt>
                <c:pt idx="155">
                  <c:v>380</c:v>
                </c:pt>
                <c:pt idx="156">
                  <c:v>390</c:v>
                </c:pt>
                <c:pt idx="157">
                  <c:v>398</c:v>
                </c:pt>
                <c:pt idx="158">
                  <c:v>399</c:v>
                </c:pt>
                <c:pt idx="159">
                  <c:v>400</c:v>
                </c:pt>
                <c:pt idx="160">
                  <c:v>410</c:v>
                </c:pt>
                <c:pt idx="161">
                  <c:v>415</c:v>
                </c:pt>
                <c:pt idx="162">
                  <c:v>420</c:v>
                </c:pt>
                <c:pt idx="163">
                  <c:v>425</c:v>
                </c:pt>
                <c:pt idx="164">
                  <c:v>430</c:v>
                </c:pt>
                <c:pt idx="165">
                  <c:v>440</c:v>
                </c:pt>
                <c:pt idx="166">
                  <c:v>449</c:v>
                </c:pt>
                <c:pt idx="167">
                  <c:v>450</c:v>
                </c:pt>
                <c:pt idx="168">
                  <c:v>458</c:v>
                </c:pt>
                <c:pt idx="169">
                  <c:v>460</c:v>
                </c:pt>
                <c:pt idx="170">
                  <c:v>470</c:v>
                </c:pt>
                <c:pt idx="171">
                  <c:v>480</c:v>
                </c:pt>
                <c:pt idx="172">
                  <c:v>499</c:v>
                </c:pt>
                <c:pt idx="173">
                  <c:v>500</c:v>
                </c:pt>
                <c:pt idx="174">
                  <c:v>550</c:v>
                </c:pt>
                <c:pt idx="175">
                  <c:v>570</c:v>
                </c:pt>
                <c:pt idx="176">
                  <c:v>575</c:v>
                </c:pt>
                <c:pt idx="177">
                  <c:v>579</c:v>
                </c:pt>
                <c:pt idx="178">
                  <c:v>600</c:v>
                </c:pt>
                <c:pt idx="179">
                  <c:v>630</c:v>
                </c:pt>
                <c:pt idx="180">
                  <c:v>650</c:v>
                </c:pt>
                <c:pt idx="181">
                  <c:v>670</c:v>
                </c:pt>
                <c:pt idx="182">
                  <c:v>679</c:v>
                </c:pt>
                <c:pt idx="183">
                  <c:v>699</c:v>
                </c:pt>
                <c:pt idx="184">
                  <c:v>700</c:v>
                </c:pt>
                <c:pt idx="185">
                  <c:v>750</c:v>
                </c:pt>
                <c:pt idx="186">
                  <c:v>800</c:v>
                </c:pt>
                <c:pt idx="187">
                  <c:v>900</c:v>
                </c:pt>
                <c:pt idx="188">
                  <c:v>1000</c:v>
                </c:pt>
                <c:pt idx="189">
                  <c:v>3000</c:v>
                </c:pt>
              </c:numCache>
            </c:numRef>
          </c:xVal>
          <c:yVal>
            <c:numRef>
              <c:f>'Cumulative Reverse, %'!$C$2:$C$191</c:f>
              <c:numCache>
                <c:formatCode>0.0</c:formatCode>
                <c:ptCount val="19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0.16502</c:v>
                </c:pt>
                <c:pt idx="7">
                  <c:v>0.33004</c:v>
                </c:pt>
                <c:pt idx="8">
                  <c:v>0.49506</c:v>
                </c:pt>
                <c:pt idx="9">
                  <c:v>0.66008</c:v>
                </c:pt>
                <c:pt idx="10">
                  <c:v>0.66008</c:v>
                </c:pt>
                <c:pt idx="11">
                  <c:v>0.82509999999999994</c:v>
                </c:pt>
                <c:pt idx="12">
                  <c:v>0.82509999999999994</c:v>
                </c:pt>
                <c:pt idx="13">
                  <c:v>0.82509999999999994</c:v>
                </c:pt>
                <c:pt idx="14">
                  <c:v>0.99011999999999989</c:v>
                </c:pt>
                <c:pt idx="15">
                  <c:v>0.99011999999999989</c:v>
                </c:pt>
                <c:pt idx="16">
                  <c:v>1.1551399999999998</c:v>
                </c:pt>
                <c:pt idx="17">
                  <c:v>1.1551399999999998</c:v>
                </c:pt>
                <c:pt idx="18">
                  <c:v>1.3201599999999998</c:v>
                </c:pt>
                <c:pt idx="19">
                  <c:v>1.4851799999999997</c:v>
                </c:pt>
                <c:pt idx="20">
                  <c:v>1.4851799999999997</c:v>
                </c:pt>
                <c:pt idx="21">
                  <c:v>1.4851799999999997</c:v>
                </c:pt>
                <c:pt idx="22">
                  <c:v>1.6501999999999997</c:v>
                </c:pt>
                <c:pt idx="23">
                  <c:v>2.1452499999999999</c:v>
                </c:pt>
                <c:pt idx="24">
                  <c:v>2.1452499999999999</c:v>
                </c:pt>
                <c:pt idx="25">
                  <c:v>2.1452499999999999</c:v>
                </c:pt>
                <c:pt idx="26">
                  <c:v>2.31027</c:v>
                </c:pt>
                <c:pt idx="27">
                  <c:v>2.31027</c:v>
                </c:pt>
                <c:pt idx="28">
                  <c:v>2.31027</c:v>
                </c:pt>
                <c:pt idx="29">
                  <c:v>2.9703400000000002</c:v>
                </c:pt>
                <c:pt idx="30">
                  <c:v>2.9703400000000002</c:v>
                </c:pt>
                <c:pt idx="31">
                  <c:v>3.1353600000000004</c:v>
                </c:pt>
                <c:pt idx="32">
                  <c:v>3.1353600000000004</c:v>
                </c:pt>
                <c:pt idx="33">
                  <c:v>3.3003800000000005</c:v>
                </c:pt>
                <c:pt idx="34">
                  <c:v>3.7954300000000005</c:v>
                </c:pt>
                <c:pt idx="35">
                  <c:v>3.7954300000000005</c:v>
                </c:pt>
                <c:pt idx="36">
                  <c:v>3.7954300000000005</c:v>
                </c:pt>
                <c:pt idx="37">
                  <c:v>3.9604500000000007</c:v>
                </c:pt>
                <c:pt idx="38">
                  <c:v>3.9604500000000007</c:v>
                </c:pt>
                <c:pt idx="39">
                  <c:v>3.9604500000000007</c:v>
                </c:pt>
                <c:pt idx="40">
                  <c:v>3.9604500000000007</c:v>
                </c:pt>
                <c:pt idx="41">
                  <c:v>3.9604500000000007</c:v>
                </c:pt>
                <c:pt idx="42">
                  <c:v>4.2904800000000005</c:v>
                </c:pt>
                <c:pt idx="43">
                  <c:v>4.6205100000000003</c:v>
                </c:pt>
                <c:pt idx="44">
                  <c:v>4.6205100000000003</c:v>
                </c:pt>
                <c:pt idx="45">
                  <c:v>4.7855300000000005</c:v>
                </c:pt>
                <c:pt idx="46">
                  <c:v>4.7855300000000005</c:v>
                </c:pt>
                <c:pt idx="47">
                  <c:v>5.9406500000000007</c:v>
                </c:pt>
                <c:pt idx="48">
                  <c:v>6.1056700000000008</c:v>
                </c:pt>
                <c:pt idx="49">
                  <c:v>6.1056700000000008</c:v>
                </c:pt>
                <c:pt idx="50">
                  <c:v>6.4357000000000006</c:v>
                </c:pt>
                <c:pt idx="51">
                  <c:v>6.4357000000000006</c:v>
                </c:pt>
                <c:pt idx="52">
                  <c:v>8.2508800000000004</c:v>
                </c:pt>
                <c:pt idx="53">
                  <c:v>8.5809100000000011</c:v>
                </c:pt>
                <c:pt idx="54">
                  <c:v>8.5809100000000011</c:v>
                </c:pt>
                <c:pt idx="55">
                  <c:v>8.7459300000000013</c:v>
                </c:pt>
                <c:pt idx="56">
                  <c:v>8.7459300000000013</c:v>
                </c:pt>
                <c:pt idx="57">
                  <c:v>9.2409800000000004</c:v>
                </c:pt>
                <c:pt idx="58">
                  <c:v>9.2409800000000004</c:v>
                </c:pt>
                <c:pt idx="59">
                  <c:v>9.4060000000000006</c:v>
                </c:pt>
                <c:pt idx="60">
                  <c:v>13.366400000000001</c:v>
                </c:pt>
                <c:pt idx="61">
                  <c:v>13.531420000000001</c:v>
                </c:pt>
                <c:pt idx="62">
                  <c:v>13.531420000000001</c:v>
                </c:pt>
                <c:pt idx="63">
                  <c:v>13.696440000000001</c:v>
                </c:pt>
                <c:pt idx="64">
                  <c:v>13.696440000000001</c:v>
                </c:pt>
                <c:pt idx="65">
                  <c:v>13.861460000000001</c:v>
                </c:pt>
                <c:pt idx="66">
                  <c:v>15.181590000000002</c:v>
                </c:pt>
                <c:pt idx="67">
                  <c:v>15.181590000000002</c:v>
                </c:pt>
                <c:pt idx="68">
                  <c:v>15.181590000000002</c:v>
                </c:pt>
                <c:pt idx="69">
                  <c:v>15.346610000000002</c:v>
                </c:pt>
                <c:pt idx="70">
                  <c:v>15.346610000000002</c:v>
                </c:pt>
                <c:pt idx="71">
                  <c:v>16.006680000000003</c:v>
                </c:pt>
                <c:pt idx="72">
                  <c:v>16.006680000000003</c:v>
                </c:pt>
                <c:pt idx="73">
                  <c:v>16.006680000000003</c:v>
                </c:pt>
                <c:pt idx="74">
                  <c:v>16.171700000000001</c:v>
                </c:pt>
                <c:pt idx="75">
                  <c:v>16.33672</c:v>
                </c:pt>
                <c:pt idx="76">
                  <c:v>16.66675</c:v>
                </c:pt>
                <c:pt idx="77">
                  <c:v>20.792159999999999</c:v>
                </c:pt>
                <c:pt idx="78">
                  <c:v>20.792159999999999</c:v>
                </c:pt>
                <c:pt idx="79">
                  <c:v>21.287209999999998</c:v>
                </c:pt>
                <c:pt idx="80">
                  <c:v>21.452229999999997</c:v>
                </c:pt>
                <c:pt idx="81">
                  <c:v>23.102399999999996</c:v>
                </c:pt>
                <c:pt idx="82">
                  <c:v>23.267419999999994</c:v>
                </c:pt>
                <c:pt idx="83">
                  <c:v>24.587549999999993</c:v>
                </c:pt>
                <c:pt idx="84">
                  <c:v>24.587549999999993</c:v>
                </c:pt>
                <c:pt idx="85">
                  <c:v>24.752569999999992</c:v>
                </c:pt>
                <c:pt idx="86">
                  <c:v>24.91758999999999</c:v>
                </c:pt>
                <c:pt idx="87">
                  <c:v>28.382939999999991</c:v>
                </c:pt>
                <c:pt idx="88">
                  <c:v>28.382939999999991</c:v>
                </c:pt>
                <c:pt idx="89">
                  <c:v>28.382939999999991</c:v>
                </c:pt>
                <c:pt idx="90">
                  <c:v>28.382939999999991</c:v>
                </c:pt>
                <c:pt idx="91">
                  <c:v>29.538059999999991</c:v>
                </c:pt>
                <c:pt idx="92">
                  <c:v>29.538059999999991</c:v>
                </c:pt>
                <c:pt idx="93">
                  <c:v>29.538059999999991</c:v>
                </c:pt>
                <c:pt idx="94">
                  <c:v>29.703079999999989</c:v>
                </c:pt>
                <c:pt idx="95">
                  <c:v>30.198129999999988</c:v>
                </c:pt>
                <c:pt idx="96">
                  <c:v>30.528159999999989</c:v>
                </c:pt>
                <c:pt idx="97">
                  <c:v>40.099119999999985</c:v>
                </c:pt>
                <c:pt idx="98">
                  <c:v>40.264139999999983</c:v>
                </c:pt>
                <c:pt idx="99">
                  <c:v>40.264139999999983</c:v>
                </c:pt>
                <c:pt idx="100">
                  <c:v>40.429159999999982</c:v>
                </c:pt>
                <c:pt idx="101">
                  <c:v>40.429159999999982</c:v>
                </c:pt>
                <c:pt idx="102">
                  <c:v>40.429159999999982</c:v>
                </c:pt>
                <c:pt idx="103">
                  <c:v>41.749289999999981</c:v>
                </c:pt>
                <c:pt idx="104">
                  <c:v>41.749289999999981</c:v>
                </c:pt>
                <c:pt idx="105">
                  <c:v>41.914309999999979</c:v>
                </c:pt>
                <c:pt idx="106">
                  <c:v>42.079329999999977</c:v>
                </c:pt>
                <c:pt idx="107">
                  <c:v>43.564479999999975</c:v>
                </c:pt>
                <c:pt idx="108">
                  <c:v>43.564479999999975</c:v>
                </c:pt>
                <c:pt idx="109">
                  <c:v>43.564479999999975</c:v>
                </c:pt>
                <c:pt idx="110">
                  <c:v>43.729499999999973</c:v>
                </c:pt>
                <c:pt idx="111">
                  <c:v>44.224549999999972</c:v>
                </c:pt>
                <c:pt idx="112">
                  <c:v>44.224549999999972</c:v>
                </c:pt>
                <c:pt idx="113">
                  <c:v>44.224549999999972</c:v>
                </c:pt>
                <c:pt idx="114">
                  <c:v>44.389569999999971</c:v>
                </c:pt>
                <c:pt idx="115">
                  <c:v>44.389569999999971</c:v>
                </c:pt>
                <c:pt idx="116">
                  <c:v>45.544689999999967</c:v>
                </c:pt>
                <c:pt idx="117">
                  <c:v>54.125549999999969</c:v>
                </c:pt>
                <c:pt idx="118">
                  <c:v>54.620599999999968</c:v>
                </c:pt>
                <c:pt idx="119">
                  <c:v>54.620599999999968</c:v>
                </c:pt>
                <c:pt idx="120">
                  <c:v>55.445679999999967</c:v>
                </c:pt>
                <c:pt idx="121">
                  <c:v>55.445679999999967</c:v>
                </c:pt>
                <c:pt idx="122">
                  <c:v>55.610699999999966</c:v>
                </c:pt>
                <c:pt idx="123">
                  <c:v>56.600799999999964</c:v>
                </c:pt>
                <c:pt idx="124">
                  <c:v>56.765819999999962</c:v>
                </c:pt>
                <c:pt idx="125">
                  <c:v>56.930839999999961</c:v>
                </c:pt>
                <c:pt idx="126">
                  <c:v>57.095859999999959</c:v>
                </c:pt>
                <c:pt idx="127">
                  <c:v>60.066159999999961</c:v>
                </c:pt>
                <c:pt idx="128">
                  <c:v>60.231179999999959</c:v>
                </c:pt>
                <c:pt idx="129">
                  <c:v>60.231179999999959</c:v>
                </c:pt>
                <c:pt idx="130">
                  <c:v>60.891249999999957</c:v>
                </c:pt>
                <c:pt idx="131">
                  <c:v>60.891249999999957</c:v>
                </c:pt>
                <c:pt idx="132">
                  <c:v>60.891249999999957</c:v>
                </c:pt>
                <c:pt idx="133">
                  <c:v>62.046369999999953</c:v>
                </c:pt>
                <c:pt idx="134">
                  <c:v>72.112379999999959</c:v>
                </c:pt>
                <c:pt idx="135">
                  <c:v>72.277399999999957</c:v>
                </c:pt>
                <c:pt idx="136">
                  <c:v>72.277399999999957</c:v>
                </c:pt>
                <c:pt idx="137">
                  <c:v>72.442419999999956</c:v>
                </c:pt>
                <c:pt idx="138">
                  <c:v>72.607439999999954</c:v>
                </c:pt>
                <c:pt idx="139">
                  <c:v>72.607439999999954</c:v>
                </c:pt>
                <c:pt idx="140">
                  <c:v>72.607439999999954</c:v>
                </c:pt>
                <c:pt idx="141">
                  <c:v>72.607439999999954</c:v>
                </c:pt>
                <c:pt idx="142">
                  <c:v>73.432519999999954</c:v>
                </c:pt>
                <c:pt idx="143">
                  <c:v>73.597539999999952</c:v>
                </c:pt>
                <c:pt idx="144">
                  <c:v>73.927569999999946</c:v>
                </c:pt>
                <c:pt idx="145">
                  <c:v>74.422619999999952</c:v>
                </c:pt>
                <c:pt idx="146">
                  <c:v>74.752649999999946</c:v>
                </c:pt>
                <c:pt idx="147">
                  <c:v>83.498519999999942</c:v>
                </c:pt>
                <c:pt idx="148">
                  <c:v>83.498519999999942</c:v>
                </c:pt>
                <c:pt idx="149">
                  <c:v>83.498519999999942</c:v>
                </c:pt>
                <c:pt idx="150">
                  <c:v>84.488619999999941</c:v>
                </c:pt>
                <c:pt idx="151">
                  <c:v>84.653639999999939</c:v>
                </c:pt>
                <c:pt idx="152">
                  <c:v>84.818659999999937</c:v>
                </c:pt>
                <c:pt idx="153">
                  <c:v>84.983679999999936</c:v>
                </c:pt>
                <c:pt idx="154">
                  <c:v>85.148699999999934</c:v>
                </c:pt>
                <c:pt idx="155">
                  <c:v>86.633849999999939</c:v>
                </c:pt>
                <c:pt idx="156">
                  <c:v>86.798869999999937</c:v>
                </c:pt>
                <c:pt idx="157">
                  <c:v>86.963889999999935</c:v>
                </c:pt>
                <c:pt idx="158">
                  <c:v>87.128909999999934</c:v>
                </c:pt>
                <c:pt idx="159">
                  <c:v>91.584359999999933</c:v>
                </c:pt>
                <c:pt idx="160">
                  <c:v>91.584359999999933</c:v>
                </c:pt>
                <c:pt idx="161">
                  <c:v>91.749379999999931</c:v>
                </c:pt>
                <c:pt idx="162">
                  <c:v>91.914399999999929</c:v>
                </c:pt>
                <c:pt idx="163">
                  <c:v>91.914399999999929</c:v>
                </c:pt>
                <c:pt idx="164">
                  <c:v>92.409449999999936</c:v>
                </c:pt>
                <c:pt idx="165">
                  <c:v>92.739479999999929</c:v>
                </c:pt>
                <c:pt idx="166">
                  <c:v>92.904499999999928</c:v>
                </c:pt>
                <c:pt idx="167">
                  <c:v>95.049709999999934</c:v>
                </c:pt>
                <c:pt idx="168">
                  <c:v>95.049709999999934</c:v>
                </c:pt>
                <c:pt idx="169">
                  <c:v>95.049709999999934</c:v>
                </c:pt>
                <c:pt idx="170">
                  <c:v>95.214729999999932</c:v>
                </c:pt>
                <c:pt idx="171">
                  <c:v>95.214729999999932</c:v>
                </c:pt>
                <c:pt idx="172">
                  <c:v>95.544759999999926</c:v>
                </c:pt>
                <c:pt idx="173">
                  <c:v>97.02990999999993</c:v>
                </c:pt>
                <c:pt idx="174">
                  <c:v>97.524959999999936</c:v>
                </c:pt>
                <c:pt idx="175">
                  <c:v>97.689979999999935</c:v>
                </c:pt>
                <c:pt idx="176">
                  <c:v>97.854999999999933</c:v>
                </c:pt>
                <c:pt idx="177">
                  <c:v>97.854999999999933</c:v>
                </c:pt>
                <c:pt idx="178">
                  <c:v>99.340149999999937</c:v>
                </c:pt>
                <c:pt idx="179">
                  <c:v>99.340149999999937</c:v>
                </c:pt>
                <c:pt idx="180">
                  <c:v>99.505169999999936</c:v>
                </c:pt>
                <c:pt idx="181">
                  <c:v>99.505169999999936</c:v>
                </c:pt>
                <c:pt idx="182">
                  <c:v>99.505169999999936</c:v>
                </c:pt>
                <c:pt idx="183">
                  <c:v>99.505169999999936</c:v>
                </c:pt>
                <c:pt idx="184">
                  <c:v>99.835199999999929</c:v>
                </c:pt>
                <c:pt idx="185">
                  <c:v>100.00021999999993</c:v>
                </c:pt>
                <c:pt idx="186">
                  <c:v>100.00021999999993</c:v>
                </c:pt>
                <c:pt idx="187">
                  <c:v>100.00021999999993</c:v>
                </c:pt>
                <c:pt idx="188">
                  <c:v>100.00021999999993</c:v>
                </c:pt>
                <c:pt idx="189">
                  <c:v>100.00021999999993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231-CA47-9478-37085521F978}"/>
            </c:ext>
          </c:extLst>
        </c:ser>
        <c:ser>
          <c:idx val="2"/>
          <c:order val="2"/>
          <c:tx>
            <c:strRef>
              <c:f>'Cumulative Reverse, %'!$D$1</c:f>
              <c:strCache>
                <c:ptCount val="1"/>
                <c:pt idx="0">
                  <c:v>Слишком дорого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'Cumulative Reverse, %'!$A$2:$A$191</c:f>
              <c:numCache>
                <c:formatCode>General</c:formatCode>
                <c:ptCount val="190"/>
                <c:pt idx="0">
                  <c:v>10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33</c:v>
                </c:pt>
                <c:pt idx="18">
                  <c:v>35</c:v>
                </c:pt>
                <c:pt idx="19">
                  <c:v>40</c:v>
                </c:pt>
                <c:pt idx="20">
                  <c:v>45</c:v>
                </c:pt>
                <c:pt idx="21">
                  <c:v>48</c:v>
                </c:pt>
                <c:pt idx="22">
                  <c:v>49</c:v>
                </c:pt>
                <c:pt idx="23">
                  <c:v>50</c:v>
                </c:pt>
                <c:pt idx="24">
                  <c:v>53</c:v>
                </c:pt>
                <c:pt idx="25">
                  <c:v>54</c:v>
                </c:pt>
                <c:pt idx="26">
                  <c:v>55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65</c:v>
                </c:pt>
                <c:pt idx="31">
                  <c:v>66</c:v>
                </c:pt>
                <c:pt idx="32">
                  <c:v>67</c:v>
                </c:pt>
                <c:pt idx="33">
                  <c:v>69</c:v>
                </c:pt>
                <c:pt idx="34">
                  <c:v>70</c:v>
                </c:pt>
                <c:pt idx="35">
                  <c:v>71</c:v>
                </c:pt>
                <c:pt idx="36">
                  <c:v>72</c:v>
                </c:pt>
                <c:pt idx="37">
                  <c:v>73</c:v>
                </c:pt>
                <c:pt idx="38">
                  <c:v>74</c:v>
                </c:pt>
                <c:pt idx="39">
                  <c:v>75</c:v>
                </c:pt>
                <c:pt idx="40">
                  <c:v>77</c:v>
                </c:pt>
                <c:pt idx="41">
                  <c:v>78</c:v>
                </c:pt>
                <c:pt idx="42">
                  <c:v>79</c:v>
                </c:pt>
                <c:pt idx="43">
                  <c:v>80</c:v>
                </c:pt>
                <c:pt idx="44">
                  <c:v>86</c:v>
                </c:pt>
                <c:pt idx="45">
                  <c:v>87</c:v>
                </c:pt>
                <c:pt idx="46">
                  <c:v>89</c:v>
                </c:pt>
                <c:pt idx="47">
                  <c:v>90</c:v>
                </c:pt>
                <c:pt idx="48">
                  <c:v>95</c:v>
                </c:pt>
                <c:pt idx="49">
                  <c:v>97</c:v>
                </c:pt>
                <c:pt idx="50">
                  <c:v>98</c:v>
                </c:pt>
                <c:pt idx="51">
                  <c:v>99</c:v>
                </c:pt>
                <c:pt idx="52">
                  <c:v>100</c:v>
                </c:pt>
                <c:pt idx="53">
                  <c:v>101</c:v>
                </c:pt>
                <c:pt idx="54">
                  <c:v>102</c:v>
                </c:pt>
                <c:pt idx="55">
                  <c:v>105</c:v>
                </c:pt>
                <c:pt idx="56">
                  <c:v>106</c:v>
                </c:pt>
                <c:pt idx="57">
                  <c:v>110</c:v>
                </c:pt>
                <c:pt idx="58">
                  <c:v>115</c:v>
                </c:pt>
                <c:pt idx="59">
                  <c:v>119</c:v>
                </c:pt>
                <c:pt idx="60">
                  <c:v>120</c:v>
                </c:pt>
                <c:pt idx="61">
                  <c:v>125</c:v>
                </c:pt>
                <c:pt idx="62">
                  <c:v>126</c:v>
                </c:pt>
                <c:pt idx="63">
                  <c:v>127</c:v>
                </c:pt>
                <c:pt idx="64">
                  <c:v>128</c:v>
                </c:pt>
                <c:pt idx="65">
                  <c:v>129</c:v>
                </c:pt>
                <c:pt idx="66">
                  <c:v>130</c:v>
                </c:pt>
                <c:pt idx="67">
                  <c:v>133</c:v>
                </c:pt>
                <c:pt idx="68">
                  <c:v>135</c:v>
                </c:pt>
                <c:pt idx="69">
                  <c:v>138</c:v>
                </c:pt>
                <c:pt idx="70">
                  <c:v>139</c:v>
                </c:pt>
                <c:pt idx="71">
                  <c:v>140</c:v>
                </c:pt>
                <c:pt idx="72">
                  <c:v>142</c:v>
                </c:pt>
                <c:pt idx="73">
                  <c:v>145</c:v>
                </c:pt>
                <c:pt idx="74">
                  <c:v>146</c:v>
                </c:pt>
                <c:pt idx="75">
                  <c:v>148</c:v>
                </c:pt>
                <c:pt idx="76">
                  <c:v>149</c:v>
                </c:pt>
                <c:pt idx="77">
                  <c:v>150</c:v>
                </c:pt>
                <c:pt idx="78">
                  <c:v>154</c:v>
                </c:pt>
                <c:pt idx="79">
                  <c:v>155</c:v>
                </c:pt>
                <c:pt idx="80">
                  <c:v>159</c:v>
                </c:pt>
                <c:pt idx="81">
                  <c:v>160</c:v>
                </c:pt>
                <c:pt idx="82">
                  <c:v>165</c:v>
                </c:pt>
                <c:pt idx="83">
                  <c:v>170</c:v>
                </c:pt>
                <c:pt idx="84">
                  <c:v>171</c:v>
                </c:pt>
                <c:pt idx="85">
                  <c:v>174</c:v>
                </c:pt>
                <c:pt idx="86">
                  <c:v>175</c:v>
                </c:pt>
                <c:pt idx="87">
                  <c:v>180</c:v>
                </c:pt>
                <c:pt idx="88">
                  <c:v>185</c:v>
                </c:pt>
                <c:pt idx="89">
                  <c:v>188</c:v>
                </c:pt>
                <c:pt idx="90">
                  <c:v>189</c:v>
                </c:pt>
                <c:pt idx="91">
                  <c:v>190</c:v>
                </c:pt>
                <c:pt idx="92">
                  <c:v>194</c:v>
                </c:pt>
                <c:pt idx="93">
                  <c:v>195</c:v>
                </c:pt>
                <c:pt idx="94">
                  <c:v>197</c:v>
                </c:pt>
                <c:pt idx="95">
                  <c:v>198</c:v>
                </c:pt>
                <c:pt idx="96">
                  <c:v>199</c:v>
                </c:pt>
                <c:pt idx="97">
                  <c:v>200</c:v>
                </c:pt>
                <c:pt idx="98">
                  <c:v>205</c:v>
                </c:pt>
                <c:pt idx="99">
                  <c:v>209</c:v>
                </c:pt>
                <c:pt idx="100">
                  <c:v>210</c:v>
                </c:pt>
                <c:pt idx="101">
                  <c:v>215</c:v>
                </c:pt>
                <c:pt idx="102">
                  <c:v>219</c:v>
                </c:pt>
                <c:pt idx="103">
                  <c:v>220</c:v>
                </c:pt>
                <c:pt idx="104">
                  <c:v>221</c:v>
                </c:pt>
                <c:pt idx="105">
                  <c:v>225</c:v>
                </c:pt>
                <c:pt idx="106">
                  <c:v>229</c:v>
                </c:pt>
                <c:pt idx="107">
                  <c:v>230</c:v>
                </c:pt>
                <c:pt idx="108">
                  <c:v>237</c:v>
                </c:pt>
                <c:pt idx="109">
                  <c:v>238</c:v>
                </c:pt>
                <c:pt idx="110">
                  <c:v>239</c:v>
                </c:pt>
                <c:pt idx="111">
                  <c:v>240</c:v>
                </c:pt>
                <c:pt idx="112">
                  <c:v>244</c:v>
                </c:pt>
                <c:pt idx="113">
                  <c:v>245</c:v>
                </c:pt>
                <c:pt idx="114">
                  <c:v>246</c:v>
                </c:pt>
                <c:pt idx="115">
                  <c:v>247</c:v>
                </c:pt>
                <c:pt idx="116">
                  <c:v>249</c:v>
                </c:pt>
                <c:pt idx="117">
                  <c:v>250</c:v>
                </c:pt>
                <c:pt idx="118">
                  <c:v>255</c:v>
                </c:pt>
                <c:pt idx="119">
                  <c:v>259</c:v>
                </c:pt>
                <c:pt idx="120">
                  <c:v>260</c:v>
                </c:pt>
                <c:pt idx="121">
                  <c:v>265</c:v>
                </c:pt>
                <c:pt idx="122">
                  <c:v>269</c:v>
                </c:pt>
                <c:pt idx="123">
                  <c:v>270</c:v>
                </c:pt>
                <c:pt idx="124">
                  <c:v>273</c:v>
                </c:pt>
                <c:pt idx="125">
                  <c:v>275</c:v>
                </c:pt>
                <c:pt idx="126">
                  <c:v>279</c:v>
                </c:pt>
                <c:pt idx="127">
                  <c:v>280</c:v>
                </c:pt>
                <c:pt idx="128">
                  <c:v>288</c:v>
                </c:pt>
                <c:pt idx="129">
                  <c:v>289</c:v>
                </c:pt>
                <c:pt idx="130">
                  <c:v>290</c:v>
                </c:pt>
                <c:pt idx="131">
                  <c:v>296</c:v>
                </c:pt>
                <c:pt idx="132">
                  <c:v>298</c:v>
                </c:pt>
                <c:pt idx="133">
                  <c:v>299</c:v>
                </c:pt>
                <c:pt idx="134">
                  <c:v>300</c:v>
                </c:pt>
                <c:pt idx="135">
                  <c:v>301</c:v>
                </c:pt>
                <c:pt idx="136">
                  <c:v>305</c:v>
                </c:pt>
                <c:pt idx="137">
                  <c:v>306</c:v>
                </c:pt>
                <c:pt idx="138">
                  <c:v>309</c:v>
                </c:pt>
                <c:pt idx="139">
                  <c:v>310</c:v>
                </c:pt>
                <c:pt idx="140">
                  <c:v>312</c:v>
                </c:pt>
                <c:pt idx="141">
                  <c:v>316</c:v>
                </c:pt>
                <c:pt idx="142">
                  <c:v>320</c:v>
                </c:pt>
                <c:pt idx="143">
                  <c:v>325</c:v>
                </c:pt>
                <c:pt idx="144">
                  <c:v>330</c:v>
                </c:pt>
                <c:pt idx="145">
                  <c:v>340</c:v>
                </c:pt>
                <c:pt idx="146">
                  <c:v>349</c:v>
                </c:pt>
                <c:pt idx="147">
                  <c:v>350</c:v>
                </c:pt>
                <c:pt idx="148">
                  <c:v>351</c:v>
                </c:pt>
                <c:pt idx="149">
                  <c:v>355</c:v>
                </c:pt>
                <c:pt idx="150">
                  <c:v>360</c:v>
                </c:pt>
                <c:pt idx="151">
                  <c:v>365</c:v>
                </c:pt>
                <c:pt idx="152">
                  <c:v>369</c:v>
                </c:pt>
                <c:pt idx="153">
                  <c:v>370</c:v>
                </c:pt>
                <c:pt idx="154">
                  <c:v>375</c:v>
                </c:pt>
                <c:pt idx="155">
                  <c:v>380</c:v>
                </c:pt>
                <c:pt idx="156">
                  <c:v>390</c:v>
                </c:pt>
                <c:pt idx="157">
                  <c:v>398</c:v>
                </c:pt>
                <c:pt idx="158">
                  <c:v>399</c:v>
                </c:pt>
                <c:pt idx="159">
                  <c:v>400</c:v>
                </c:pt>
                <c:pt idx="160">
                  <c:v>410</c:v>
                </c:pt>
                <c:pt idx="161">
                  <c:v>415</c:v>
                </c:pt>
                <c:pt idx="162">
                  <c:v>420</c:v>
                </c:pt>
                <c:pt idx="163">
                  <c:v>425</c:v>
                </c:pt>
                <c:pt idx="164">
                  <c:v>430</c:v>
                </c:pt>
                <c:pt idx="165">
                  <c:v>440</c:v>
                </c:pt>
                <c:pt idx="166">
                  <c:v>449</c:v>
                </c:pt>
                <c:pt idx="167">
                  <c:v>450</c:v>
                </c:pt>
                <c:pt idx="168">
                  <c:v>458</c:v>
                </c:pt>
                <c:pt idx="169">
                  <c:v>460</c:v>
                </c:pt>
                <c:pt idx="170">
                  <c:v>470</c:v>
                </c:pt>
                <c:pt idx="171">
                  <c:v>480</c:v>
                </c:pt>
                <c:pt idx="172">
                  <c:v>499</c:v>
                </c:pt>
                <c:pt idx="173">
                  <c:v>500</c:v>
                </c:pt>
                <c:pt idx="174">
                  <c:v>550</c:v>
                </c:pt>
                <c:pt idx="175">
                  <c:v>570</c:v>
                </c:pt>
                <c:pt idx="176">
                  <c:v>575</c:v>
                </c:pt>
                <c:pt idx="177">
                  <c:v>579</c:v>
                </c:pt>
                <c:pt idx="178">
                  <c:v>600</c:v>
                </c:pt>
                <c:pt idx="179">
                  <c:v>630</c:v>
                </c:pt>
                <c:pt idx="180">
                  <c:v>650</c:v>
                </c:pt>
                <c:pt idx="181">
                  <c:v>670</c:v>
                </c:pt>
                <c:pt idx="182">
                  <c:v>679</c:v>
                </c:pt>
                <c:pt idx="183">
                  <c:v>699</c:v>
                </c:pt>
                <c:pt idx="184">
                  <c:v>700</c:v>
                </c:pt>
                <c:pt idx="185">
                  <c:v>750</c:v>
                </c:pt>
                <c:pt idx="186">
                  <c:v>800</c:v>
                </c:pt>
                <c:pt idx="187">
                  <c:v>900</c:v>
                </c:pt>
                <c:pt idx="188">
                  <c:v>1000</c:v>
                </c:pt>
                <c:pt idx="189">
                  <c:v>3000</c:v>
                </c:pt>
              </c:numCache>
            </c:numRef>
          </c:xVal>
          <c:yVal>
            <c:numRef>
              <c:f>'Cumulative Reverse, %'!$D$2:$D$191</c:f>
              <c:numCache>
                <c:formatCode>0.0</c:formatCode>
                <c:ptCount val="19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0.16502</c:v>
                </c:pt>
                <c:pt idx="8">
                  <c:v>0.33004</c:v>
                </c:pt>
                <c:pt idx="9">
                  <c:v>0.49506</c:v>
                </c:pt>
                <c:pt idx="10">
                  <c:v>0.66008</c:v>
                </c:pt>
                <c:pt idx="11">
                  <c:v>0.66008</c:v>
                </c:pt>
                <c:pt idx="12">
                  <c:v>0.82509999999999994</c:v>
                </c:pt>
                <c:pt idx="13">
                  <c:v>0.82509999999999994</c:v>
                </c:pt>
                <c:pt idx="14">
                  <c:v>0.82509999999999994</c:v>
                </c:pt>
                <c:pt idx="15">
                  <c:v>0.82509999999999994</c:v>
                </c:pt>
                <c:pt idx="16">
                  <c:v>0.82509999999999994</c:v>
                </c:pt>
                <c:pt idx="17">
                  <c:v>0.82509999999999994</c:v>
                </c:pt>
                <c:pt idx="18">
                  <c:v>0.82509999999999994</c:v>
                </c:pt>
                <c:pt idx="19">
                  <c:v>0.82509999999999994</c:v>
                </c:pt>
                <c:pt idx="20">
                  <c:v>0.82509999999999994</c:v>
                </c:pt>
                <c:pt idx="21">
                  <c:v>0.82509999999999994</c:v>
                </c:pt>
                <c:pt idx="22">
                  <c:v>0.82509999999999994</c:v>
                </c:pt>
                <c:pt idx="23">
                  <c:v>0.99011999999999989</c:v>
                </c:pt>
                <c:pt idx="24">
                  <c:v>0.99011999999999989</c:v>
                </c:pt>
                <c:pt idx="25">
                  <c:v>0.99011999999999989</c:v>
                </c:pt>
                <c:pt idx="26">
                  <c:v>0.99011999999999989</c:v>
                </c:pt>
                <c:pt idx="27">
                  <c:v>0.99011999999999989</c:v>
                </c:pt>
                <c:pt idx="28">
                  <c:v>0.99011999999999989</c:v>
                </c:pt>
                <c:pt idx="29">
                  <c:v>1.6501899999999998</c:v>
                </c:pt>
                <c:pt idx="30">
                  <c:v>1.6501899999999998</c:v>
                </c:pt>
                <c:pt idx="31">
                  <c:v>1.6501899999999998</c:v>
                </c:pt>
                <c:pt idx="32">
                  <c:v>1.6501899999999998</c:v>
                </c:pt>
                <c:pt idx="33">
                  <c:v>1.8152099999999998</c:v>
                </c:pt>
                <c:pt idx="34">
                  <c:v>2.6402899999999998</c:v>
                </c:pt>
                <c:pt idx="35">
                  <c:v>2.6402899999999998</c:v>
                </c:pt>
                <c:pt idx="36">
                  <c:v>2.80531</c:v>
                </c:pt>
                <c:pt idx="37">
                  <c:v>2.80531</c:v>
                </c:pt>
                <c:pt idx="38">
                  <c:v>2.9703300000000001</c:v>
                </c:pt>
                <c:pt idx="39">
                  <c:v>2.9703300000000001</c:v>
                </c:pt>
                <c:pt idx="40">
                  <c:v>2.9703300000000001</c:v>
                </c:pt>
                <c:pt idx="41">
                  <c:v>2.9703300000000001</c:v>
                </c:pt>
                <c:pt idx="42">
                  <c:v>2.9703300000000001</c:v>
                </c:pt>
                <c:pt idx="43">
                  <c:v>3.30036</c:v>
                </c:pt>
                <c:pt idx="44">
                  <c:v>3.4653800000000001</c:v>
                </c:pt>
                <c:pt idx="45">
                  <c:v>3.4653800000000001</c:v>
                </c:pt>
                <c:pt idx="46">
                  <c:v>3.4653800000000001</c:v>
                </c:pt>
                <c:pt idx="47">
                  <c:v>3.6304000000000003</c:v>
                </c:pt>
                <c:pt idx="48">
                  <c:v>3.6304000000000003</c:v>
                </c:pt>
                <c:pt idx="49">
                  <c:v>3.6304000000000003</c:v>
                </c:pt>
                <c:pt idx="50">
                  <c:v>3.6304000000000003</c:v>
                </c:pt>
                <c:pt idx="51">
                  <c:v>3.6304000000000003</c:v>
                </c:pt>
                <c:pt idx="52">
                  <c:v>4.9505300000000005</c:v>
                </c:pt>
                <c:pt idx="53">
                  <c:v>5.1155500000000007</c:v>
                </c:pt>
                <c:pt idx="54">
                  <c:v>5.4455800000000005</c:v>
                </c:pt>
                <c:pt idx="55">
                  <c:v>5.4455800000000005</c:v>
                </c:pt>
                <c:pt idx="56">
                  <c:v>5.6106000000000007</c:v>
                </c:pt>
                <c:pt idx="57">
                  <c:v>5.7756200000000009</c:v>
                </c:pt>
                <c:pt idx="58">
                  <c:v>5.940640000000001</c:v>
                </c:pt>
                <c:pt idx="59">
                  <c:v>5.940640000000001</c:v>
                </c:pt>
                <c:pt idx="60">
                  <c:v>7.2607700000000008</c:v>
                </c:pt>
                <c:pt idx="61">
                  <c:v>7.2607700000000008</c:v>
                </c:pt>
                <c:pt idx="62">
                  <c:v>7.2607700000000008</c:v>
                </c:pt>
                <c:pt idx="63">
                  <c:v>7.2607700000000008</c:v>
                </c:pt>
                <c:pt idx="64">
                  <c:v>7.425790000000001</c:v>
                </c:pt>
                <c:pt idx="65">
                  <c:v>7.425790000000001</c:v>
                </c:pt>
                <c:pt idx="66">
                  <c:v>7.7558200000000008</c:v>
                </c:pt>
                <c:pt idx="67">
                  <c:v>7.920840000000001</c:v>
                </c:pt>
                <c:pt idx="68">
                  <c:v>7.920840000000001</c:v>
                </c:pt>
                <c:pt idx="69">
                  <c:v>7.920840000000001</c:v>
                </c:pt>
                <c:pt idx="70">
                  <c:v>8.0858600000000003</c:v>
                </c:pt>
                <c:pt idx="71">
                  <c:v>8.5809099999999994</c:v>
                </c:pt>
                <c:pt idx="72">
                  <c:v>8.5809099999999994</c:v>
                </c:pt>
                <c:pt idx="73">
                  <c:v>8.5809099999999994</c:v>
                </c:pt>
                <c:pt idx="74">
                  <c:v>8.5809099999999994</c:v>
                </c:pt>
                <c:pt idx="75">
                  <c:v>8.5809099999999994</c:v>
                </c:pt>
                <c:pt idx="76">
                  <c:v>8.7459299999999995</c:v>
                </c:pt>
                <c:pt idx="77">
                  <c:v>13.20138</c:v>
                </c:pt>
                <c:pt idx="78">
                  <c:v>13.20138</c:v>
                </c:pt>
                <c:pt idx="79">
                  <c:v>13.20138</c:v>
                </c:pt>
                <c:pt idx="80">
                  <c:v>13.20138</c:v>
                </c:pt>
                <c:pt idx="81">
                  <c:v>14.19148</c:v>
                </c:pt>
                <c:pt idx="82">
                  <c:v>14.19148</c:v>
                </c:pt>
                <c:pt idx="83">
                  <c:v>15.3466</c:v>
                </c:pt>
                <c:pt idx="84">
                  <c:v>15.3466</c:v>
                </c:pt>
                <c:pt idx="85">
                  <c:v>15.3466</c:v>
                </c:pt>
                <c:pt idx="86">
                  <c:v>15.3466</c:v>
                </c:pt>
                <c:pt idx="87">
                  <c:v>16.83175</c:v>
                </c:pt>
                <c:pt idx="88">
                  <c:v>16.83175</c:v>
                </c:pt>
                <c:pt idx="89">
                  <c:v>16.83175</c:v>
                </c:pt>
                <c:pt idx="90">
                  <c:v>16.83175</c:v>
                </c:pt>
                <c:pt idx="91">
                  <c:v>17.16178</c:v>
                </c:pt>
                <c:pt idx="92">
                  <c:v>17.16178</c:v>
                </c:pt>
                <c:pt idx="93">
                  <c:v>17.326799999999999</c:v>
                </c:pt>
                <c:pt idx="94">
                  <c:v>17.326799999999999</c:v>
                </c:pt>
                <c:pt idx="95">
                  <c:v>17.326799999999999</c:v>
                </c:pt>
                <c:pt idx="96">
                  <c:v>17.98687</c:v>
                </c:pt>
                <c:pt idx="97">
                  <c:v>26.2377</c:v>
                </c:pt>
                <c:pt idx="98">
                  <c:v>26.402719999999999</c:v>
                </c:pt>
                <c:pt idx="99">
                  <c:v>26.567739999999997</c:v>
                </c:pt>
                <c:pt idx="100">
                  <c:v>27.062789999999996</c:v>
                </c:pt>
                <c:pt idx="101">
                  <c:v>27.062789999999996</c:v>
                </c:pt>
                <c:pt idx="102">
                  <c:v>27.062789999999996</c:v>
                </c:pt>
                <c:pt idx="103">
                  <c:v>27.392819999999997</c:v>
                </c:pt>
                <c:pt idx="104">
                  <c:v>27.392819999999997</c:v>
                </c:pt>
                <c:pt idx="105">
                  <c:v>27.392819999999997</c:v>
                </c:pt>
                <c:pt idx="106">
                  <c:v>27.392819999999997</c:v>
                </c:pt>
                <c:pt idx="107">
                  <c:v>29.207999999999998</c:v>
                </c:pt>
                <c:pt idx="108">
                  <c:v>29.207999999999998</c:v>
                </c:pt>
                <c:pt idx="109">
                  <c:v>29.207999999999998</c:v>
                </c:pt>
                <c:pt idx="110">
                  <c:v>29.207999999999998</c:v>
                </c:pt>
                <c:pt idx="111">
                  <c:v>29.703049999999998</c:v>
                </c:pt>
                <c:pt idx="112">
                  <c:v>29.703049999999998</c:v>
                </c:pt>
                <c:pt idx="113">
                  <c:v>29.703049999999998</c:v>
                </c:pt>
                <c:pt idx="114">
                  <c:v>29.703049999999998</c:v>
                </c:pt>
                <c:pt idx="115">
                  <c:v>29.868069999999996</c:v>
                </c:pt>
                <c:pt idx="116">
                  <c:v>29.868069999999996</c:v>
                </c:pt>
                <c:pt idx="117">
                  <c:v>36.798759999999994</c:v>
                </c:pt>
                <c:pt idx="118">
                  <c:v>36.798759999999994</c:v>
                </c:pt>
                <c:pt idx="119">
                  <c:v>36.798759999999994</c:v>
                </c:pt>
                <c:pt idx="120">
                  <c:v>37.788859999999993</c:v>
                </c:pt>
                <c:pt idx="121">
                  <c:v>37.788859999999993</c:v>
                </c:pt>
                <c:pt idx="122">
                  <c:v>37.788859999999993</c:v>
                </c:pt>
                <c:pt idx="123">
                  <c:v>38.778959999999991</c:v>
                </c:pt>
                <c:pt idx="124">
                  <c:v>38.778959999999991</c:v>
                </c:pt>
                <c:pt idx="125">
                  <c:v>38.778959999999991</c:v>
                </c:pt>
                <c:pt idx="126">
                  <c:v>38.943979999999989</c:v>
                </c:pt>
                <c:pt idx="127">
                  <c:v>39.769059999999989</c:v>
                </c:pt>
                <c:pt idx="128">
                  <c:v>39.769059999999989</c:v>
                </c:pt>
                <c:pt idx="129">
                  <c:v>40.09908999999999</c:v>
                </c:pt>
                <c:pt idx="130">
                  <c:v>40.42911999999999</c:v>
                </c:pt>
                <c:pt idx="131">
                  <c:v>40.594139999999989</c:v>
                </c:pt>
                <c:pt idx="132">
                  <c:v>40.594139999999989</c:v>
                </c:pt>
                <c:pt idx="133">
                  <c:v>40.759159999999987</c:v>
                </c:pt>
                <c:pt idx="134">
                  <c:v>53.465429999999984</c:v>
                </c:pt>
                <c:pt idx="135">
                  <c:v>53.465429999999984</c:v>
                </c:pt>
                <c:pt idx="136">
                  <c:v>53.630449999999982</c:v>
                </c:pt>
                <c:pt idx="137">
                  <c:v>53.630449999999982</c:v>
                </c:pt>
                <c:pt idx="138">
                  <c:v>53.630449999999982</c:v>
                </c:pt>
                <c:pt idx="139">
                  <c:v>54.125499999999981</c:v>
                </c:pt>
                <c:pt idx="140">
                  <c:v>54.125499999999981</c:v>
                </c:pt>
                <c:pt idx="141">
                  <c:v>54.290519999999979</c:v>
                </c:pt>
                <c:pt idx="142">
                  <c:v>55.445639999999976</c:v>
                </c:pt>
                <c:pt idx="143">
                  <c:v>55.445639999999976</c:v>
                </c:pt>
                <c:pt idx="144">
                  <c:v>56.270719999999976</c:v>
                </c:pt>
                <c:pt idx="145">
                  <c:v>56.270719999999976</c:v>
                </c:pt>
                <c:pt idx="146">
                  <c:v>56.435739999999974</c:v>
                </c:pt>
                <c:pt idx="147">
                  <c:v>63.531449999999978</c:v>
                </c:pt>
                <c:pt idx="148">
                  <c:v>63.861479999999979</c:v>
                </c:pt>
                <c:pt idx="149">
                  <c:v>64.19150999999998</c:v>
                </c:pt>
                <c:pt idx="150">
                  <c:v>64.686559999999986</c:v>
                </c:pt>
                <c:pt idx="151">
                  <c:v>64.686559999999986</c:v>
                </c:pt>
                <c:pt idx="152">
                  <c:v>64.686559999999986</c:v>
                </c:pt>
                <c:pt idx="153">
                  <c:v>65.34662999999999</c:v>
                </c:pt>
                <c:pt idx="154">
                  <c:v>65.34662999999999</c:v>
                </c:pt>
                <c:pt idx="155">
                  <c:v>66.17170999999999</c:v>
                </c:pt>
                <c:pt idx="156">
                  <c:v>66.336729999999989</c:v>
                </c:pt>
                <c:pt idx="157">
                  <c:v>66.336729999999989</c:v>
                </c:pt>
                <c:pt idx="158">
                  <c:v>67.326829999999987</c:v>
                </c:pt>
                <c:pt idx="159">
                  <c:v>77.722869999999986</c:v>
                </c:pt>
                <c:pt idx="160">
                  <c:v>77.887889999999985</c:v>
                </c:pt>
                <c:pt idx="161">
                  <c:v>77.887889999999985</c:v>
                </c:pt>
                <c:pt idx="162">
                  <c:v>78.052909999999983</c:v>
                </c:pt>
                <c:pt idx="163">
                  <c:v>78.217929999999981</c:v>
                </c:pt>
                <c:pt idx="164">
                  <c:v>78.38294999999998</c:v>
                </c:pt>
                <c:pt idx="165">
                  <c:v>78.547969999999978</c:v>
                </c:pt>
                <c:pt idx="166">
                  <c:v>78.547969999999978</c:v>
                </c:pt>
                <c:pt idx="167">
                  <c:v>82.508369999999985</c:v>
                </c:pt>
                <c:pt idx="168">
                  <c:v>82.673389999999984</c:v>
                </c:pt>
                <c:pt idx="169">
                  <c:v>82.838409999999982</c:v>
                </c:pt>
                <c:pt idx="170">
                  <c:v>83.168439999999975</c:v>
                </c:pt>
                <c:pt idx="171">
                  <c:v>83.498469999999969</c:v>
                </c:pt>
                <c:pt idx="172">
                  <c:v>83.993519999999975</c:v>
                </c:pt>
                <c:pt idx="173">
                  <c:v>92.07932999999997</c:v>
                </c:pt>
                <c:pt idx="174">
                  <c:v>92.574379999999977</c:v>
                </c:pt>
                <c:pt idx="175">
                  <c:v>92.739399999999975</c:v>
                </c:pt>
                <c:pt idx="176">
                  <c:v>92.739399999999975</c:v>
                </c:pt>
                <c:pt idx="177">
                  <c:v>92.904419999999973</c:v>
                </c:pt>
                <c:pt idx="178">
                  <c:v>95.874719999999968</c:v>
                </c:pt>
                <c:pt idx="179">
                  <c:v>96.039739999999966</c:v>
                </c:pt>
                <c:pt idx="180">
                  <c:v>96.699809999999971</c:v>
                </c:pt>
                <c:pt idx="181">
                  <c:v>96.864829999999969</c:v>
                </c:pt>
                <c:pt idx="182">
                  <c:v>97.029849999999968</c:v>
                </c:pt>
                <c:pt idx="183">
                  <c:v>97.194869999999966</c:v>
                </c:pt>
                <c:pt idx="184">
                  <c:v>98.184969999999964</c:v>
                </c:pt>
                <c:pt idx="185">
                  <c:v>98.349989999999963</c:v>
                </c:pt>
                <c:pt idx="186">
                  <c:v>98.680019999999956</c:v>
                </c:pt>
                <c:pt idx="187">
                  <c:v>99.175069999999963</c:v>
                </c:pt>
                <c:pt idx="188">
                  <c:v>99.835139999999967</c:v>
                </c:pt>
                <c:pt idx="189">
                  <c:v>100.00015999999997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231-CA47-9478-37085521F978}"/>
            </c:ext>
          </c:extLst>
        </c:ser>
        <c:ser>
          <c:idx val="3"/>
          <c:order val="3"/>
          <c:tx>
            <c:strRef>
              <c:f>'Cumulative Reverse, %'!$E$1</c:f>
              <c:strCache>
                <c:ptCount val="1"/>
                <c:pt idx="0">
                  <c:v>Подозрительно дешево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'Cumulative Reverse, %'!$A$2:$A$191</c:f>
              <c:numCache>
                <c:formatCode>General</c:formatCode>
                <c:ptCount val="190"/>
                <c:pt idx="0">
                  <c:v>10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33</c:v>
                </c:pt>
                <c:pt idx="18">
                  <c:v>35</c:v>
                </c:pt>
                <c:pt idx="19">
                  <c:v>40</c:v>
                </c:pt>
                <c:pt idx="20">
                  <c:v>45</c:v>
                </c:pt>
                <c:pt idx="21">
                  <c:v>48</c:v>
                </c:pt>
                <c:pt idx="22">
                  <c:v>49</c:v>
                </c:pt>
                <c:pt idx="23">
                  <c:v>50</c:v>
                </c:pt>
                <c:pt idx="24">
                  <c:v>53</c:v>
                </c:pt>
                <c:pt idx="25">
                  <c:v>54</c:v>
                </c:pt>
                <c:pt idx="26">
                  <c:v>55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65</c:v>
                </c:pt>
                <c:pt idx="31">
                  <c:v>66</c:v>
                </c:pt>
                <c:pt idx="32">
                  <c:v>67</c:v>
                </c:pt>
                <c:pt idx="33">
                  <c:v>69</c:v>
                </c:pt>
                <c:pt idx="34">
                  <c:v>70</c:v>
                </c:pt>
                <c:pt idx="35">
                  <c:v>71</c:v>
                </c:pt>
                <c:pt idx="36">
                  <c:v>72</c:v>
                </c:pt>
                <c:pt idx="37">
                  <c:v>73</c:v>
                </c:pt>
                <c:pt idx="38">
                  <c:v>74</c:v>
                </c:pt>
                <c:pt idx="39">
                  <c:v>75</c:v>
                </c:pt>
                <c:pt idx="40">
                  <c:v>77</c:v>
                </c:pt>
                <c:pt idx="41">
                  <c:v>78</c:v>
                </c:pt>
                <c:pt idx="42">
                  <c:v>79</c:v>
                </c:pt>
                <c:pt idx="43">
                  <c:v>80</c:v>
                </c:pt>
                <c:pt idx="44">
                  <c:v>86</c:v>
                </c:pt>
                <c:pt idx="45">
                  <c:v>87</c:v>
                </c:pt>
                <c:pt idx="46">
                  <c:v>89</c:v>
                </c:pt>
                <c:pt idx="47">
                  <c:v>90</c:v>
                </c:pt>
                <c:pt idx="48">
                  <c:v>95</c:v>
                </c:pt>
                <c:pt idx="49">
                  <c:v>97</c:v>
                </c:pt>
                <c:pt idx="50">
                  <c:v>98</c:v>
                </c:pt>
                <c:pt idx="51">
                  <c:v>99</c:v>
                </c:pt>
                <c:pt idx="52">
                  <c:v>100</c:v>
                </c:pt>
                <c:pt idx="53">
                  <c:v>101</c:v>
                </c:pt>
                <c:pt idx="54">
                  <c:v>102</c:v>
                </c:pt>
                <c:pt idx="55">
                  <c:v>105</c:v>
                </c:pt>
                <c:pt idx="56">
                  <c:v>106</c:v>
                </c:pt>
                <c:pt idx="57">
                  <c:v>110</c:v>
                </c:pt>
                <c:pt idx="58">
                  <c:v>115</c:v>
                </c:pt>
                <c:pt idx="59">
                  <c:v>119</c:v>
                </c:pt>
                <c:pt idx="60">
                  <c:v>120</c:v>
                </c:pt>
                <c:pt idx="61">
                  <c:v>125</c:v>
                </c:pt>
                <c:pt idx="62">
                  <c:v>126</c:v>
                </c:pt>
                <c:pt idx="63">
                  <c:v>127</c:v>
                </c:pt>
                <c:pt idx="64">
                  <c:v>128</c:v>
                </c:pt>
                <c:pt idx="65">
                  <c:v>129</c:v>
                </c:pt>
                <c:pt idx="66">
                  <c:v>130</c:v>
                </c:pt>
                <c:pt idx="67">
                  <c:v>133</c:v>
                </c:pt>
                <c:pt idx="68">
                  <c:v>135</c:v>
                </c:pt>
                <c:pt idx="69">
                  <c:v>138</c:v>
                </c:pt>
                <c:pt idx="70">
                  <c:v>139</c:v>
                </c:pt>
                <c:pt idx="71">
                  <c:v>140</c:v>
                </c:pt>
                <c:pt idx="72">
                  <c:v>142</c:v>
                </c:pt>
                <c:pt idx="73">
                  <c:v>145</c:v>
                </c:pt>
                <c:pt idx="74">
                  <c:v>146</c:v>
                </c:pt>
                <c:pt idx="75">
                  <c:v>148</c:v>
                </c:pt>
                <c:pt idx="76">
                  <c:v>149</c:v>
                </c:pt>
                <c:pt idx="77">
                  <c:v>150</c:v>
                </c:pt>
                <c:pt idx="78">
                  <c:v>154</c:v>
                </c:pt>
                <c:pt idx="79">
                  <c:v>155</c:v>
                </c:pt>
                <c:pt idx="80">
                  <c:v>159</c:v>
                </c:pt>
                <c:pt idx="81">
                  <c:v>160</c:v>
                </c:pt>
                <c:pt idx="82">
                  <c:v>165</c:v>
                </c:pt>
                <c:pt idx="83">
                  <c:v>170</c:v>
                </c:pt>
                <c:pt idx="84">
                  <c:v>171</c:v>
                </c:pt>
                <c:pt idx="85">
                  <c:v>174</c:v>
                </c:pt>
                <c:pt idx="86">
                  <c:v>175</c:v>
                </c:pt>
                <c:pt idx="87">
                  <c:v>180</c:v>
                </c:pt>
                <c:pt idx="88">
                  <c:v>185</c:v>
                </c:pt>
                <c:pt idx="89">
                  <c:v>188</c:v>
                </c:pt>
                <c:pt idx="90">
                  <c:v>189</c:v>
                </c:pt>
                <c:pt idx="91">
                  <c:v>190</c:v>
                </c:pt>
                <c:pt idx="92">
                  <c:v>194</c:v>
                </c:pt>
                <c:pt idx="93">
                  <c:v>195</c:v>
                </c:pt>
                <c:pt idx="94">
                  <c:v>197</c:v>
                </c:pt>
                <c:pt idx="95">
                  <c:v>198</c:v>
                </c:pt>
                <c:pt idx="96">
                  <c:v>199</c:v>
                </c:pt>
                <c:pt idx="97">
                  <c:v>200</c:v>
                </c:pt>
                <c:pt idx="98">
                  <c:v>205</c:v>
                </c:pt>
                <c:pt idx="99">
                  <c:v>209</c:v>
                </c:pt>
                <c:pt idx="100">
                  <c:v>210</c:v>
                </c:pt>
                <c:pt idx="101">
                  <c:v>215</c:v>
                </c:pt>
                <c:pt idx="102">
                  <c:v>219</c:v>
                </c:pt>
                <c:pt idx="103">
                  <c:v>220</c:v>
                </c:pt>
                <c:pt idx="104">
                  <c:v>221</c:v>
                </c:pt>
                <c:pt idx="105">
                  <c:v>225</c:v>
                </c:pt>
                <c:pt idx="106">
                  <c:v>229</c:v>
                </c:pt>
                <c:pt idx="107">
                  <c:v>230</c:v>
                </c:pt>
                <c:pt idx="108">
                  <c:v>237</c:v>
                </c:pt>
                <c:pt idx="109">
                  <c:v>238</c:v>
                </c:pt>
                <c:pt idx="110">
                  <c:v>239</c:v>
                </c:pt>
                <c:pt idx="111">
                  <c:v>240</c:v>
                </c:pt>
                <c:pt idx="112">
                  <c:v>244</c:v>
                </c:pt>
                <c:pt idx="113">
                  <c:v>245</c:v>
                </c:pt>
                <c:pt idx="114">
                  <c:v>246</c:v>
                </c:pt>
                <c:pt idx="115">
                  <c:v>247</c:v>
                </c:pt>
                <c:pt idx="116">
                  <c:v>249</c:v>
                </c:pt>
                <c:pt idx="117">
                  <c:v>250</c:v>
                </c:pt>
                <c:pt idx="118">
                  <c:v>255</c:v>
                </c:pt>
                <c:pt idx="119">
                  <c:v>259</c:v>
                </c:pt>
                <c:pt idx="120">
                  <c:v>260</c:v>
                </c:pt>
                <c:pt idx="121">
                  <c:v>265</c:v>
                </c:pt>
                <c:pt idx="122">
                  <c:v>269</c:v>
                </c:pt>
                <c:pt idx="123">
                  <c:v>270</c:v>
                </c:pt>
                <c:pt idx="124">
                  <c:v>273</c:v>
                </c:pt>
                <c:pt idx="125">
                  <c:v>275</c:v>
                </c:pt>
                <c:pt idx="126">
                  <c:v>279</c:v>
                </c:pt>
                <c:pt idx="127">
                  <c:v>280</c:v>
                </c:pt>
                <c:pt idx="128">
                  <c:v>288</c:v>
                </c:pt>
                <c:pt idx="129">
                  <c:v>289</c:v>
                </c:pt>
                <c:pt idx="130">
                  <c:v>290</c:v>
                </c:pt>
                <c:pt idx="131">
                  <c:v>296</c:v>
                </c:pt>
                <c:pt idx="132">
                  <c:v>298</c:v>
                </c:pt>
                <c:pt idx="133">
                  <c:v>299</c:v>
                </c:pt>
                <c:pt idx="134">
                  <c:v>300</c:v>
                </c:pt>
                <c:pt idx="135">
                  <c:v>301</c:v>
                </c:pt>
                <c:pt idx="136">
                  <c:v>305</c:v>
                </c:pt>
                <c:pt idx="137">
                  <c:v>306</c:v>
                </c:pt>
                <c:pt idx="138">
                  <c:v>309</c:v>
                </c:pt>
                <c:pt idx="139">
                  <c:v>310</c:v>
                </c:pt>
                <c:pt idx="140">
                  <c:v>312</c:v>
                </c:pt>
                <c:pt idx="141">
                  <c:v>316</c:v>
                </c:pt>
                <c:pt idx="142">
                  <c:v>320</c:v>
                </c:pt>
                <c:pt idx="143">
                  <c:v>325</c:v>
                </c:pt>
                <c:pt idx="144">
                  <c:v>330</c:v>
                </c:pt>
                <c:pt idx="145">
                  <c:v>340</c:v>
                </c:pt>
                <c:pt idx="146">
                  <c:v>349</c:v>
                </c:pt>
                <c:pt idx="147">
                  <c:v>350</c:v>
                </c:pt>
                <c:pt idx="148">
                  <c:v>351</c:v>
                </c:pt>
                <c:pt idx="149">
                  <c:v>355</c:v>
                </c:pt>
                <c:pt idx="150">
                  <c:v>360</c:v>
                </c:pt>
                <c:pt idx="151">
                  <c:v>365</c:v>
                </c:pt>
                <c:pt idx="152">
                  <c:v>369</c:v>
                </c:pt>
                <c:pt idx="153">
                  <c:v>370</c:v>
                </c:pt>
                <c:pt idx="154">
                  <c:v>375</c:v>
                </c:pt>
                <c:pt idx="155">
                  <c:v>380</c:v>
                </c:pt>
                <c:pt idx="156">
                  <c:v>390</c:v>
                </c:pt>
                <c:pt idx="157">
                  <c:v>398</c:v>
                </c:pt>
                <c:pt idx="158">
                  <c:v>399</c:v>
                </c:pt>
                <c:pt idx="159">
                  <c:v>400</c:v>
                </c:pt>
                <c:pt idx="160">
                  <c:v>410</c:v>
                </c:pt>
                <c:pt idx="161">
                  <c:v>415</c:v>
                </c:pt>
                <c:pt idx="162">
                  <c:v>420</c:v>
                </c:pt>
                <c:pt idx="163">
                  <c:v>425</c:v>
                </c:pt>
                <c:pt idx="164">
                  <c:v>430</c:v>
                </c:pt>
                <c:pt idx="165">
                  <c:v>440</c:v>
                </c:pt>
                <c:pt idx="166">
                  <c:v>449</c:v>
                </c:pt>
                <c:pt idx="167">
                  <c:v>450</c:v>
                </c:pt>
                <c:pt idx="168">
                  <c:v>458</c:v>
                </c:pt>
                <c:pt idx="169">
                  <c:v>460</c:v>
                </c:pt>
                <c:pt idx="170">
                  <c:v>470</c:v>
                </c:pt>
                <c:pt idx="171">
                  <c:v>480</c:v>
                </c:pt>
                <c:pt idx="172">
                  <c:v>499</c:v>
                </c:pt>
                <c:pt idx="173">
                  <c:v>500</c:v>
                </c:pt>
                <c:pt idx="174">
                  <c:v>550</c:v>
                </c:pt>
                <c:pt idx="175">
                  <c:v>570</c:v>
                </c:pt>
                <c:pt idx="176">
                  <c:v>575</c:v>
                </c:pt>
                <c:pt idx="177">
                  <c:v>579</c:v>
                </c:pt>
                <c:pt idx="178">
                  <c:v>600</c:v>
                </c:pt>
                <c:pt idx="179">
                  <c:v>630</c:v>
                </c:pt>
                <c:pt idx="180">
                  <c:v>650</c:v>
                </c:pt>
                <c:pt idx="181">
                  <c:v>670</c:v>
                </c:pt>
                <c:pt idx="182">
                  <c:v>679</c:v>
                </c:pt>
                <c:pt idx="183">
                  <c:v>699</c:v>
                </c:pt>
                <c:pt idx="184">
                  <c:v>700</c:v>
                </c:pt>
                <c:pt idx="185">
                  <c:v>750</c:v>
                </c:pt>
                <c:pt idx="186">
                  <c:v>800</c:v>
                </c:pt>
                <c:pt idx="187">
                  <c:v>900</c:v>
                </c:pt>
                <c:pt idx="188">
                  <c:v>1000</c:v>
                </c:pt>
                <c:pt idx="189">
                  <c:v>3000</c:v>
                </c:pt>
              </c:numCache>
            </c:numRef>
          </c:xVal>
          <c:yVal>
            <c:numRef>
              <c:f>'Cumulative Reverse, %'!$E$2:$E$191</c:f>
              <c:numCache>
                <c:formatCode>0.0</c:formatCode>
                <c:ptCount val="190"/>
                <c:pt idx="0">
                  <c:v>95.874589999999998</c:v>
                </c:pt>
                <c:pt idx="1">
                  <c:v>95.709569999999999</c:v>
                </c:pt>
                <c:pt idx="2">
                  <c:v>95.544550000000001</c:v>
                </c:pt>
                <c:pt idx="3">
                  <c:v>95.214519999999993</c:v>
                </c:pt>
                <c:pt idx="4">
                  <c:v>95.049499999999995</c:v>
                </c:pt>
                <c:pt idx="5">
                  <c:v>95.049499999999995</c:v>
                </c:pt>
                <c:pt idx="6">
                  <c:v>93.399330000000006</c:v>
                </c:pt>
                <c:pt idx="7">
                  <c:v>93.234309999999994</c:v>
                </c:pt>
                <c:pt idx="8">
                  <c:v>93.234309999999994</c:v>
                </c:pt>
                <c:pt idx="9">
                  <c:v>93.234309999999994</c:v>
                </c:pt>
                <c:pt idx="10">
                  <c:v>93.234309999999994</c:v>
                </c:pt>
                <c:pt idx="11">
                  <c:v>93.069289999999995</c:v>
                </c:pt>
                <c:pt idx="12">
                  <c:v>93.069289999999995</c:v>
                </c:pt>
                <c:pt idx="13">
                  <c:v>93.069289999999995</c:v>
                </c:pt>
                <c:pt idx="14">
                  <c:v>93.069289999999995</c:v>
                </c:pt>
                <c:pt idx="15">
                  <c:v>93.069289999999995</c:v>
                </c:pt>
                <c:pt idx="16">
                  <c:v>91.584140000000005</c:v>
                </c:pt>
                <c:pt idx="17">
                  <c:v>91.419119999999992</c:v>
                </c:pt>
                <c:pt idx="18">
                  <c:v>91.089089999999999</c:v>
                </c:pt>
                <c:pt idx="19">
                  <c:v>89.108890000000002</c:v>
                </c:pt>
                <c:pt idx="20">
                  <c:v>88.778859999999995</c:v>
                </c:pt>
                <c:pt idx="21">
                  <c:v>88.778859999999995</c:v>
                </c:pt>
                <c:pt idx="22">
                  <c:v>88.448830000000001</c:v>
                </c:pt>
                <c:pt idx="23">
                  <c:v>73.762360000000001</c:v>
                </c:pt>
                <c:pt idx="24">
                  <c:v>73.597340000000003</c:v>
                </c:pt>
                <c:pt idx="25">
                  <c:v>73.432320000000004</c:v>
                </c:pt>
                <c:pt idx="26">
                  <c:v>73.102289999999996</c:v>
                </c:pt>
                <c:pt idx="27">
                  <c:v>72.937269999999998</c:v>
                </c:pt>
                <c:pt idx="28">
                  <c:v>72.77225</c:v>
                </c:pt>
                <c:pt idx="29">
                  <c:v>71.287100000000009</c:v>
                </c:pt>
                <c:pt idx="30">
                  <c:v>71.122080000000011</c:v>
                </c:pt>
                <c:pt idx="31">
                  <c:v>71.122080000000011</c:v>
                </c:pt>
                <c:pt idx="32">
                  <c:v>70.957060000000013</c:v>
                </c:pt>
                <c:pt idx="33">
                  <c:v>70.627030000000005</c:v>
                </c:pt>
                <c:pt idx="34">
                  <c:v>68.811850000000007</c:v>
                </c:pt>
                <c:pt idx="35">
                  <c:v>68.646830000000008</c:v>
                </c:pt>
                <c:pt idx="36">
                  <c:v>68.646830000000008</c:v>
                </c:pt>
                <c:pt idx="37">
                  <c:v>68.646830000000008</c:v>
                </c:pt>
                <c:pt idx="38">
                  <c:v>68.646830000000008</c:v>
                </c:pt>
                <c:pt idx="39">
                  <c:v>68.48181000000001</c:v>
                </c:pt>
                <c:pt idx="40">
                  <c:v>68.316790000000012</c:v>
                </c:pt>
                <c:pt idx="41">
                  <c:v>68.151770000000013</c:v>
                </c:pt>
                <c:pt idx="42">
                  <c:v>67.986750000000001</c:v>
                </c:pt>
                <c:pt idx="43">
                  <c:v>64.5214</c:v>
                </c:pt>
                <c:pt idx="44">
                  <c:v>64.5214</c:v>
                </c:pt>
                <c:pt idx="45">
                  <c:v>64.5214</c:v>
                </c:pt>
                <c:pt idx="46">
                  <c:v>64.356380000000001</c:v>
                </c:pt>
                <c:pt idx="47">
                  <c:v>63.696310000000011</c:v>
                </c:pt>
                <c:pt idx="48">
                  <c:v>63.531290000000013</c:v>
                </c:pt>
                <c:pt idx="49">
                  <c:v>63.531290000000013</c:v>
                </c:pt>
                <c:pt idx="50">
                  <c:v>63.366270000000014</c:v>
                </c:pt>
                <c:pt idx="51">
                  <c:v>60.891020000000012</c:v>
                </c:pt>
                <c:pt idx="52">
                  <c:v>40.263960000000012</c:v>
                </c:pt>
                <c:pt idx="53">
                  <c:v>40.263960000000012</c:v>
                </c:pt>
                <c:pt idx="54">
                  <c:v>40.263960000000012</c:v>
                </c:pt>
                <c:pt idx="55">
                  <c:v>39.933930000000011</c:v>
                </c:pt>
                <c:pt idx="56">
                  <c:v>39.933930000000011</c:v>
                </c:pt>
                <c:pt idx="57">
                  <c:v>39.273860000000013</c:v>
                </c:pt>
                <c:pt idx="58">
                  <c:v>39.273860000000013</c:v>
                </c:pt>
                <c:pt idx="59">
                  <c:v>39.273860000000013</c:v>
                </c:pt>
                <c:pt idx="60">
                  <c:v>37.128650000000015</c:v>
                </c:pt>
                <c:pt idx="61">
                  <c:v>36.963630000000016</c:v>
                </c:pt>
                <c:pt idx="62">
                  <c:v>36.963630000000016</c:v>
                </c:pt>
                <c:pt idx="63">
                  <c:v>36.963630000000016</c:v>
                </c:pt>
                <c:pt idx="64">
                  <c:v>36.963630000000016</c:v>
                </c:pt>
                <c:pt idx="65">
                  <c:v>36.798610000000018</c:v>
                </c:pt>
                <c:pt idx="66">
                  <c:v>35.808510000000012</c:v>
                </c:pt>
                <c:pt idx="67">
                  <c:v>35.808510000000012</c:v>
                </c:pt>
                <c:pt idx="68">
                  <c:v>35.808510000000012</c:v>
                </c:pt>
                <c:pt idx="69">
                  <c:v>35.808510000000012</c:v>
                </c:pt>
                <c:pt idx="70">
                  <c:v>35.643490000000014</c:v>
                </c:pt>
                <c:pt idx="71">
                  <c:v>34.15834000000001</c:v>
                </c:pt>
                <c:pt idx="72">
                  <c:v>34.15834000000001</c:v>
                </c:pt>
                <c:pt idx="73">
                  <c:v>33.828310000000016</c:v>
                </c:pt>
                <c:pt idx="74">
                  <c:v>33.828310000000016</c:v>
                </c:pt>
                <c:pt idx="75">
                  <c:v>33.828310000000016</c:v>
                </c:pt>
                <c:pt idx="76">
                  <c:v>33.33326000000001</c:v>
                </c:pt>
                <c:pt idx="77">
                  <c:v>18.64679000000001</c:v>
                </c:pt>
                <c:pt idx="78">
                  <c:v>18.64679000000001</c:v>
                </c:pt>
                <c:pt idx="79">
                  <c:v>18.64679000000001</c:v>
                </c:pt>
                <c:pt idx="80">
                  <c:v>18.481770000000012</c:v>
                </c:pt>
                <c:pt idx="81">
                  <c:v>18.481770000000012</c:v>
                </c:pt>
                <c:pt idx="82">
                  <c:v>18.481770000000012</c:v>
                </c:pt>
                <c:pt idx="83">
                  <c:v>17.986720000000005</c:v>
                </c:pt>
                <c:pt idx="84">
                  <c:v>17.986720000000005</c:v>
                </c:pt>
                <c:pt idx="85">
                  <c:v>17.986720000000005</c:v>
                </c:pt>
                <c:pt idx="86">
                  <c:v>17.986720000000005</c:v>
                </c:pt>
                <c:pt idx="87">
                  <c:v>17.161640000000006</c:v>
                </c:pt>
                <c:pt idx="88">
                  <c:v>16.996620000000007</c:v>
                </c:pt>
                <c:pt idx="89">
                  <c:v>16.996620000000007</c:v>
                </c:pt>
                <c:pt idx="90">
                  <c:v>16.996620000000007</c:v>
                </c:pt>
                <c:pt idx="91">
                  <c:v>16.666590000000014</c:v>
                </c:pt>
                <c:pt idx="92">
                  <c:v>16.666590000000014</c:v>
                </c:pt>
                <c:pt idx="93">
                  <c:v>16.501570000000015</c:v>
                </c:pt>
                <c:pt idx="94">
                  <c:v>16.501570000000015</c:v>
                </c:pt>
                <c:pt idx="95">
                  <c:v>16.336550000000017</c:v>
                </c:pt>
                <c:pt idx="96">
                  <c:v>15.841500000000011</c:v>
                </c:pt>
                <c:pt idx="97">
                  <c:v>7.7556900000000155</c:v>
                </c:pt>
                <c:pt idx="98">
                  <c:v>7.7556900000000155</c:v>
                </c:pt>
                <c:pt idx="99">
                  <c:v>7.7556900000000155</c:v>
                </c:pt>
                <c:pt idx="100">
                  <c:v>7.4256600000000219</c:v>
                </c:pt>
                <c:pt idx="101">
                  <c:v>7.4256600000000219</c:v>
                </c:pt>
                <c:pt idx="102">
                  <c:v>7.4256600000000219</c:v>
                </c:pt>
                <c:pt idx="103">
                  <c:v>7.0956300000000283</c:v>
                </c:pt>
                <c:pt idx="104">
                  <c:v>7.0956300000000283</c:v>
                </c:pt>
                <c:pt idx="105">
                  <c:v>7.0956300000000283</c:v>
                </c:pt>
                <c:pt idx="106">
                  <c:v>7.0956300000000283</c:v>
                </c:pt>
                <c:pt idx="107">
                  <c:v>6.7656000000000347</c:v>
                </c:pt>
                <c:pt idx="108">
                  <c:v>6.6005800000000363</c:v>
                </c:pt>
                <c:pt idx="109">
                  <c:v>6.6005800000000363</c:v>
                </c:pt>
                <c:pt idx="110">
                  <c:v>6.4355600000000379</c:v>
                </c:pt>
                <c:pt idx="111">
                  <c:v>6.4355600000000379</c:v>
                </c:pt>
                <c:pt idx="112">
                  <c:v>6.2705400000000395</c:v>
                </c:pt>
                <c:pt idx="113">
                  <c:v>6.2705400000000395</c:v>
                </c:pt>
                <c:pt idx="114">
                  <c:v>6.2705400000000395</c:v>
                </c:pt>
                <c:pt idx="115">
                  <c:v>6.2705400000000395</c:v>
                </c:pt>
                <c:pt idx="116">
                  <c:v>6.1055200000000411</c:v>
                </c:pt>
                <c:pt idx="117">
                  <c:v>3.6302700000000385</c:v>
                </c:pt>
                <c:pt idx="118">
                  <c:v>3.6302700000000385</c:v>
                </c:pt>
                <c:pt idx="119">
                  <c:v>3.6302700000000385</c:v>
                </c:pt>
                <c:pt idx="120">
                  <c:v>3.6302700000000385</c:v>
                </c:pt>
                <c:pt idx="121">
                  <c:v>3.6302700000000385</c:v>
                </c:pt>
                <c:pt idx="122">
                  <c:v>3.6302700000000385</c:v>
                </c:pt>
                <c:pt idx="123">
                  <c:v>3.6302700000000385</c:v>
                </c:pt>
                <c:pt idx="124">
                  <c:v>3.6302700000000385</c:v>
                </c:pt>
                <c:pt idx="125">
                  <c:v>3.6302700000000385</c:v>
                </c:pt>
                <c:pt idx="126">
                  <c:v>3.6302700000000385</c:v>
                </c:pt>
                <c:pt idx="127">
                  <c:v>3.3002400000000449</c:v>
                </c:pt>
                <c:pt idx="128">
                  <c:v>3.3002400000000449</c:v>
                </c:pt>
                <c:pt idx="129">
                  <c:v>3.3002400000000449</c:v>
                </c:pt>
                <c:pt idx="130">
                  <c:v>2.9702100000000513</c:v>
                </c:pt>
                <c:pt idx="131">
                  <c:v>2.9702100000000513</c:v>
                </c:pt>
                <c:pt idx="132">
                  <c:v>2.8051900000000529</c:v>
                </c:pt>
                <c:pt idx="133">
                  <c:v>2.8051900000000529</c:v>
                </c:pt>
                <c:pt idx="134">
                  <c:v>1.3200400000000485</c:v>
                </c:pt>
                <c:pt idx="135">
                  <c:v>1.3200400000000485</c:v>
                </c:pt>
                <c:pt idx="136">
                  <c:v>1.3200400000000485</c:v>
                </c:pt>
                <c:pt idx="137">
                  <c:v>1.3200400000000485</c:v>
                </c:pt>
                <c:pt idx="138">
                  <c:v>1.3200400000000485</c:v>
                </c:pt>
                <c:pt idx="139">
                  <c:v>1.3200400000000485</c:v>
                </c:pt>
                <c:pt idx="140">
                  <c:v>1.3200400000000485</c:v>
                </c:pt>
                <c:pt idx="141">
                  <c:v>1.3200400000000485</c:v>
                </c:pt>
                <c:pt idx="142">
                  <c:v>1.1550200000000501</c:v>
                </c:pt>
                <c:pt idx="143">
                  <c:v>1.1550200000000501</c:v>
                </c:pt>
                <c:pt idx="144">
                  <c:v>1.1550200000000501</c:v>
                </c:pt>
                <c:pt idx="145">
                  <c:v>1.1550200000000501</c:v>
                </c:pt>
                <c:pt idx="146">
                  <c:v>1.1550200000000501</c:v>
                </c:pt>
                <c:pt idx="147">
                  <c:v>0.65997000000004391</c:v>
                </c:pt>
                <c:pt idx="148">
                  <c:v>0.65997000000004391</c:v>
                </c:pt>
                <c:pt idx="149">
                  <c:v>0.65997000000004391</c:v>
                </c:pt>
                <c:pt idx="150">
                  <c:v>0.49495000000004552</c:v>
                </c:pt>
                <c:pt idx="151">
                  <c:v>0.49495000000004552</c:v>
                </c:pt>
                <c:pt idx="152">
                  <c:v>0.49495000000004552</c:v>
                </c:pt>
                <c:pt idx="153">
                  <c:v>0.49495000000004552</c:v>
                </c:pt>
                <c:pt idx="154">
                  <c:v>0.49495000000004552</c:v>
                </c:pt>
                <c:pt idx="155">
                  <c:v>0.49495000000004552</c:v>
                </c:pt>
                <c:pt idx="156">
                  <c:v>0.49495000000004552</c:v>
                </c:pt>
                <c:pt idx="157">
                  <c:v>0.49495000000004552</c:v>
                </c:pt>
                <c:pt idx="158">
                  <c:v>0.49495000000004552</c:v>
                </c:pt>
                <c:pt idx="159">
                  <c:v>-9.9999999960687092E-5</c:v>
                </c:pt>
                <c:pt idx="160">
                  <c:v>-9.9999999960687092E-5</c:v>
                </c:pt>
                <c:pt idx="161">
                  <c:v>-9.9999999960687092E-5</c:v>
                </c:pt>
                <c:pt idx="162">
                  <c:v>-9.9999999960687092E-5</c:v>
                </c:pt>
                <c:pt idx="163">
                  <c:v>-9.9999999960687092E-5</c:v>
                </c:pt>
                <c:pt idx="164">
                  <c:v>-9.9999999960687092E-5</c:v>
                </c:pt>
                <c:pt idx="165">
                  <c:v>-9.9999999960687092E-5</c:v>
                </c:pt>
                <c:pt idx="166">
                  <c:v>-9.9999999960687092E-5</c:v>
                </c:pt>
                <c:pt idx="167">
                  <c:v>-9.9999999960687092E-5</c:v>
                </c:pt>
                <c:pt idx="168">
                  <c:v>-9.9999999960687092E-5</c:v>
                </c:pt>
                <c:pt idx="169">
                  <c:v>-9.9999999960687092E-5</c:v>
                </c:pt>
                <c:pt idx="170">
                  <c:v>-9.9999999960687092E-5</c:v>
                </c:pt>
                <c:pt idx="171">
                  <c:v>-9.9999999960687092E-5</c:v>
                </c:pt>
                <c:pt idx="172">
                  <c:v>-9.9999999960687092E-5</c:v>
                </c:pt>
                <c:pt idx="173">
                  <c:v>-9.9999999960687092E-5</c:v>
                </c:pt>
                <c:pt idx="174">
                  <c:v>-9.9999999960687092E-5</c:v>
                </c:pt>
                <c:pt idx="175">
                  <c:v>-9.9999999960687092E-5</c:v>
                </c:pt>
                <c:pt idx="176">
                  <c:v>-9.9999999960687092E-5</c:v>
                </c:pt>
                <c:pt idx="177">
                  <c:v>-9.9999999960687092E-5</c:v>
                </c:pt>
                <c:pt idx="178">
                  <c:v>-9.9999999960687092E-5</c:v>
                </c:pt>
                <c:pt idx="179">
                  <c:v>-9.9999999960687092E-5</c:v>
                </c:pt>
                <c:pt idx="180">
                  <c:v>-9.9999999960687092E-5</c:v>
                </c:pt>
                <c:pt idx="181">
                  <c:v>-9.9999999960687092E-5</c:v>
                </c:pt>
                <c:pt idx="182">
                  <c:v>-9.9999999960687092E-5</c:v>
                </c:pt>
                <c:pt idx="183">
                  <c:v>-9.9999999960687092E-5</c:v>
                </c:pt>
                <c:pt idx="184">
                  <c:v>-9.9999999960687092E-5</c:v>
                </c:pt>
                <c:pt idx="185">
                  <c:v>-9.9999999960687092E-5</c:v>
                </c:pt>
                <c:pt idx="186">
                  <c:v>-9.9999999960687092E-5</c:v>
                </c:pt>
                <c:pt idx="187">
                  <c:v>-9.9999999960687092E-5</c:v>
                </c:pt>
                <c:pt idx="188">
                  <c:v>-9.9999999960687092E-5</c:v>
                </c:pt>
                <c:pt idx="189">
                  <c:v>-9.9999999960687092E-5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231-CA47-9478-37085521F9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1192560"/>
        <c:axId val="284499328"/>
      </c:scatterChart>
      <c:valAx>
        <c:axId val="281192560"/>
        <c:scaling>
          <c:orientation val="minMax"/>
          <c:max val="6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84499328"/>
        <c:crosses val="autoZero"/>
        <c:crossBetween val="midCat"/>
        <c:majorUnit val="50"/>
      </c:valAx>
      <c:valAx>
        <c:axId val="284499328"/>
        <c:scaling>
          <c:orientation val="minMax"/>
          <c:max val="100"/>
          <c:min val="0"/>
        </c:scaling>
        <c:delete val="0"/>
        <c:axPos val="l"/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811925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Approximate price elasticity</a:t>
            </a:r>
            <a:r>
              <a:rPr lang="en-US" baseline="0"/>
              <a:t> of demand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'Cumulative Purchase Likelihood'!$K$1</c:f>
              <c:strCache>
                <c:ptCount val="1"/>
                <c:pt idx="0">
                  <c:v>AVG Cumulative purchase likelihood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'Cumulative Purchase Likelihood'!$J$2:$J$191</c:f>
              <c:numCache>
                <c:formatCode>General</c:formatCode>
                <c:ptCount val="190"/>
                <c:pt idx="0">
                  <c:v>10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33</c:v>
                </c:pt>
                <c:pt idx="18">
                  <c:v>35</c:v>
                </c:pt>
                <c:pt idx="19">
                  <c:v>40</c:v>
                </c:pt>
                <c:pt idx="20">
                  <c:v>45</c:v>
                </c:pt>
                <c:pt idx="21">
                  <c:v>48</c:v>
                </c:pt>
                <c:pt idx="22">
                  <c:v>49</c:v>
                </c:pt>
                <c:pt idx="23">
                  <c:v>50</c:v>
                </c:pt>
                <c:pt idx="24">
                  <c:v>53</c:v>
                </c:pt>
                <c:pt idx="25">
                  <c:v>54</c:v>
                </c:pt>
                <c:pt idx="26">
                  <c:v>55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65</c:v>
                </c:pt>
                <c:pt idx="31">
                  <c:v>66</c:v>
                </c:pt>
                <c:pt idx="32">
                  <c:v>67</c:v>
                </c:pt>
                <c:pt idx="33">
                  <c:v>69</c:v>
                </c:pt>
                <c:pt idx="34">
                  <c:v>70</c:v>
                </c:pt>
                <c:pt idx="35">
                  <c:v>71</c:v>
                </c:pt>
                <c:pt idx="36">
                  <c:v>72</c:v>
                </c:pt>
                <c:pt idx="37">
                  <c:v>73</c:v>
                </c:pt>
                <c:pt idx="38">
                  <c:v>74</c:v>
                </c:pt>
                <c:pt idx="39">
                  <c:v>75</c:v>
                </c:pt>
                <c:pt idx="40">
                  <c:v>77</c:v>
                </c:pt>
                <c:pt idx="41">
                  <c:v>78</c:v>
                </c:pt>
                <c:pt idx="42">
                  <c:v>79</c:v>
                </c:pt>
                <c:pt idx="43">
                  <c:v>80</c:v>
                </c:pt>
                <c:pt idx="44">
                  <c:v>86</c:v>
                </c:pt>
                <c:pt idx="45">
                  <c:v>87</c:v>
                </c:pt>
                <c:pt idx="46">
                  <c:v>89</c:v>
                </c:pt>
                <c:pt idx="47">
                  <c:v>90</c:v>
                </c:pt>
                <c:pt idx="48">
                  <c:v>95</c:v>
                </c:pt>
                <c:pt idx="49">
                  <c:v>97</c:v>
                </c:pt>
                <c:pt idx="50">
                  <c:v>98</c:v>
                </c:pt>
                <c:pt idx="51">
                  <c:v>99</c:v>
                </c:pt>
                <c:pt idx="52">
                  <c:v>100</c:v>
                </c:pt>
                <c:pt idx="53">
                  <c:v>101</c:v>
                </c:pt>
                <c:pt idx="54">
                  <c:v>102</c:v>
                </c:pt>
                <c:pt idx="55">
                  <c:v>105</c:v>
                </c:pt>
                <c:pt idx="56">
                  <c:v>106</c:v>
                </c:pt>
                <c:pt idx="57">
                  <c:v>110</c:v>
                </c:pt>
                <c:pt idx="58">
                  <c:v>115</c:v>
                </c:pt>
                <c:pt idx="59">
                  <c:v>119</c:v>
                </c:pt>
                <c:pt idx="60">
                  <c:v>120</c:v>
                </c:pt>
                <c:pt idx="61">
                  <c:v>125</c:v>
                </c:pt>
                <c:pt idx="62">
                  <c:v>126</c:v>
                </c:pt>
                <c:pt idx="63">
                  <c:v>127</c:v>
                </c:pt>
                <c:pt idx="64">
                  <c:v>128</c:v>
                </c:pt>
                <c:pt idx="65">
                  <c:v>129</c:v>
                </c:pt>
                <c:pt idx="66">
                  <c:v>130</c:v>
                </c:pt>
                <c:pt idx="67">
                  <c:v>133</c:v>
                </c:pt>
                <c:pt idx="68">
                  <c:v>135</c:v>
                </c:pt>
                <c:pt idx="69">
                  <c:v>138</c:v>
                </c:pt>
                <c:pt idx="70">
                  <c:v>139</c:v>
                </c:pt>
                <c:pt idx="71">
                  <c:v>140</c:v>
                </c:pt>
                <c:pt idx="72">
                  <c:v>142</c:v>
                </c:pt>
                <c:pt idx="73">
                  <c:v>145</c:v>
                </c:pt>
                <c:pt idx="74">
                  <c:v>146</c:v>
                </c:pt>
                <c:pt idx="75">
                  <c:v>148</c:v>
                </c:pt>
                <c:pt idx="76">
                  <c:v>149</c:v>
                </c:pt>
                <c:pt idx="77">
                  <c:v>150</c:v>
                </c:pt>
                <c:pt idx="78">
                  <c:v>154</c:v>
                </c:pt>
                <c:pt idx="79">
                  <c:v>155</c:v>
                </c:pt>
                <c:pt idx="80">
                  <c:v>159</c:v>
                </c:pt>
                <c:pt idx="81">
                  <c:v>160</c:v>
                </c:pt>
                <c:pt idx="82">
                  <c:v>165</c:v>
                </c:pt>
                <c:pt idx="83">
                  <c:v>170</c:v>
                </c:pt>
                <c:pt idx="84">
                  <c:v>171</c:v>
                </c:pt>
                <c:pt idx="85">
                  <c:v>174</c:v>
                </c:pt>
                <c:pt idx="86">
                  <c:v>175</c:v>
                </c:pt>
                <c:pt idx="87">
                  <c:v>180</c:v>
                </c:pt>
                <c:pt idx="88">
                  <c:v>185</c:v>
                </c:pt>
                <c:pt idx="89">
                  <c:v>188</c:v>
                </c:pt>
                <c:pt idx="90">
                  <c:v>189</c:v>
                </c:pt>
                <c:pt idx="91">
                  <c:v>190</c:v>
                </c:pt>
                <c:pt idx="92">
                  <c:v>194</c:v>
                </c:pt>
                <c:pt idx="93">
                  <c:v>195</c:v>
                </c:pt>
                <c:pt idx="94">
                  <c:v>197</c:v>
                </c:pt>
                <c:pt idx="95">
                  <c:v>198</c:v>
                </c:pt>
                <c:pt idx="96">
                  <c:v>199</c:v>
                </c:pt>
                <c:pt idx="97">
                  <c:v>200</c:v>
                </c:pt>
                <c:pt idx="98">
                  <c:v>205</c:v>
                </c:pt>
                <c:pt idx="99">
                  <c:v>209</c:v>
                </c:pt>
                <c:pt idx="100">
                  <c:v>210</c:v>
                </c:pt>
                <c:pt idx="101">
                  <c:v>215</c:v>
                </c:pt>
                <c:pt idx="102">
                  <c:v>219</c:v>
                </c:pt>
                <c:pt idx="103">
                  <c:v>220</c:v>
                </c:pt>
                <c:pt idx="104">
                  <c:v>221</c:v>
                </c:pt>
                <c:pt idx="105">
                  <c:v>225</c:v>
                </c:pt>
                <c:pt idx="106">
                  <c:v>229</c:v>
                </c:pt>
                <c:pt idx="107">
                  <c:v>230</c:v>
                </c:pt>
                <c:pt idx="108">
                  <c:v>237</c:v>
                </c:pt>
                <c:pt idx="109">
                  <c:v>238</c:v>
                </c:pt>
                <c:pt idx="110">
                  <c:v>239</c:v>
                </c:pt>
                <c:pt idx="111">
                  <c:v>240</c:v>
                </c:pt>
                <c:pt idx="112">
                  <c:v>244</c:v>
                </c:pt>
                <c:pt idx="113">
                  <c:v>245</c:v>
                </c:pt>
                <c:pt idx="114">
                  <c:v>246</c:v>
                </c:pt>
                <c:pt idx="115">
                  <c:v>247</c:v>
                </c:pt>
                <c:pt idx="116">
                  <c:v>249</c:v>
                </c:pt>
                <c:pt idx="117">
                  <c:v>250</c:v>
                </c:pt>
                <c:pt idx="118">
                  <c:v>255</c:v>
                </c:pt>
                <c:pt idx="119">
                  <c:v>259</c:v>
                </c:pt>
                <c:pt idx="120">
                  <c:v>260</c:v>
                </c:pt>
                <c:pt idx="121">
                  <c:v>265</c:v>
                </c:pt>
                <c:pt idx="122">
                  <c:v>269</c:v>
                </c:pt>
                <c:pt idx="123">
                  <c:v>270</c:v>
                </c:pt>
                <c:pt idx="124">
                  <c:v>273</c:v>
                </c:pt>
                <c:pt idx="125">
                  <c:v>275</c:v>
                </c:pt>
                <c:pt idx="126">
                  <c:v>279</c:v>
                </c:pt>
                <c:pt idx="127">
                  <c:v>280</c:v>
                </c:pt>
                <c:pt idx="128">
                  <c:v>288</c:v>
                </c:pt>
                <c:pt idx="129">
                  <c:v>289</c:v>
                </c:pt>
                <c:pt idx="130">
                  <c:v>290</c:v>
                </c:pt>
                <c:pt idx="131">
                  <c:v>296</c:v>
                </c:pt>
                <c:pt idx="132">
                  <c:v>298</c:v>
                </c:pt>
                <c:pt idx="133">
                  <c:v>299</c:v>
                </c:pt>
                <c:pt idx="134">
                  <c:v>300</c:v>
                </c:pt>
                <c:pt idx="135">
                  <c:v>301</c:v>
                </c:pt>
                <c:pt idx="136">
                  <c:v>305</c:v>
                </c:pt>
                <c:pt idx="137">
                  <c:v>306</c:v>
                </c:pt>
                <c:pt idx="138">
                  <c:v>309</c:v>
                </c:pt>
                <c:pt idx="139">
                  <c:v>310</c:v>
                </c:pt>
                <c:pt idx="140">
                  <c:v>312</c:v>
                </c:pt>
                <c:pt idx="141">
                  <c:v>316</c:v>
                </c:pt>
                <c:pt idx="142">
                  <c:v>320</c:v>
                </c:pt>
                <c:pt idx="143">
                  <c:v>325</c:v>
                </c:pt>
                <c:pt idx="144">
                  <c:v>330</c:v>
                </c:pt>
                <c:pt idx="145">
                  <c:v>340</c:v>
                </c:pt>
                <c:pt idx="146">
                  <c:v>349</c:v>
                </c:pt>
                <c:pt idx="147">
                  <c:v>350</c:v>
                </c:pt>
                <c:pt idx="148">
                  <c:v>351</c:v>
                </c:pt>
                <c:pt idx="149">
                  <c:v>355</c:v>
                </c:pt>
                <c:pt idx="150">
                  <c:v>360</c:v>
                </c:pt>
                <c:pt idx="151">
                  <c:v>365</c:v>
                </c:pt>
                <c:pt idx="152">
                  <c:v>369</c:v>
                </c:pt>
                <c:pt idx="153">
                  <c:v>370</c:v>
                </c:pt>
                <c:pt idx="154">
                  <c:v>375</c:v>
                </c:pt>
                <c:pt idx="155">
                  <c:v>380</c:v>
                </c:pt>
                <c:pt idx="156">
                  <c:v>390</c:v>
                </c:pt>
                <c:pt idx="157">
                  <c:v>398</c:v>
                </c:pt>
                <c:pt idx="158">
                  <c:v>399</c:v>
                </c:pt>
                <c:pt idx="159">
                  <c:v>400</c:v>
                </c:pt>
                <c:pt idx="160">
                  <c:v>410</c:v>
                </c:pt>
                <c:pt idx="161">
                  <c:v>415</c:v>
                </c:pt>
                <c:pt idx="162">
                  <c:v>420</c:v>
                </c:pt>
                <c:pt idx="163">
                  <c:v>425</c:v>
                </c:pt>
                <c:pt idx="164">
                  <c:v>430</c:v>
                </c:pt>
                <c:pt idx="165">
                  <c:v>440</c:v>
                </c:pt>
                <c:pt idx="166">
                  <c:v>449</c:v>
                </c:pt>
                <c:pt idx="167">
                  <c:v>450</c:v>
                </c:pt>
                <c:pt idx="168">
                  <c:v>458</c:v>
                </c:pt>
                <c:pt idx="169">
                  <c:v>460</c:v>
                </c:pt>
                <c:pt idx="170">
                  <c:v>470</c:v>
                </c:pt>
                <c:pt idx="171">
                  <c:v>480</c:v>
                </c:pt>
                <c:pt idx="172">
                  <c:v>499</c:v>
                </c:pt>
                <c:pt idx="173">
                  <c:v>500</c:v>
                </c:pt>
                <c:pt idx="174">
                  <c:v>550</c:v>
                </c:pt>
                <c:pt idx="175">
                  <c:v>570</c:v>
                </c:pt>
                <c:pt idx="176">
                  <c:v>575</c:v>
                </c:pt>
                <c:pt idx="177">
                  <c:v>579</c:v>
                </c:pt>
                <c:pt idx="178">
                  <c:v>600</c:v>
                </c:pt>
                <c:pt idx="179">
                  <c:v>630</c:v>
                </c:pt>
                <c:pt idx="180">
                  <c:v>650</c:v>
                </c:pt>
                <c:pt idx="181">
                  <c:v>670</c:v>
                </c:pt>
                <c:pt idx="182">
                  <c:v>679</c:v>
                </c:pt>
                <c:pt idx="183">
                  <c:v>699</c:v>
                </c:pt>
                <c:pt idx="184">
                  <c:v>700</c:v>
                </c:pt>
                <c:pt idx="185">
                  <c:v>750</c:v>
                </c:pt>
                <c:pt idx="186">
                  <c:v>800</c:v>
                </c:pt>
                <c:pt idx="187">
                  <c:v>900</c:v>
                </c:pt>
                <c:pt idx="188">
                  <c:v>1000</c:v>
                </c:pt>
                <c:pt idx="189">
                  <c:v>3000</c:v>
                </c:pt>
              </c:numCache>
            </c:numRef>
          </c:xVal>
          <c:yVal>
            <c:numRef>
              <c:f>'Cumulative Purchase Likelihood'!$K$2:$K$191</c:f>
              <c:numCache>
                <c:formatCode>0.00</c:formatCode>
                <c:ptCount val="190"/>
                <c:pt idx="0">
                  <c:v>0.49356435643564339</c:v>
                </c:pt>
                <c:pt idx="1">
                  <c:v>0.49356435643564339</c:v>
                </c:pt>
                <c:pt idx="2">
                  <c:v>0.49356435643564339</c:v>
                </c:pt>
                <c:pt idx="3">
                  <c:v>0.49356435643564339</c:v>
                </c:pt>
                <c:pt idx="4">
                  <c:v>0.49356435643564339</c:v>
                </c:pt>
                <c:pt idx="5">
                  <c:v>0.49356435643564339</c:v>
                </c:pt>
                <c:pt idx="6">
                  <c:v>0.4933168316831682</c:v>
                </c:pt>
                <c:pt idx="7">
                  <c:v>0.4933168316831682</c:v>
                </c:pt>
                <c:pt idx="8">
                  <c:v>0.49315181518151802</c:v>
                </c:pt>
                <c:pt idx="9">
                  <c:v>0.49298679867986789</c:v>
                </c:pt>
                <c:pt idx="10">
                  <c:v>0.49298679867986789</c:v>
                </c:pt>
                <c:pt idx="11">
                  <c:v>0.49298679867986789</c:v>
                </c:pt>
                <c:pt idx="12">
                  <c:v>0.49298679867986789</c:v>
                </c:pt>
                <c:pt idx="13">
                  <c:v>0.49298679867986789</c:v>
                </c:pt>
                <c:pt idx="14">
                  <c:v>0.49174917491749165</c:v>
                </c:pt>
                <c:pt idx="15">
                  <c:v>0.49174917491749165</c:v>
                </c:pt>
                <c:pt idx="16">
                  <c:v>0.48836633663366324</c:v>
                </c:pt>
                <c:pt idx="17">
                  <c:v>0.48836633663366324</c:v>
                </c:pt>
                <c:pt idx="18">
                  <c:v>0.48671617161716163</c:v>
                </c:pt>
                <c:pt idx="19">
                  <c:v>0.48523102310231014</c:v>
                </c:pt>
                <c:pt idx="20">
                  <c:v>0.48506600660065996</c:v>
                </c:pt>
                <c:pt idx="21">
                  <c:v>0.48506600660065996</c:v>
                </c:pt>
                <c:pt idx="22">
                  <c:v>0.48490099009900978</c:v>
                </c:pt>
                <c:pt idx="23">
                  <c:v>0.4792904290429042</c:v>
                </c:pt>
                <c:pt idx="24">
                  <c:v>0.4792904290429042</c:v>
                </c:pt>
                <c:pt idx="25">
                  <c:v>0.4792904290429042</c:v>
                </c:pt>
                <c:pt idx="26">
                  <c:v>0.4792904290429042</c:v>
                </c:pt>
                <c:pt idx="27">
                  <c:v>0.4792904290429042</c:v>
                </c:pt>
                <c:pt idx="28">
                  <c:v>0.4792904290429042</c:v>
                </c:pt>
                <c:pt idx="29">
                  <c:v>0.47640264026402629</c:v>
                </c:pt>
                <c:pt idx="30">
                  <c:v>0.47640264026402629</c:v>
                </c:pt>
                <c:pt idx="31">
                  <c:v>0.47640264026402629</c:v>
                </c:pt>
                <c:pt idx="32">
                  <c:v>0.47640264026402629</c:v>
                </c:pt>
                <c:pt idx="33">
                  <c:v>0.47582508250825067</c:v>
                </c:pt>
                <c:pt idx="34">
                  <c:v>0.47268976897689757</c:v>
                </c:pt>
                <c:pt idx="35">
                  <c:v>0.47268976897689757</c:v>
                </c:pt>
                <c:pt idx="36">
                  <c:v>0.47268976897689757</c:v>
                </c:pt>
                <c:pt idx="37">
                  <c:v>0.47145214521452133</c:v>
                </c:pt>
                <c:pt idx="38">
                  <c:v>0.47145214521452133</c:v>
                </c:pt>
                <c:pt idx="39">
                  <c:v>0.47145214521452133</c:v>
                </c:pt>
                <c:pt idx="40">
                  <c:v>0.47145214521452133</c:v>
                </c:pt>
                <c:pt idx="41">
                  <c:v>0.47145214521452133</c:v>
                </c:pt>
                <c:pt idx="42">
                  <c:v>0.46897689768976886</c:v>
                </c:pt>
                <c:pt idx="43">
                  <c:v>0.46460396039603952</c:v>
                </c:pt>
                <c:pt idx="44">
                  <c:v>0.46460396039603952</c:v>
                </c:pt>
                <c:pt idx="45">
                  <c:v>0.46460396039603952</c:v>
                </c:pt>
                <c:pt idx="46">
                  <c:v>0.46460396039603952</c:v>
                </c:pt>
                <c:pt idx="47">
                  <c:v>0.4598184818481848</c:v>
                </c:pt>
                <c:pt idx="48">
                  <c:v>0.45965346534653456</c:v>
                </c:pt>
                <c:pt idx="49">
                  <c:v>0.45965346534653456</c:v>
                </c:pt>
                <c:pt idx="50">
                  <c:v>0.45717821782178208</c:v>
                </c:pt>
                <c:pt idx="51">
                  <c:v>0.45363036303630361</c:v>
                </c:pt>
                <c:pt idx="52">
                  <c:v>0.42557755775577544</c:v>
                </c:pt>
                <c:pt idx="53">
                  <c:v>0.42557755775577544</c:v>
                </c:pt>
                <c:pt idx="54">
                  <c:v>0.42557755775577544</c:v>
                </c:pt>
                <c:pt idx="55">
                  <c:v>0.42516501650165001</c:v>
                </c:pt>
                <c:pt idx="56">
                  <c:v>0.42516501650165001</c:v>
                </c:pt>
                <c:pt idx="57">
                  <c:v>0.42293729372937289</c:v>
                </c:pt>
                <c:pt idx="58">
                  <c:v>0.42211221122112202</c:v>
                </c:pt>
                <c:pt idx="59">
                  <c:v>0.42211221122112202</c:v>
                </c:pt>
                <c:pt idx="60">
                  <c:v>0.41006600660065995</c:v>
                </c:pt>
                <c:pt idx="61">
                  <c:v>0.40759075907590747</c:v>
                </c:pt>
                <c:pt idx="62">
                  <c:v>0.40759075907590747</c:v>
                </c:pt>
                <c:pt idx="63">
                  <c:v>0.40635313531353123</c:v>
                </c:pt>
                <c:pt idx="64">
                  <c:v>0.40635313531353123</c:v>
                </c:pt>
                <c:pt idx="65">
                  <c:v>0.4061881188118811</c:v>
                </c:pt>
                <c:pt idx="66">
                  <c:v>0.40123762376237609</c:v>
                </c:pt>
                <c:pt idx="67">
                  <c:v>0.40123762376237609</c:v>
                </c:pt>
                <c:pt idx="68">
                  <c:v>0.40123762376237609</c:v>
                </c:pt>
                <c:pt idx="69">
                  <c:v>0.40107260726072602</c:v>
                </c:pt>
                <c:pt idx="70">
                  <c:v>0.40107260726072602</c:v>
                </c:pt>
                <c:pt idx="71">
                  <c:v>0.39620462046204608</c:v>
                </c:pt>
                <c:pt idx="72">
                  <c:v>0.39620462046204608</c:v>
                </c:pt>
                <c:pt idx="73">
                  <c:v>0.39620462046204608</c:v>
                </c:pt>
                <c:pt idx="74">
                  <c:v>0.39496699669966984</c:v>
                </c:pt>
                <c:pt idx="75">
                  <c:v>0.39480198019801971</c:v>
                </c:pt>
                <c:pt idx="76">
                  <c:v>0.3944719471947194</c:v>
                </c:pt>
                <c:pt idx="77">
                  <c:v>0.34620462046204614</c:v>
                </c:pt>
                <c:pt idx="78">
                  <c:v>0.34595709570957084</c:v>
                </c:pt>
                <c:pt idx="79">
                  <c:v>0.34546204620462034</c:v>
                </c:pt>
                <c:pt idx="80">
                  <c:v>0.34504950495049497</c:v>
                </c:pt>
                <c:pt idx="81">
                  <c:v>0.33828382838283821</c:v>
                </c:pt>
                <c:pt idx="82">
                  <c:v>0.33787128712871278</c:v>
                </c:pt>
                <c:pt idx="83">
                  <c:v>0.33514851485148511</c:v>
                </c:pt>
                <c:pt idx="84">
                  <c:v>0.33407590759075895</c:v>
                </c:pt>
                <c:pt idx="85">
                  <c:v>0.33366336633663357</c:v>
                </c:pt>
                <c:pt idx="86">
                  <c:v>0.33349834983498339</c:v>
                </c:pt>
                <c:pt idx="87">
                  <c:v>0.3213696369636963</c:v>
                </c:pt>
                <c:pt idx="88">
                  <c:v>0.3213696369636963</c:v>
                </c:pt>
                <c:pt idx="89">
                  <c:v>0.32120462046204612</c:v>
                </c:pt>
                <c:pt idx="90">
                  <c:v>0.32120462046204612</c:v>
                </c:pt>
                <c:pt idx="91">
                  <c:v>0.3148514851485148</c:v>
                </c:pt>
                <c:pt idx="92">
                  <c:v>0.3148514851485148</c:v>
                </c:pt>
                <c:pt idx="93">
                  <c:v>0.3148514851485148</c:v>
                </c:pt>
                <c:pt idx="94">
                  <c:v>0.3148514851485148</c:v>
                </c:pt>
                <c:pt idx="95">
                  <c:v>0.31402640264026394</c:v>
                </c:pt>
                <c:pt idx="96">
                  <c:v>0.30808580858085799</c:v>
                </c:pt>
                <c:pt idx="97">
                  <c:v>0.24207920792079202</c:v>
                </c:pt>
                <c:pt idx="98">
                  <c:v>0.24207920792079202</c:v>
                </c:pt>
                <c:pt idx="99">
                  <c:v>0.24207920792079202</c:v>
                </c:pt>
                <c:pt idx="100">
                  <c:v>0.23943894389438938</c:v>
                </c:pt>
                <c:pt idx="101">
                  <c:v>0.23919141914191414</c:v>
                </c:pt>
                <c:pt idx="102">
                  <c:v>0.23811881188118805</c:v>
                </c:pt>
                <c:pt idx="103">
                  <c:v>0.23283828382838273</c:v>
                </c:pt>
                <c:pt idx="104">
                  <c:v>0.23242574257425733</c:v>
                </c:pt>
                <c:pt idx="105">
                  <c:v>0.23242574257425733</c:v>
                </c:pt>
                <c:pt idx="106">
                  <c:v>0.23226072607260717</c:v>
                </c:pt>
                <c:pt idx="107">
                  <c:v>0.22838283828382824</c:v>
                </c:pt>
                <c:pt idx="108">
                  <c:v>0.22838283828382824</c:v>
                </c:pt>
                <c:pt idx="109">
                  <c:v>0.22838283828382824</c:v>
                </c:pt>
                <c:pt idx="110">
                  <c:v>0.22797029702970284</c:v>
                </c:pt>
                <c:pt idx="111">
                  <c:v>0.2240099009900989</c:v>
                </c:pt>
                <c:pt idx="112">
                  <c:v>0.2240099009900989</c:v>
                </c:pt>
                <c:pt idx="113">
                  <c:v>0.2240099009900989</c:v>
                </c:pt>
                <c:pt idx="114">
                  <c:v>0.2235973597359735</c:v>
                </c:pt>
                <c:pt idx="115">
                  <c:v>0.2235973597359735</c:v>
                </c:pt>
                <c:pt idx="116">
                  <c:v>0.21872937293729361</c:v>
                </c:pt>
                <c:pt idx="117">
                  <c:v>0.16848184818481837</c:v>
                </c:pt>
                <c:pt idx="118">
                  <c:v>0.16749174917491741</c:v>
                </c:pt>
                <c:pt idx="119">
                  <c:v>0.16749174917491741</c:v>
                </c:pt>
                <c:pt idx="120">
                  <c:v>0.16344884488448835</c:v>
                </c:pt>
                <c:pt idx="121">
                  <c:v>0.16237623762376227</c:v>
                </c:pt>
                <c:pt idx="122">
                  <c:v>0.16221122112211211</c:v>
                </c:pt>
                <c:pt idx="123">
                  <c:v>0.16080858085808569</c:v>
                </c:pt>
                <c:pt idx="124">
                  <c:v>0.15957095709570945</c:v>
                </c:pt>
                <c:pt idx="125">
                  <c:v>0.1594059405940593</c:v>
                </c:pt>
                <c:pt idx="126">
                  <c:v>0.15858085808580849</c:v>
                </c:pt>
                <c:pt idx="127">
                  <c:v>0.14777227722772268</c:v>
                </c:pt>
                <c:pt idx="128">
                  <c:v>0.14777227722772268</c:v>
                </c:pt>
                <c:pt idx="129">
                  <c:v>0.14777227722772268</c:v>
                </c:pt>
                <c:pt idx="130">
                  <c:v>0.14455445544554446</c:v>
                </c:pt>
                <c:pt idx="131">
                  <c:v>0.14455445544554446</c:v>
                </c:pt>
                <c:pt idx="132">
                  <c:v>0.14455445544554446</c:v>
                </c:pt>
                <c:pt idx="133">
                  <c:v>0.14133663366336624</c:v>
                </c:pt>
                <c:pt idx="134">
                  <c:v>8.8778877887788654E-2</c:v>
                </c:pt>
                <c:pt idx="135">
                  <c:v>8.8613861386138498E-2</c:v>
                </c:pt>
                <c:pt idx="136">
                  <c:v>8.8613861386138498E-2</c:v>
                </c:pt>
                <c:pt idx="137">
                  <c:v>8.8448844884488342E-2</c:v>
                </c:pt>
                <c:pt idx="138">
                  <c:v>8.8283828382838186E-2</c:v>
                </c:pt>
                <c:pt idx="139">
                  <c:v>8.8283828382838186E-2</c:v>
                </c:pt>
                <c:pt idx="140">
                  <c:v>8.7458745874587365E-2</c:v>
                </c:pt>
                <c:pt idx="141">
                  <c:v>8.7458745874587365E-2</c:v>
                </c:pt>
                <c:pt idx="142">
                  <c:v>8.3415841584158323E-2</c:v>
                </c:pt>
                <c:pt idx="143">
                  <c:v>8.3003300330032906E-2</c:v>
                </c:pt>
                <c:pt idx="144">
                  <c:v>8.2178217821782085E-2</c:v>
                </c:pt>
                <c:pt idx="145">
                  <c:v>8.1600660066006511E-2</c:v>
                </c:pt>
                <c:pt idx="146">
                  <c:v>8.1600660066006511E-2</c:v>
                </c:pt>
                <c:pt idx="147">
                  <c:v>4.942244224422436E-2</c:v>
                </c:pt>
                <c:pt idx="148">
                  <c:v>4.942244224422436E-2</c:v>
                </c:pt>
                <c:pt idx="149">
                  <c:v>4.942244224422436E-2</c:v>
                </c:pt>
                <c:pt idx="150">
                  <c:v>4.6947194719471882E-2</c:v>
                </c:pt>
                <c:pt idx="151">
                  <c:v>4.6782178217821727E-2</c:v>
                </c:pt>
                <c:pt idx="152">
                  <c:v>4.6369636963696316E-2</c:v>
                </c:pt>
                <c:pt idx="153">
                  <c:v>4.5132013201320077E-2</c:v>
                </c:pt>
                <c:pt idx="154">
                  <c:v>4.471947194719466E-2</c:v>
                </c:pt>
                <c:pt idx="155">
                  <c:v>3.9191419141914145E-2</c:v>
                </c:pt>
                <c:pt idx="156">
                  <c:v>3.7953795379537907E-2</c:v>
                </c:pt>
                <c:pt idx="157">
                  <c:v>3.6716171617161668E-2</c:v>
                </c:pt>
                <c:pt idx="158">
                  <c:v>3.5561056105610535E-2</c:v>
                </c:pt>
                <c:pt idx="159">
                  <c:v>2.29372937293729E-2</c:v>
                </c:pt>
                <c:pt idx="160">
                  <c:v>2.29372937293729E-2</c:v>
                </c:pt>
                <c:pt idx="161">
                  <c:v>2.2772277227722744E-2</c:v>
                </c:pt>
                <c:pt idx="162">
                  <c:v>2.235973597359733E-2</c:v>
                </c:pt>
                <c:pt idx="163">
                  <c:v>2.235973597359733E-2</c:v>
                </c:pt>
                <c:pt idx="164">
                  <c:v>2.0957095709570939E-2</c:v>
                </c:pt>
                <c:pt idx="165">
                  <c:v>2.0132013201320114E-2</c:v>
                </c:pt>
                <c:pt idx="166">
                  <c:v>2.0132013201320114E-2</c:v>
                </c:pt>
                <c:pt idx="167">
                  <c:v>1.4191419141914182E-2</c:v>
                </c:pt>
                <c:pt idx="168">
                  <c:v>1.4191419141914182E-2</c:v>
                </c:pt>
                <c:pt idx="169">
                  <c:v>1.4191419141914182E-2</c:v>
                </c:pt>
                <c:pt idx="170">
                  <c:v>1.4026402640264026E-2</c:v>
                </c:pt>
                <c:pt idx="171">
                  <c:v>1.4026402640264026E-2</c:v>
                </c:pt>
                <c:pt idx="172">
                  <c:v>1.386138613861387E-2</c:v>
                </c:pt>
                <c:pt idx="173">
                  <c:v>8.1683168316831496E-3</c:v>
                </c:pt>
                <c:pt idx="174">
                  <c:v>6.105610561056087E-3</c:v>
                </c:pt>
                <c:pt idx="175">
                  <c:v>5.9405940594059311E-3</c:v>
                </c:pt>
                <c:pt idx="176">
                  <c:v>5.7755775577557752E-3</c:v>
                </c:pt>
                <c:pt idx="177">
                  <c:v>5.7755775577557752E-3</c:v>
                </c:pt>
                <c:pt idx="178">
                  <c:v>9.9009900990098079E-4</c:v>
                </c:pt>
                <c:pt idx="179">
                  <c:v>9.9009900990098079E-4</c:v>
                </c:pt>
                <c:pt idx="180">
                  <c:v>8.2508250825082509E-4</c:v>
                </c:pt>
                <c:pt idx="181">
                  <c:v>8.2508250825082509E-4</c:v>
                </c:pt>
                <c:pt idx="182">
                  <c:v>8.2508250825082509E-4</c:v>
                </c:pt>
                <c:pt idx="183">
                  <c:v>8.2508250825082509E-4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75C-6745-B193-F3FBC27F34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6709952"/>
        <c:axId val="366704304"/>
      </c:scatterChart>
      <c:valAx>
        <c:axId val="366709952"/>
        <c:scaling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66704304"/>
        <c:crosses val="autoZero"/>
        <c:crossBetween val="midCat"/>
      </c:valAx>
      <c:valAx>
        <c:axId val="366704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66709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Revenue!$B$1</c:f>
              <c:strCache>
                <c:ptCount val="1"/>
                <c:pt idx="0">
                  <c:v>Revenue (assuming 1000 units offered)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Revenue!$A$2:$A$191</c:f>
              <c:numCache>
                <c:formatCode>General</c:formatCode>
                <c:ptCount val="190"/>
                <c:pt idx="0">
                  <c:v>10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33</c:v>
                </c:pt>
                <c:pt idx="18">
                  <c:v>35</c:v>
                </c:pt>
                <c:pt idx="19">
                  <c:v>40</c:v>
                </c:pt>
                <c:pt idx="20">
                  <c:v>45</c:v>
                </c:pt>
                <c:pt idx="21">
                  <c:v>48</c:v>
                </c:pt>
                <c:pt idx="22">
                  <c:v>49</c:v>
                </c:pt>
                <c:pt idx="23">
                  <c:v>50</c:v>
                </c:pt>
                <c:pt idx="24">
                  <c:v>53</c:v>
                </c:pt>
                <c:pt idx="25">
                  <c:v>54</c:v>
                </c:pt>
                <c:pt idx="26">
                  <c:v>55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65</c:v>
                </c:pt>
                <c:pt idx="31">
                  <c:v>66</c:v>
                </c:pt>
                <c:pt idx="32">
                  <c:v>67</c:v>
                </c:pt>
                <c:pt idx="33">
                  <c:v>69</c:v>
                </c:pt>
                <c:pt idx="34">
                  <c:v>70</c:v>
                </c:pt>
                <c:pt idx="35">
                  <c:v>71</c:v>
                </c:pt>
                <c:pt idx="36">
                  <c:v>72</c:v>
                </c:pt>
                <c:pt idx="37">
                  <c:v>73</c:v>
                </c:pt>
                <c:pt idx="38">
                  <c:v>74</c:v>
                </c:pt>
                <c:pt idx="39">
                  <c:v>75</c:v>
                </c:pt>
                <c:pt idx="40">
                  <c:v>77</c:v>
                </c:pt>
                <c:pt idx="41">
                  <c:v>78</c:v>
                </c:pt>
                <c:pt idx="42">
                  <c:v>79</c:v>
                </c:pt>
                <c:pt idx="43">
                  <c:v>80</c:v>
                </c:pt>
                <c:pt idx="44">
                  <c:v>86</c:v>
                </c:pt>
                <c:pt idx="45">
                  <c:v>87</c:v>
                </c:pt>
                <c:pt idx="46">
                  <c:v>89</c:v>
                </c:pt>
                <c:pt idx="47">
                  <c:v>90</c:v>
                </c:pt>
                <c:pt idx="48">
                  <c:v>95</c:v>
                </c:pt>
                <c:pt idx="49">
                  <c:v>97</c:v>
                </c:pt>
                <c:pt idx="50">
                  <c:v>98</c:v>
                </c:pt>
                <c:pt idx="51">
                  <c:v>99</c:v>
                </c:pt>
                <c:pt idx="52">
                  <c:v>100</c:v>
                </c:pt>
                <c:pt idx="53">
                  <c:v>101</c:v>
                </c:pt>
                <c:pt idx="54">
                  <c:v>102</c:v>
                </c:pt>
                <c:pt idx="55">
                  <c:v>105</c:v>
                </c:pt>
                <c:pt idx="56">
                  <c:v>106</c:v>
                </c:pt>
                <c:pt idx="57">
                  <c:v>110</c:v>
                </c:pt>
                <c:pt idx="58">
                  <c:v>115</c:v>
                </c:pt>
                <c:pt idx="59">
                  <c:v>119</c:v>
                </c:pt>
                <c:pt idx="60">
                  <c:v>120</c:v>
                </c:pt>
                <c:pt idx="61">
                  <c:v>125</c:v>
                </c:pt>
                <c:pt idx="62">
                  <c:v>126</c:v>
                </c:pt>
                <c:pt idx="63">
                  <c:v>127</c:v>
                </c:pt>
                <c:pt idx="64">
                  <c:v>128</c:v>
                </c:pt>
                <c:pt idx="65">
                  <c:v>129</c:v>
                </c:pt>
                <c:pt idx="66">
                  <c:v>130</c:v>
                </c:pt>
                <c:pt idx="67">
                  <c:v>133</c:v>
                </c:pt>
                <c:pt idx="68">
                  <c:v>135</c:v>
                </c:pt>
                <c:pt idx="69">
                  <c:v>138</c:v>
                </c:pt>
                <c:pt idx="70">
                  <c:v>139</c:v>
                </c:pt>
                <c:pt idx="71">
                  <c:v>140</c:v>
                </c:pt>
                <c:pt idx="72">
                  <c:v>142</c:v>
                </c:pt>
                <c:pt idx="73">
                  <c:v>145</c:v>
                </c:pt>
                <c:pt idx="74">
                  <c:v>146</c:v>
                </c:pt>
                <c:pt idx="75">
                  <c:v>148</c:v>
                </c:pt>
                <c:pt idx="76">
                  <c:v>149</c:v>
                </c:pt>
                <c:pt idx="77">
                  <c:v>150</c:v>
                </c:pt>
                <c:pt idx="78">
                  <c:v>154</c:v>
                </c:pt>
                <c:pt idx="79">
                  <c:v>155</c:v>
                </c:pt>
                <c:pt idx="80">
                  <c:v>159</c:v>
                </c:pt>
                <c:pt idx="81">
                  <c:v>160</c:v>
                </c:pt>
                <c:pt idx="82">
                  <c:v>165</c:v>
                </c:pt>
                <c:pt idx="83">
                  <c:v>170</c:v>
                </c:pt>
                <c:pt idx="84">
                  <c:v>171</c:v>
                </c:pt>
                <c:pt idx="85">
                  <c:v>174</c:v>
                </c:pt>
                <c:pt idx="86">
                  <c:v>175</c:v>
                </c:pt>
                <c:pt idx="87">
                  <c:v>180</c:v>
                </c:pt>
                <c:pt idx="88">
                  <c:v>185</c:v>
                </c:pt>
                <c:pt idx="89">
                  <c:v>188</c:v>
                </c:pt>
                <c:pt idx="90">
                  <c:v>189</c:v>
                </c:pt>
                <c:pt idx="91">
                  <c:v>190</c:v>
                </c:pt>
                <c:pt idx="92">
                  <c:v>194</c:v>
                </c:pt>
                <c:pt idx="93">
                  <c:v>195</c:v>
                </c:pt>
                <c:pt idx="94">
                  <c:v>197</c:v>
                </c:pt>
                <c:pt idx="95">
                  <c:v>198</c:v>
                </c:pt>
                <c:pt idx="96">
                  <c:v>199</c:v>
                </c:pt>
                <c:pt idx="97">
                  <c:v>200</c:v>
                </c:pt>
                <c:pt idx="98">
                  <c:v>205</c:v>
                </c:pt>
                <c:pt idx="99">
                  <c:v>209</c:v>
                </c:pt>
                <c:pt idx="100">
                  <c:v>210</c:v>
                </c:pt>
                <c:pt idx="101">
                  <c:v>215</c:v>
                </c:pt>
                <c:pt idx="102">
                  <c:v>219</c:v>
                </c:pt>
                <c:pt idx="103">
                  <c:v>220</c:v>
                </c:pt>
                <c:pt idx="104">
                  <c:v>221</c:v>
                </c:pt>
                <c:pt idx="105">
                  <c:v>225</c:v>
                </c:pt>
                <c:pt idx="106">
                  <c:v>229</c:v>
                </c:pt>
                <c:pt idx="107">
                  <c:v>230</c:v>
                </c:pt>
                <c:pt idx="108">
                  <c:v>237</c:v>
                </c:pt>
                <c:pt idx="109">
                  <c:v>238</c:v>
                </c:pt>
                <c:pt idx="110">
                  <c:v>239</c:v>
                </c:pt>
                <c:pt idx="111">
                  <c:v>240</c:v>
                </c:pt>
                <c:pt idx="112">
                  <c:v>244</c:v>
                </c:pt>
                <c:pt idx="113">
                  <c:v>245</c:v>
                </c:pt>
                <c:pt idx="114">
                  <c:v>246</c:v>
                </c:pt>
                <c:pt idx="115">
                  <c:v>247</c:v>
                </c:pt>
                <c:pt idx="116">
                  <c:v>249</c:v>
                </c:pt>
                <c:pt idx="117">
                  <c:v>250</c:v>
                </c:pt>
                <c:pt idx="118">
                  <c:v>255</c:v>
                </c:pt>
                <c:pt idx="119">
                  <c:v>259</c:v>
                </c:pt>
                <c:pt idx="120">
                  <c:v>260</c:v>
                </c:pt>
                <c:pt idx="121">
                  <c:v>265</c:v>
                </c:pt>
                <c:pt idx="122">
                  <c:v>269</c:v>
                </c:pt>
                <c:pt idx="123">
                  <c:v>270</c:v>
                </c:pt>
                <c:pt idx="124">
                  <c:v>273</c:v>
                </c:pt>
                <c:pt idx="125">
                  <c:v>275</c:v>
                </c:pt>
                <c:pt idx="126">
                  <c:v>279</c:v>
                </c:pt>
                <c:pt idx="127">
                  <c:v>280</c:v>
                </c:pt>
                <c:pt idx="128">
                  <c:v>288</c:v>
                </c:pt>
                <c:pt idx="129">
                  <c:v>289</c:v>
                </c:pt>
                <c:pt idx="130">
                  <c:v>290</c:v>
                </c:pt>
                <c:pt idx="131">
                  <c:v>296</c:v>
                </c:pt>
                <c:pt idx="132">
                  <c:v>298</c:v>
                </c:pt>
                <c:pt idx="133">
                  <c:v>299</c:v>
                </c:pt>
                <c:pt idx="134">
                  <c:v>300</c:v>
                </c:pt>
                <c:pt idx="135">
                  <c:v>301</c:v>
                </c:pt>
                <c:pt idx="136">
                  <c:v>305</c:v>
                </c:pt>
                <c:pt idx="137">
                  <c:v>306</c:v>
                </c:pt>
                <c:pt idx="138">
                  <c:v>309</c:v>
                </c:pt>
                <c:pt idx="139">
                  <c:v>310</c:v>
                </c:pt>
                <c:pt idx="140">
                  <c:v>312</c:v>
                </c:pt>
                <c:pt idx="141">
                  <c:v>316</c:v>
                </c:pt>
                <c:pt idx="142">
                  <c:v>320</c:v>
                </c:pt>
                <c:pt idx="143">
                  <c:v>325</c:v>
                </c:pt>
                <c:pt idx="144">
                  <c:v>330</c:v>
                </c:pt>
                <c:pt idx="145">
                  <c:v>340</c:v>
                </c:pt>
                <c:pt idx="146">
                  <c:v>349</c:v>
                </c:pt>
                <c:pt idx="147">
                  <c:v>350</c:v>
                </c:pt>
                <c:pt idx="148">
                  <c:v>351</c:v>
                </c:pt>
                <c:pt idx="149">
                  <c:v>355</c:v>
                </c:pt>
                <c:pt idx="150">
                  <c:v>360</c:v>
                </c:pt>
                <c:pt idx="151">
                  <c:v>365</c:v>
                </c:pt>
                <c:pt idx="152">
                  <c:v>369</c:v>
                </c:pt>
                <c:pt idx="153">
                  <c:v>370</c:v>
                </c:pt>
                <c:pt idx="154">
                  <c:v>375</c:v>
                </c:pt>
                <c:pt idx="155">
                  <c:v>380</c:v>
                </c:pt>
                <c:pt idx="156">
                  <c:v>390</c:v>
                </c:pt>
                <c:pt idx="157">
                  <c:v>398</c:v>
                </c:pt>
                <c:pt idx="158">
                  <c:v>399</c:v>
                </c:pt>
                <c:pt idx="159">
                  <c:v>400</c:v>
                </c:pt>
                <c:pt idx="160">
                  <c:v>410</c:v>
                </c:pt>
                <c:pt idx="161">
                  <c:v>415</c:v>
                </c:pt>
                <c:pt idx="162">
                  <c:v>420</c:v>
                </c:pt>
                <c:pt idx="163">
                  <c:v>425</c:v>
                </c:pt>
                <c:pt idx="164">
                  <c:v>430</c:v>
                </c:pt>
                <c:pt idx="165">
                  <c:v>440</c:v>
                </c:pt>
                <c:pt idx="166">
                  <c:v>449</c:v>
                </c:pt>
                <c:pt idx="167">
                  <c:v>450</c:v>
                </c:pt>
                <c:pt idx="168">
                  <c:v>458</c:v>
                </c:pt>
                <c:pt idx="169">
                  <c:v>460</c:v>
                </c:pt>
                <c:pt idx="170">
                  <c:v>470</c:v>
                </c:pt>
                <c:pt idx="171">
                  <c:v>480</c:v>
                </c:pt>
                <c:pt idx="172">
                  <c:v>499</c:v>
                </c:pt>
                <c:pt idx="173">
                  <c:v>500</c:v>
                </c:pt>
                <c:pt idx="174">
                  <c:v>550</c:v>
                </c:pt>
                <c:pt idx="175">
                  <c:v>570</c:v>
                </c:pt>
                <c:pt idx="176">
                  <c:v>575</c:v>
                </c:pt>
                <c:pt idx="177">
                  <c:v>579</c:v>
                </c:pt>
                <c:pt idx="178">
                  <c:v>600</c:v>
                </c:pt>
                <c:pt idx="179">
                  <c:v>630</c:v>
                </c:pt>
                <c:pt idx="180">
                  <c:v>650</c:v>
                </c:pt>
                <c:pt idx="181">
                  <c:v>670</c:v>
                </c:pt>
                <c:pt idx="182">
                  <c:v>679</c:v>
                </c:pt>
                <c:pt idx="183">
                  <c:v>699</c:v>
                </c:pt>
                <c:pt idx="184">
                  <c:v>700</c:v>
                </c:pt>
                <c:pt idx="185">
                  <c:v>750</c:v>
                </c:pt>
                <c:pt idx="186">
                  <c:v>800</c:v>
                </c:pt>
                <c:pt idx="187">
                  <c:v>900</c:v>
                </c:pt>
                <c:pt idx="188">
                  <c:v>1000</c:v>
                </c:pt>
                <c:pt idx="189">
                  <c:v>3000</c:v>
                </c:pt>
              </c:numCache>
            </c:numRef>
          </c:xVal>
          <c:yVal>
            <c:numRef>
              <c:f>Revenue!$B$2:$B$191</c:f>
              <c:numCache>
                <c:formatCode>0</c:formatCode>
                <c:ptCount val="190"/>
                <c:pt idx="0">
                  <c:v>4935.6435643564346</c:v>
                </c:pt>
                <c:pt idx="1">
                  <c:v>6416.3366336633635</c:v>
                </c:pt>
                <c:pt idx="2">
                  <c:v>6909.9009900990077</c:v>
                </c:pt>
                <c:pt idx="3">
                  <c:v>7403.4653465346501</c:v>
                </c:pt>
                <c:pt idx="4">
                  <c:v>8884.1584158415808</c:v>
                </c:pt>
                <c:pt idx="5">
                  <c:v>9377.7227722772241</c:v>
                </c:pt>
                <c:pt idx="6">
                  <c:v>9866.3366336633644</c:v>
                </c:pt>
                <c:pt idx="7">
                  <c:v>10359.653465346533</c:v>
                </c:pt>
                <c:pt idx="8">
                  <c:v>10849.339933993397</c:v>
                </c:pt>
                <c:pt idx="9">
                  <c:v>11338.696369636962</c:v>
                </c:pt>
                <c:pt idx="10">
                  <c:v>11831.683168316829</c:v>
                </c:pt>
                <c:pt idx="11">
                  <c:v>12324.669966996698</c:v>
                </c:pt>
                <c:pt idx="12">
                  <c:v>12817.656765676566</c:v>
                </c:pt>
                <c:pt idx="13">
                  <c:v>13310.643564356433</c:v>
                </c:pt>
                <c:pt idx="14">
                  <c:v>13768.976897689767</c:v>
                </c:pt>
                <c:pt idx="15">
                  <c:v>14260.726072607256</c:v>
                </c:pt>
                <c:pt idx="16">
                  <c:v>14650.990099009898</c:v>
                </c:pt>
                <c:pt idx="17">
                  <c:v>16116.089108910888</c:v>
                </c:pt>
                <c:pt idx="18">
                  <c:v>17035.066006600657</c:v>
                </c:pt>
                <c:pt idx="19">
                  <c:v>19409.240924092406</c:v>
                </c:pt>
                <c:pt idx="20">
                  <c:v>21827.970297029697</c:v>
                </c:pt>
                <c:pt idx="21">
                  <c:v>23283.168316831678</c:v>
                </c:pt>
                <c:pt idx="22">
                  <c:v>23760.14851485148</c:v>
                </c:pt>
                <c:pt idx="23">
                  <c:v>23964.521452145211</c:v>
                </c:pt>
                <c:pt idx="24">
                  <c:v>25402.392739273921</c:v>
                </c:pt>
                <c:pt idx="25">
                  <c:v>25881.683168316828</c:v>
                </c:pt>
                <c:pt idx="26">
                  <c:v>26360.973597359731</c:v>
                </c:pt>
                <c:pt idx="27">
                  <c:v>26840.264026402638</c:v>
                </c:pt>
                <c:pt idx="28">
                  <c:v>27798.844884488441</c:v>
                </c:pt>
                <c:pt idx="29">
                  <c:v>28584.158415841579</c:v>
                </c:pt>
                <c:pt idx="30">
                  <c:v>30966.171617161708</c:v>
                </c:pt>
                <c:pt idx="31">
                  <c:v>31442.574257425735</c:v>
                </c:pt>
                <c:pt idx="32">
                  <c:v>31918.976897689761</c:v>
                </c:pt>
                <c:pt idx="33">
                  <c:v>32831.930693069298</c:v>
                </c:pt>
                <c:pt idx="34">
                  <c:v>33088.283828382831</c:v>
                </c:pt>
                <c:pt idx="35">
                  <c:v>33560.973597359727</c:v>
                </c:pt>
                <c:pt idx="36">
                  <c:v>34033.663366336623</c:v>
                </c:pt>
                <c:pt idx="37">
                  <c:v>34416.006600660054</c:v>
                </c:pt>
                <c:pt idx="38">
                  <c:v>34887.458745874581</c:v>
                </c:pt>
                <c:pt idx="39">
                  <c:v>35358.910891089101</c:v>
                </c:pt>
                <c:pt idx="40">
                  <c:v>36301.815181518141</c:v>
                </c:pt>
                <c:pt idx="41">
                  <c:v>36773.267326732668</c:v>
                </c:pt>
                <c:pt idx="42">
                  <c:v>37049.174917491742</c:v>
                </c:pt>
                <c:pt idx="43">
                  <c:v>37168.316831683165</c:v>
                </c:pt>
                <c:pt idx="44">
                  <c:v>39955.940594059401</c:v>
                </c:pt>
                <c:pt idx="45">
                  <c:v>40420.544554455439</c:v>
                </c:pt>
                <c:pt idx="46">
                  <c:v>41349.752475247522</c:v>
                </c:pt>
                <c:pt idx="47">
                  <c:v>41383.663366336637</c:v>
                </c:pt>
                <c:pt idx="48">
                  <c:v>43667.079207920782</c:v>
                </c:pt>
                <c:pt idx="49">
                  <c:v>44586.386138613852</c:v>
                </c:pt>
                <c:pt idx="50">
                  <c:v>44803.465346534642</c:v>
                </c:pt>
                <c:pt idx="51">
                  <c:v>44909.405940594057</c:v>
                </c:pt>
                <c:pt idx="52">
                  <c:v>42557.755775577549</c:v>
                </c:pt>
                <c:pt idx="53">
                  <c:v>42983.333333333321</c:v>
                </c:pt>
                <c:pt idx="54">
                  <c:v>43408.910891089094</c:v>
                </c:pt>
                <c:pt idx="55">
                  <c:v>44642.326732673246</c:v>
                </c:pt>
                <c:pt idx="56">
                  <c:v>45067.4917491749</c:v>
                </c:pt>
                <c:pt idx="57">
                  <c:v>46523.102310231021</c:v>
                </c:pt>
                <c:pt idx="58">
                  <c:v>48542.904290429033</c:v>
                </c:pt>
                <c:pt idx="59">
                  <c:v>50231.353135313519</c:v>
                </c:pt>
                <c:pt idx="60">
                  <c:v>49207.920792079196</c:v>
                </c:pt>
                <c:pt idx="61">
                  <c:v>50948.844884488441</c:v>
                </c:pt>
                <c:pt idx="62">
                  <c:v>51356.435643564342</c:v>
                </c:pt>
                <c:pt idx="63">
                  <c:v>51606.848184818467</c:v>
                </c:pt>
                <c:pt idx="64">
                  <c:v>52013.201320132001</c:v>
                </c:pt>
                <c:pt idx="65">
                  <c:v>52398.267326732668</c:v>
                </c:pt>
                <c:pt idx="66">
                  <c:v>52160.891089108896</c:v>
                </c:pt>
                <c:pt idx="67">
                  <c:v>53364.603960396016</c:v>
                </c:pt>
                <c:pt idx="68">
                  <c:v>54167.079207920775</c:v>
                </c:pt>
                <c:pt idx="69">
                  <c:v>55348.01980198019</c:v>
                </c:pt>
                <c:pt idx="70">
                  <c:v>55749.092409240919</c:v>
                </c:pt>
                <c:pt idx="71">
                  <c:v>55468.646864686445</c:v>
                </c:pt>
                <c:pt idx="72">
                  <c:v>56261.056105610543</c:v>
                </c:pt>
                <c:pt idx="73">
                  <c:v>57449.669966996677</c:v>
                </c:pt>
                <c:pt idx="74">
                  <c:v>57665.181518151796</c:v>
                </c:pt>
                <c:pt idx="75">
                  <c:v>58430.693069306923</c:v>
                </c:pt>
                <c:pt idx="76">
                  <c:v>58776.320132013192</c:v>
                </c:pt>
                <c:pt idx="77">
                  <c:v>51930.693069306923</c:v>
                </c:pt>
                <c:pt idx="78">
                  <c:v>53277.392739273906</c:v>
                </c:pt>
                <c:pt idx="79">
                  <c:v>53546.61716171616</c:v>
                </c:pt>
                <c:pt idx="80">
                  <c:v>54862.871287128699</c:v>
                </c:pt>
                <c:pt idx="81">
                  <c:v>54125.412541254111</c:v>
                </c:pt>
                <c:pt idx="82">
                  <c:v>55748.76237623761</c:v>
                </c:pt>
                <c:pt idx="83">
                  <c:v>56975.247524752471</c:v>
                </c:pt>
                <c:pt idx="84">
                  <c:v>57126.980198019781</c:v>
                </c:pt>
                <c:pt idx="85">
                  <c:v>58057.42574257424</c:v>
                </c:pt>
                <c:pt idx="86">
                  <c:v>58362.211221122096</c:v>
                </c:pt>
                <c:pt idx="87">
                  <c:v>57846.534653465336</c:v>
                </c:pt>
                <c:pt idx="88">
                  <c:v>59453.382838283818</c:v>
                </c:pt>
                <c:pt idx="89">
                  <c:v>60386.468646864669</c:v>
                </c:pt>
                <c:pt idx="90">
                  <c:v>60707.673267326718</c:v>
                </c:pt>
                <c:pt idx="91">
                  <c:v>59821.782178217807</c:v>
                </c:pt>
                <c:pt idx="92">
                  <c:v>61081.188118811871</c:v>
                </c:pt>
                <c:pt idx="93">
                  <c:v>61396.03960396038</c:v>
                </c:pt>
                <c:pt idx="94">
                  <c:v>62025.742574257412</c:v>
                </c:pt>
                <c:pt idx="95">
                  <c:v>62177.227722772259</c:v>
                </c:pt>
                <c:pt idx="96">
                  <c:v>61309.075907590741</c:v>
                </c:pt>
                <c:pt idx="97">
                  <c:v>48415.841584158399</c:v>
                </c:pt>
                <c:pt idx="98">
                  <c:v>49626.237623762361</c:v>
                </c:pt>
                <c:pt idx="99">
                  <c:v>50594.554455445534</c:v>
                </c:pt>
                <c:pt idx="100">
                  <c:v>50282.178217821776</c:v>
                </c:pt>
                <c:pt idx="101">
                  <c:v>51426.155115511545</c:v>
                </c:pt>
                <c:pt idx="102">
                  <c:v>52148.019801980183</c:v>
                </c:pt>
                <c:pt idx="103">
                  <c:v>51224.422442244198</c:v>
                </c:pt>
                <c:pt idx="104">
                  <c:v>51366.08910891087</c:v>
                </c:pt>
                <c:pt idx="105">
                  <c:v>52295.792079207902</c:v>
                </c:pt>
                <c:pt idx="106">
                  <c:v>53187.706270627037</c:v>
                </c:pt>
                <c:pt idx="107">
                  <c:v>52528.052805280495</c:v>
                </c:pt>
                <c:pt idx="108">
                  <c:v>54126.732673267288</c:v>
                </c:pt>
                <c:pt idx="109">
                  <c:v>54355.115511551121</c:v>
                </c:pt>
                <c:pt idx="110">
                  <c:v>54484.900990098977</c:v>
                </c:pt>
                <c:pt idx="111">
                  <c:v>53762.376237623736</c:v>
                </c:pt>
                <c:pt idx="112">
                  <c:v>54658.41584158413</c:v>
                </c:pt>
                <c:pt idx="113">
                  <c:v>54882.425742574233</c:v>
                </c:pt>
                <c:pt idx="114">
                  <c:v>55004.950495049481</c:v>
                </c:pt>
                <c:pt idx="115">
                  <c:v>55228.547854785451</c:v>
                </c:pt>
                <c:pt idx="116">
                  <c:v>54463.613861386111</c:v>
                </c:pt>
                <c:pt idx="117">
                  <c:v>42120.462046204593</c:v>
                </c:pt>
                <c:pt idx="118">
                  <c:v>42710.39603960394</c:v>
                </c:pt>
                <c:pt idx="119">
                  <c:v>43380.363036303606</c:v>
                </c:pt>
                <c:pt idx="120">
                  <c:v>42496.699669966969</c:v>
                </c:pt>
                <c:pt idx="121">
                  <c:v>43029.702970297003</c:v>
                </c:pt>
                <c:pt idx="122">
                  <c:v>43634.81848184816</c:v>
                </c:pt>
                <c:pt idx="123">
                  <c:v>43418.316831683136</c:v>
                </c:pt>
                <c:pt idx="124">
                  <c:v>43562.871287128677</c:v>
                </c:pt>
                <c:pt idx="125">
                  <c:v>43836.633663366309</c:v>
                </c:pt>
                <c:pt idx="126">
                  <c:v>44244.05940594057</c:v>
                </c:pt>
                <c:pt idx="127">
                  <c:v>41376.237623762347</c:v>
                </c:pt>
                <c:pt idx="128">
                  <c:v>42558.415841584138</c:v>
                </c:pt>
                <c:pt idx="129">
                  <c:v>42706.18811881185</c:v>
                </c:pt>
                <c:pt idx="130">
                  <c:v>41920.792079207895</c:v>
                </c:pt>
                <c:pt idx="131">
                  <c:v>42788.118811881162</c:v>
                </c:pt>
                <c:pt idx="132">
                  <c:v>43077.227722772252</c:v>
                </c:pt>
                <c:pt idx="133">
                  <c:v>42259.653465346506</c:v>
                </c:pt>
                <c:pt idx="134">
                  <c:v>26633.663366336594</c:v>
                </c:pt>
                <c:pt idx="135">
                  <c:v>26672.772277227687</c:v>
                </c:pt>
                <c:pt idx="136">
                  <c:v>27027.227722772241</c:v>
                </c:pt>
                <c:pt idx="137">
                  <c:v>27065.346534653432</c:v>
                </c:pt>
                <c:pt idx="138">
                  <c:v>27279.702970296999</c:v>
                </c:pt>
                <c:pt idx="139">
                  <c:v>27367.986798679838</c:v>
                </c:pt>
                <c:pt idx="140">
                  <c:v>27287.128712871257</c:v>
                </c:pt>
                <c:pt idx="141">
                  <c:v>27636.96369636961</c:v>
                </c:pt>
                <c:pt idx="142">
                  <c:v>26693.069306930662</c:v>
                </c:pt>
                <c:pt idx="143">
                  <c:v>26976.072607260692</c:v>
                </c:pt>
                <c:pt idx="144">
                  <c:v>27118.811881188089</c:v>
                </c:pt>
                <c:pt idx="145">
                  <c:v>27744.224422442214</c:v>
                </c:pt>
                <c:pt idx="146">
                  <c:v>28478.630363036275</c:v>
                </c:pt>
                <c:pt idx="147">
                  <c:v>17297.854785478528</c:v>
                </c:pt>
                <c:pt idx="148">
                  <c:v>17347.277227722749</c:v>
                </c:pt>
                <c:pt idx="149">
                  <c:v>17544.966996699648</c:v>
                </c:pt>
                <c:pt idx="150">
                  <c:v>16900.990099009879</c:v>
                </c:pt>
                <c:pt idx="151">
                  <c:v>17075.495049504931</c:v>
                </c:pt>
                <c:pt idx="152">
                  <c:v>17110.39603960394</c:v>
                </c:pt>
                <c:pt idx="153">
                  <c:v>16698.84488448843</c:v>
                </c:pt>
                <c:pt idx="154">
                  <c:v>16769.801980197997</c:v>
                </c:pt>
                <c:pt idx="155">
                  <c:v>14892.739273927376</c:v>
                </c:pt>
                <c:pt idx="156">
                  <c:v>14801.980198019784</c:v>
                </c:pt>
                <c:pt idx="157">
                  <c:v>14613.036303630342</c:v>
                </c:pt>
                <c:pt idx="158">
                  <c:v>14188.861386138604</c:v>
                </c:pt>
                <c:pt idx="159">
                  <c:v>9174.91749174916</c:v>
                </c:pt>
                <c:pt idx="160">
                  <c:v>9404.2904290428905</c:v>
                </c:pt>
                <c:pt idx="161">
                  <c:v>9450.4950495049397</c:v>
                </c:pt>
                <c:pt idx="162">
                  <c:v>9391.0891089108773</c:v>
                </c:pt>
                <c:pt idx="163">
                  <c:v>9502.8877887788658</c:v>
                </c:pt>
                <c:pt idx="164">
                  <c:v>9011.5511551155032</c:v>
                </c:pt>
                <c:pt idx="165">
                  <c:v>8858.0858085808486</c:v>
                </c:pt>
                <c:pt idx="166">
                  <c:v>9039.2739273927309</c:v>
                </c:pt>
                <c:pt idx="167">
                  <c:v>6386.1386138613816</c:v>
                </c:pt>
                <c:pt idx="168">
                  <c:v>6499.6699669966947</c:v>
                </c:pt>
                <c:pt idx="169">
                  <c:v>6528.0528052805239</c:v>
                </c:pt>
                <c:pt idx="170">
                  <c:v>6592.409240924092</c:v>
                </c:pt>
                <c:pt idx="171">
                  <c:v>6732.6732673267325</c:v>
                </c:pt>
                <c:pt idx="172">
                  <c:v>6916.8316831683214</c:v>
                </c:pt>
                <c:pt idx="173">
                  <c:v>4084.1584158415749</c:v>
                </c:pt>
                <c:pt idx="174">
                  <c:v>3358.0858085808482</c:v>
                </c:pt>
                <c:pt idx="175">
                  <c:v>3386.1386138613807</c:v>
                </c:pt>
                <c:pt idx="176">
                  <c:v>3320.9570957095707</c:v>
                </c:pt>
                <c:pt idx="177">
                  <c:v>3344.0594059405935</c:v>
                </c:pt>
                <c:pt idx="178">
                  <c:v>594.05940594058848</c:v>
                </c:pt>
                <c:pt idx="179">
                  <c:v>623.7623762376179</c:v>
                </c:pt>
                <c:pt idx="180">
                  <c:v>536.30363036303629</c:v>
                </c:pt>
                <c:pt idx="181">
                  <c:v>552.80528052805278</c:v>
                </c:pt>
                <c:pt idx="182">
                  <c:v>560.23102310231025</c:v>
                </c:pt>
                <c:pt idx="183">
                  <c:v>576.73267326732673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D05-6F44-BF4B-251EBD49C6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528352"/>
        <c:axId val="122474496"/>
      </c:scatterChart>
      <c:valAx>
        <c:axId val="119528352"/>
        <c:scaling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2474496"/>
        <c:crosses val="autoZero"/>
        <c:crossBetween val="midCat"/>
      </c:valAx>
      <c:valAx>
        <c:axId val="12247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95283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1FBBAB6-BED7-AE46-87D4-00ADF1466B39}">
  <sheetPr/>
  <sheetViews>
    <sheetView zoomScale="103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3BE8B41-B142-6F49-A623-CD9695BB2948}">
  <sheetPr/>
  <sheetViews>
    <sheetView zoomScale="103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2C61D96-6299-244C-BFA5-1CFE26CD52F0}">
  <sheetPr/>
  <sheetViews>
    <sheetView zoomScale="103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961" cy="6066408"/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1DB44FC-8CD0-F641-8015-FBC795A009D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91961" cy="6066408"/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56BF37D0-0A2D-BC4D-ACCE-87543F5813E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291961" cy="6066408"/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4F3B113E-7265-624F-BF20-6190E6DA4E7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46708-D6D0-8649-925C-CCEC4557A67C}">
  <dimension ref="A1:H191"/>
  <sheetViews>
    <sheetView tabSelected="1" workbookViewId="0">
      <selection activeCell="A2" sqref="A2"/>
    </sheetView>
  </sheetViews>
  <sheetFormatPr defaultColWidth="11.19921875" defaultRowHeight="15.6" x14ac:dyDescent="0.3"/>
  <cols>
    <col min="8" max="8" width="14.69921875" bestFit="1" customWidth="1"/>
  </cols>
  <sheetData>
    <row r="1" spans="1:8" s="1" customFormat="1" x14ac:dyDescent="0.3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8" x14ac:dyDescent="0.3">
      <c r="A2">
        <v>10</v>
      </c>
      <c r="B2" s="2">
        <v>0</v>
      </c>
      <c r="C2" s="2">
        <v>0</v>
      </c>
      <c r="D2" s="2">
        <v>0</v>
      </c>
      <c r="E2" s="2">
        <v>4.1254099999999996</v>
      </c>
    </row>
    <row r="3" spans="1:8" x14ac:dyDescent="0.3">
      <c r="A3">
        <v>13</v>
      </c>
      <c r="B3" s="2">
        <v>0</v>
      </c>
      <c r="C3" s="2">
        <v>0</v>
      </c>
      <c r="D3" s="2">
        <v>0</v>
      </c>
      <c r="E3" s="2">
        <v>0.16502</v>
      </c>
      <c r="H3" s="5"/>
    </row>
    <row r="4" spans="1:8" x14ac:dyDescent="0.3">
      <c r="A4">
        <v>14</v>
      </c>
      <c r="B4" s="2">
        <v>0</v>
      </c>
      <c r="C4" s="2">
        <v>0</v>
      </c>
      <c r="D4" s="2">
        <v>0</v>
      </c>
      <c r="E4" s="2">
        <v>0.16502</v>
      </c>
    </row>
    <row r="5" spans="1:8" x14ac:dyDescent="0.3">
      <c r="A5">
        <v>15</v>
      </c>
      <c r="B5" s="2">
        <v>0</v>
      </c>
      <c r="C5" s="2">
        <v>0</v>
      </c>
      <c r="D5" s="2">
        <v>0</v>
      </c>
      <c r="E5" s="2">
        <v>0.33002999999999999</v>
      </c>
    </row>
    <row r="6" spans="1:8" x14ac:dyDescent="0.3">
      <c r="A6">
        <v>18</v>
      </c>
      <c r="B6" s="2">
        <v>0</v>
      </c>
      <c r="C6" s="2">
        <v>0</v>
      </c>
      <c r="D6" s="2">
        <v>0</v>
      </c>
      <c r="E6" s="2">
        <v>0.16502</v>
      </c>
    </row>
    <row r="7" spans="1:8" x14ac:dyDescent="0.3">
      <c r="A7">
        <v>19</v>
      </c>
      <c r="B7" s="2">
        <v>0.33002999999999999</v>
      </c>
      <c r="C7" s="2">
        <v>0</v>
      </c>
      <c r="D7" s="2">
        <v>0</v>
      </c>
      <c r="E7" s="2">
        <v>0</v>
      </c>
    </row>
    <row r="8" spans="1:8" x14ac:dyDescent="0.3">
      <c r="A8">
        <v>20</v>
      </c>
      <c r="B8" s="2">
        <v>0.49504999999999999</v>
      </c>
      <c r="C8" s="2">
        <v>0.16502</v>
      </c>
      <c r="D8" s="2">
        <v>0</v>
      </c>
      <c r="E8" s="2">
        <v>1.6501699999999999</v>
      </c>
    </row>
    <row r="9" spans="1:8" x14ac:dyDescent="0.3">
      <c r="A9">
        <v>21</v>
      </c>
      <c r="B9" s="2">
        <v>0.16502</v>
      </c>
      <c r="C9" s="2">
        <v>0.16502</v>
      </c>
      <c r="D9" s="2">
        <v>0.16502</v>
      </c>
      <c r="E9" s="2">
        <v>0.16502</v>
      </c>
    </row>
    <row r="10" spans="1:8" x14ac:dyDescent="0.3">
      <c r="A10">
        <v>22</v>
      </c>
      <c r="B10" s="2">
        <v>0.16502</v>
      </c>
      <c r="C10" s="2">
        <v>0.16502</v>
      </c>
      <c r="D10" s="2">
        <v>0.16502</v>
      </c>
      <c r="E10" s="2">
        <v>0</v>
      </c>
    </row>
    <row r="11" spans="1:8" x14ac:dyDescent="0.3">
      <c r="A11">
        <v>23</v>
      </c>
      <c r="B11" s="2">
        <v>0</v>
      </c>
      <c r="C11" s="2">
        <v>0.16502</v>
      </c>
      <c r="D11" s="2">
        <v>0.16502</v>
      </c>
      <c r="E11" s="2">
        <v>0</v>
      </c>
    </row>
    <row r="12" spans="1:8" x14ac:dyDescent="0.3">
      <c r="A12">
        <v>24</v>
      </c>
      <c r="B12" s="2">
        <v>0</v>
      </c>
      <c r="C12" s="2">
        <v>0</v>
      </c>
      <c r="D12" s="2">
        <v>0.16502</v>
      </c>
      <c r="E12" s="2">
        <v>0</v>
      </c>
    </row>
    <row r="13" spans="1:8" x14ac:dyDescent="0.3">
      <c r="A13">
        <v>25</v>
      </c>
      <c r="B13" s="2">
        <v>0</v>
      </c>
      <c r="C13" s="2">
        <v>0.16502</v>
      </c>
      <c r="D13" s="2">
        <v>0</v>
      </c>
      <c r="E13" s="2">
        <v>0.16502</v>
      </c>
    </row>
    <row r="14" spans="1:8" x14ac:dyDescent="0.3">
      <c r="A14">
        <v>26</v>
      </c>
      <c r="B14" s="2">
        <v>0</v>
      </c>
      <c r="C14" s="2">
        <v>0</v>
      </c>
      <c r="D14" s="2">
        <v>0.16502</v>
      </c>
      <c r="E14" s="2">
        <v>0</v>
      </c>
    </row>
    <row r="15" spans="1:8" x14ac:dyDescent="0.3">
      <c r="A15">
        <v>27</v>
      </c>
      <c r="B15" s="2">
        <v>0.16502</v>
      </c>
      <c r="C15" s="2">
        <v>0</v>
      </c>
      <c r="D15" s="2">
        <v>0</v>
      </c>
      <c r="E15" s="2">
        <v>0</v>
      </c>
    </row>
    <row r="16" spans="1:8" x14ac:dyDescent="0.3">
      <c r="A16">
        <v>28</v>
      </c>
      <c r="B16" s="2">
        <v>0</v>
      </c>
      <c r="C16" s="2">
        <v>0.16502</v>
      </c>
      <c r="D16" s="2">
        <v>0</v>
      </c>
      <c r="E16" s="2">
        <v>0</v>
      </c>
    </row>
    <row r="17" spans="1:5" x14ac:dyDescent="0.3">
      <c r="A17">
        <v>29</v>
      </c>
      <c r="B17" s="2">
        <v>0.16502</v>
      </c>
      <c r="C17" s="2">
        <v>0</v>
      </c>
      <c r="D17" s="2">
        <v>0</v>
      </c>
      <c r="E17" s="2">
        <v>0</v>
      </c>
    </row>
    <row r="18" spans="1:5" x14ac:dyDescent="0.3">
      <c r="A18">
        <v>30</v>
      </c>
      <c r="B18" s="2">
        <v>0.49504999999999999</v>
      </c>
      <c r="C18" s="2">
        <v>0.16502</v>
      </c>
      <c r="D18" s="2">
        <v>0</v>
      </c>
      <c r="E18" s="2">
        <v>1.48515</v>
      </c>
    </row>
    <row r="19" spans="1:5" x14ac:dyDescent="0.3">
      <c r="A19">
        <v>33</v>
      </c>
      <c r="B19" s="2">
        <v>0.16502</v>
      </c>
      <c r="C19" s="2">
        <v>0</v>
      </c>
      <c r="D19" s="2">
        <v>0</v>
      </c>
      <c r="E19" s="2">
        <v>0.16502</v>
      </c>
    </row>
    <row r="20" spans="1:5" x14ac:dyDescent="0.3">
      <c r="A20">
        <v>35</v>
      </c>
      <c r="B20" s="2">
        <v>0.16502</v>
      </c>
      <c r="C20" s="2">
        <v>0.16502</v>
      </c>
      <c r="D20" s="2">
        <v>0</v>
      </c>
      <c r="E20" s="2">
        <v>0.33002999999999999</v>
      </c>
    </row>
    <row r="21" spans="1:5" x14ac:dyDescent="0.3">
      <c r="A21">
        <v>40</v>
      </c>
      <c r="B21" s="2">
        <v>0.33002999999999999</v>
      </c>
      <c r="C21" s="2">
        <v>0.16502</v>
      </c>
      <c r="D21" s="2">
        <v>0</v>
      </c>
      <c r="E21" s="2">
        <v>1.9802</v>
      </c>
    </row>
    <row r="22" spans="1:5" x14ac:dyDescent="0.3">
      <c r="A22">
        <v>45</v>
      </c>
      <c r="B22" s="2">
        <v>0.16502</v>
      </c>
      <c r="C22" s="2">
        <v>0</v>
      </c>
      <c r="D22" s="2">
        <v>0</v>
      </c>
      <c r="E22" s="2">
        <v>0.33002999999999999</v>
      </c>
    </row>
    <row r="23" spans="1:5" x14ac:dyDescent="0.3">
      <c r="A23">
        <v>48</v>
      </c>
      <c r="B23" s="2">
        <v>0.16502</v>
      </c>
      <c r="C23" s="2">
        <v>0</v>
      </c>
      <c r="D23" s="2">
        <v>0</v>
      </c>
      <c r="E23" s="2">
        <v>0</v>
      </c>
    </row>
    <row r="24" spans="1:5" x14ac:dyDescent="0.3">
      <c r="A24">
        <v>49</v>
      </c>
      <c r="B24" s="2">
        <v>0</v>
      </c>
      <c r="C24" s="2">
        <v>0.16502</v>
      </c>
      <c r="D24" s="2">
        <v>0</v>
      </c>
      <c r="E24" s="2">
        <v>0.33002999999999999</v>
      </c>
    </row>
    <row r="25" spans="1:5" x14ac:dyDescent="0.3">
      <c r="A25">
        <v>50</v>
      </c>
      <c r="B25" s="2">
        <v>1.9802</v>
      </c>
      <c r="C25" s="2">
        <v>0.49504999999999999</v>
      </c>
      <c r="D25" s="2">
        <v>0.16502</v>
      </c>
      <c r="E25" s="2">
        <v>14.68647</v>
      </c>
    </row>
    <row r="26" spans="1:5" x14ac:dyDescent="0.3">
      <c r="A26">
        <v>53</v>
      </c>
      <c r="B26" s="2">
        <v>0</v>
      </c>
      <c r="C26" s="2">
        <v>0</v>
      </c>
      <c r="D26" s="2">
        <v>0</v>
      </c>
      <c r="E26" s="2">
        <v>0.16502</v>
      </c>
    </row>
    <row r="27" spans="1:5" x14ac:dyDescent="0.3">
      <c r="A27">
        <v>54</v>
      </c>
      <c r="B27" s="2">
        <v>0</v>
      </c>
      <c r="C27" s="2">
        <v>0</v>
      </c>
      <c r="D27" s="2">
        <v>0</v>
      </c>
      <c r="E27" s="2">
        <v>0.16502</v>
      </c>
    </row>
    <row r="28" spans="1:5" x14ac:dyDescent="0.3">
      <c r="A28">
        <v>55</v>
      </c>
      <c r="B28" s="2">
        <v>0</v>
      </c>
      <c r="C28" s="2">
        <v>0.16502</v>
      </c>
      <c r="D28" s="2">
        <v>0</v>
      </c>
      <c r="E28" s="2">
        <v>0.33002999999999999</v>
      </c>
    </row>
    <row r="29" spans="1:5" x14ac:dyDescent="0.3">
      <c r="A29">
        <v>56</v>
      </c>
      <c r="B29" s="2">
        <v>0.16502</v>
      </c>
      <c r="C29" s="2">
        <v>0</v>
      </c>
      <c r="D29" s="2">
        <v>0</v>
      </c>
      <c r="E29" s="2">
        <v>0.16502</v>
      </c>
    </row>
    <row r="30" spans="1:5" x14ac:dyDescent="0.3">
      <c r="A30">
        <v>58</v>
      </c>
      <c r="B30" s="2">
        <v>0</v>
      </c>
      <c r="C30" s="2">
        <v>0</v>
      </c>
      <c r="D30" s="2">
        <v>0</v>
      </c>
      <c r="E30" s="2">
        <v>0.16502</v>
      </c>
    </row>
    <row r="31" spans="1:5" x14ac:dyDescent="0.3">
      <c r="A31">
        <v>60</v>
      </c>
      <c r="B31" s="2">
        <v>0.33002999999999999</v>
      </c>
      <c r="C31" s="2">
        <v>0.66007000000000005</v>
      </c>
      <c r="D31" s="2">
        <v>0.66007000000000005</v>
      </c>
      <c r="E31" s="2">
        <v>1.48515</v>
      </c>
    </row>
    <row r="32" spans="1:5" x14ac:dyDescent="0.3">
      <c r="A32">
        <v>65</v>
      </c>
      <c r="B32" s="2">
        <v>0.16502</v>
      </c>
      <c r="C32" s="2">
        <v>0</v>
      </c>
      <c r="D32" s="2">
        <v>0</v>
      </c>
      <c r="E32" s="2">
        <v>0.16502</v>
      </c>
    </row>
    <row r="33" spans="1:5" x14ac:dyDescent="0.3">
      <c r="A33">
        <v>66</v>
      </c>
      <c r="B33" s="2">
        <v>0</v>
      </c>
      <c r="C33" s="2">
        <v>0.16502</v>
      </c>
      <c r="D33" s="2">
        <v>0</v>
      </c>
      <c r="E33" s="2">
        <v>0</v>
      </c>
    </row>
    <row r="34" spans="1:5" x14ac:dyDescent="0.3">
      <c r="A34">
        <v>67</v>
      </c>
      <c r="B34" s="2">
        <v>0</v>
      </c>
      <c r="C34" s="2">
        <v>0</v>
      </c>
      <c r="D34" s="2">
        <v>0</v>
      </c>
      <c r="E34" s="2">
        <v>0.16502</v>
      </c>
    </row>
    <row r="35" spans="1:5" x14ac:dyDescent="0.3">
      <c r="A35">
        <v>69</v>
      </c>
      <c r="B35" s="2">
        <v>0.16502</v>
      </c>
      <c r="C35" s="2">
        <v>0.16502</v>
      </c>
      <c r="D35" s="2">
        <v>0.16502</v>
      </c>
      <c r="E35" s="2">
        <v>0.33002999999999999</v>
      </c>
    </row>
    <row r="36" spans="1:5" x14ac:dyDescent="0.3">
      <c r="A36">
        <v>70</v>
      </c>
      <c r="B36" s="2">
        <v>0.99009999999999998</v>
      </c>
      <c r="C36" s="2">
        <v>0.49504999999999999</v>
      </c>
      <c r="D36" s="2">
        <v>0.82508000000000004</v>
      </c>
      <c r="E36" s="2">
        <v>1.81518</v>
      </c>
    </row>
    <row r="37" spans="1:5" x14ac:dyDescent="0.3">
      <c r="A37">
        <v>71</v>
      </c>
      <c r="B37" s="2">
        <v>0</v>
      </c>
      <c r="C37" s="2">
        <v>0</v>
      </c>
      <c r="D37" s="2">
        <v>0</v>
      </c>
      <c r="E37" s="2">
        <v>0.16502</v>
      </c>
    </row>
    <row r="38" spans="1:5" x14ac:dyDescent="0.3">
      <c r="A38">
        <v>72</v>
      </c>
      <c r="B38" s="2">
        <v>0.16502</v>
      </c>
      <c r="C38" s="2">
        <v>0</v>
      </c>
      <c r="D38" s="2">
        <v>0.16502</v>
      </c>
      <c r="E38" s="2">
        <v>0</v>
      </c>
    </row>
    <row r="39" spans="1:5" x14ac:dyDescent="0.3">
      <c r="A39">
        <v>73</v>
      </c>
      <c r="B39" s="2">
        <v>0</v>
      </c>
      <c r="C39" s="2">
        <v>0.16502</v>
      </c>
      <c r="D39" s="2">
        <v>0</v>
      </c>
      <c r="E39" s="2">
        <v>0</v>
      </c>
    </row>
    <row r="40" spans="1:5" x14ac:dyDescent="0.3">
      <c r="A40">
        <v>74</v>
      </c>
      <c r="B40" s="2">
        <v>0</v>
      </c>
      <c r="C40" s="2">
        <v>0</v>
      </c>
      <c r="D40" s="2">
        <v>0.16502</v>
      </c>
      <c r="E40" s="2">
        <v>0</v>
      </c>
    </row>
    <row r="41" spans="1:5" x14ac:dyDescent="0.3">
      <c r="A41">
        <v>75</v>
      </c>
      <c r="B41" s="2">
        <v>0.33002999999999999</v>
      </c>
      <c r="C41" s="2">
        <v>0</v>
      </c>
      <c r="D41" s="2">
        <v>0</v>
      </c>
      <c r="E41" s="2">
        <v>0.16502</v>
      </c>
    </row>
    <row r="42" spans="1:5" x14ac:dyDescent="0.3">
      <c r="A42">
        <v>77</v>
      </c>
      <c r="B42" s="2">
        <v>0</v>
      </c>
      <c r="C42" s="2">
        <v>0</v>
      </c>
      <c r="D42" s="2">
        <v>0</v>
      </c>
      <c r="E42" s="2">
        <v>0.16502</v>
      </c>
    </row>
    <row r="43" spans="1:5" x14ac:dyDescent="0.3">
      <c r="A43">
        <v>78</v>
      </c>
      <c r="B43" s="2">
        <v>0.16502</v>
      </c>
      <c r="C43" s="2">
        <v>0</v>
      </c>
      <c r="D43" s="2">
        <v>0</v>
      </c>
      <c r="E43" s="2">
        <v>0.16502</v>
      </c>
    </row>
    <row r="44" spans="1:5" x14ac:dyDescent="0.3">
      <c r="A44">
        <v>79</v>
      </c>
      <c r="B44" s="2">
        <v>0.16502</v>
      </c>
      <c r="C44" s="2">
        <v>0.33002999999999999</v>
      </c>
      <c r="D44" s="2">
        <v>0</v>
      </c>
      <c r="E44" s="2">
        <v>0.16502</v>
      </c>
    </row>
    <row r="45" spans="1:5" x14ac:dyDescent="0.3">
      <c r="A45">
        <v>80</v>
      </c>
      <c r="B45" s="2">
        <v>1.6501699999999999</v>
      </c>
      <c r="C45" s="2">
        <v>0.33002999999999999</v>
      </c>
      <c r="D45" s="2">
        <v>0.33002999999999999</v>
      </c>
      <c r="E45" s="2">
        <v>3.4653499999999999</v>
      </c>
    </row>
    <row r="46" spans="1:5" x14ac:dyDescent="0.3">
      <c r="A46">
        <v>86</v>
      </c>
      <c r="B46" s="2">
        <v>0</v>
      </c>
      <c r="C46" s="2">
        <v>0</v>
      </c>
      <c r="D46" s="2">
        <v>0.16502</v>
      </c>
      <c r="E46" s="2">
        <v>0</v>
      </c>
    </row>
    <row r="47" spans="1:5" x14ac:dyDescent="0.3">
      <c r="A47">
        <v>87</v>
      </c>
      <c r="B47" s="2">
        <v>0</v>
      </c>
      <c r="C47" s="2">
        <v>0.16502</v>
      </c>
      <c r="D47" s="2">
        <v>0</v>
      </c>
      <c r="E47" s="2">
        <v>0</v>
      </c>
    </row>
    <row r="48" spans="1:5" x14ac:dyDescent="0.3">
      <c r="A48">
        <v>89</v>
      </c>
      <c r="B48" s="2">
        <v>0.16502</v>
      </c>
      <c r="C48" s="2">
        <v>0</v>
      </c>
      <c r="D48" s="2">
        <v>0</v>
      </c>
      <c r="E48" s="2">
        <v>0.16502</v>
      </c>
    </row>
    <row r="49" spans="1:5" x14ac:dyDescent="0.3">
      <c r="A49">
        <v>90</v>
      </c>
      <c r="B49" s="2">
        <v>0.99009999999999998</v>
      </c>
      <c r="C49" s="2">
        <v>1.1551199999999999</v>
      </c>
      <c r="D49" s="2">
        <v>0.16502</v>
      </c>
      <c r="E49" s="2">
        <v>0.66007000000000005</v>
      </c>
    </row>
    <row r="50" spans="1:5" x14ac:dyDescent="0.3">
      <c r="A50">
        <v>95</v>
      </c>
      <c r="B50" s="2">
        <v>0</v>
      </c>
      <c r="C50" s="2">
        <v>0.16502</v>
      </c>
      <c r="D50" s="2">
        <v>0</v>
      </c>
      <c r="E50" s="2">
        <v>0.16502</v>
      </c>
    </row>
    <row r="51" spans="1:5" x14ac:dyDescent="0.3">
      <c r="A51">
        <v>97</v>
      </c>
      <c r="B51" s="2">
        <v>0.16502</v>
      </c>
      <c r="C51" s="2">
        <v>0</v>
      </c>
      <c r="D51" s="2">
        <v>0</v>
      </c>
      <c r="E51" s="2">
        <v>0</v>
      </c>
    </row>
    <row r="52" spans="1:5" x14ac:dyDescent="0.3">
      <c r="A52">
        <v>98</v>
      </c>
      <c r="B52" s="2">
        <v>0</v>
      </c>
      <c r="C52" s="2">
        <v>0.33002999999999999</v>
      </c>
      <c r="D52" s="2">
        <v>0</v>
      </c>
      <c r="E52" s="2">
        <v>0.16502</v>
      </c>
    </row>
    <row r="53" spans="1:5" x14ac:dyDescent="0.3">
      <c r="A53">
        <v>99</v>
      </c>
      <c r="B53" s="2">
        <v>1.32013</v>
      </c>
      <c r="C53" s="2">
        <v>0</v>
      </c>
      <c r="D53" s="2">
        <v>0</v>
      </c>
      <c r="E53" s="2">
        <v>2.47525</v>
      </c>
    </row>
    <row r="54" spans="1:5" x14ac:dyDescent="0.3">
      <c r="A54">
        <v>100</v>
      </c>
      <c r="B54" s="2">
        <v>9.73597</v>
      </c>
      <c r="C54" s="2">
        <v>1.81518</v>
      </c>
      <c r="D54" s="2">
        <v>1.32013</v>
      </c>
      <c r="E54" s="2">
        <v>20.62706</v>
      </c>
    </row>
    <row r="55" spans="1:5" x14ac:dyDescent="0.3">
      <c r="A55">
        <v>101</v>
      </c>
      <c r="B55" s="2">
        <v>0</v>
      </c>
      <c r="C55" s="2">
        <v>0.33002999999999999</v>
      </c>
      <c r="D55" s="2">
        <v>0.16502</v>
      </c>
      <c r="E55" s="2">
        <v>0</v>
      </c>
    </row>
    <row r="56" spans="1:5" x14ac:dyDescent="0.3">
      <c r="A56">
        <v>102</v>
      </c>
      <c r="B56" s="2">
        <v>0</v>
      </c>
      <c r="C56" s="2">
        <v>0</v>
      </c>
      <c r="D56" s="2">
        <v>0.33002999999999999</v>
      </c>
      <c r="E56" s="2">
        <v>0</v>
      </c>
    </row>
    <row r="57" spans="1:5" x14ac:dyDescent="0.3">
      <c r="A57">
        <v>105</v>
      </c>
      <c r="B57" s="2">
        <v>0</v>
      </c>
      <c r="C57" s="2">
        <v>0.16502</v>
      </c>
      <c r="D57" s="2">
        <v>0</v>
      </c>
      <c r="E57" s="2">
        <v>0.33002999999999999</v>
      </c>
    </row>
    <row r="58" spans="1:5" x14ac:dyDescent="0.3">
      <c r="A58">
        <v>106</v>
      </c>
      <c r="B58" s="2">
        <v>0</v>
      </c>
      <c r="C58" s="2">
        <v>0</v>
      </c>
      <c r="D58" s="2">
        <v>0.16502</v>
      </c>
      <c r="E58" s="2">
        <v>0</v>
      </c>
    </row>
    <row r="59" spans="1:5" x14ac:dyDescent="0.3">
      <c r="A59">
        <v>110</v>
      </c>
      <c r="B59" s="2">
        <v>0.49504999999999999</v>
      </c>
      <c r="C59" s="2">
        <v>0.49504999999999999</v>
      </c>
      <c r="D59" s="2">
        <v>0.16502</v>
      </c>
      <c r="E59" s="2">
        <v>0.66007000000000005</v>
      </c>
    </row>
    <row r="60" spans="1:5" x14ac:dyDescent="0.3">
      <c r="A60">
        <v>115</v>
      </c>
      <c r="B60" s="2">
        <v>0.16502</v>
      </c>
      <c r="C60" s="2">
        <v>0</v>
      </c>
      <c r="D60" s="2">
        <v>0.16502</v>
      </c>
      <c r="E60" s="2">
        <v>0</v>
      </c>
    </row>
    <row r="61" spans="1:5" x14ac:dyDescent="0.3">
      <c r="A61">
        <v>119</v>
      </c>
      <c r="B61" s="2">
        <v>0</v>
      </c>
      <c r="C61" s="2">
        <v>0.16502</v>
      </c>
      <c r="D61" s="2">
        <v>0</v>
      </c>
      <c r="E61" s="2">
        <v>0</v>
      </c>
    </row>
    <row r="62" spans="1:5" x14ac:dyDescent="0.3">
      <c r="A62">
        <v>120</v>
      </c>
      <c r="B62" s="2">
        <v>1.32013</v>
      </c>
      <c r="C62" s="2">
        <v>3.9603999999999999</v>
      </c>
      <c r="D62" s="2">
        <v>1.32013</v>
      </c>
      <c r="E62" s="2">
        <v>2.1452100000000001</v>
      </c>
    </row>
    <row r="63" spans="1:5" x14ac:dyDescent="0.3">
      <c r="A63">
        <v>125</v>
      </c>
      <c r="B63" s="2">
        <v>0.16502</v>
      </c>
      <c r="C63" s="2">
        <v>0.16502</v>
      </c>
      <c r="D63" s="2">
        <v>0</v>
      </c>
      <c r="E63" s="2">
        <v>0.16502</v>
      </c>
    </row>
    <row r="64" spans="1:5" x14ac:dyDescent="0.3">
      <c r="A64">
        <v>126</v>
      </c>
      <c r="B64" s="2">
        <v>0.16502</v>
      </c>
      <c r="C64" s="2">
        <v>0</v>
      </c>
      <c r="D64" s="2">
        <v>0</v>
      </c>
      <c r="E64" s="2">
        <v>0</v>
      </c>
    </row>
    <row r="65" spans="1:5" x14ac:dyDescent="0.3">
      <c r="A65">
        <v>127</v>
      </c>
      <c r="B65" s="2">
        <v>0</v>
      </c>
      <c r="C65" s="2">
        <v>0.16502</v>
      </c>
      <c r="D65" s="2">
        <v>0</v>
      </c>
      <c r="E65" s="2">
        <v>0</v>
      </c>
    </row>
    <row r="66" spans="1:5" x14ac:dyDescent="0.3">
      <c r="A66">
        <v>128</v>
      </c>
      <c r="B66" s="2">
        <v>0</v>
      </c>
      <c r="C66" s="2">
        <v>0</v>
      </c>
      <c r="D66" s="2">
        <v>0.16502</v>
      </c>
      <c r="E66" s="2">
        <v>0</v>
      </c>
    </row>
    <row r="67" spans="1:5" x14ac:dyDescent="0.3">
      <c r="A67">
        <v>129</v>
      </c>
      <c r="B67" s="2">
        <v>0</v>
      </c>
      <c r="C67" s="2">
        <v>0.16502</v>
      </c>
      <c r="D67" s="2">
        <v>0</v>
      </c>
      <c r="E67" s="2">
        <v>0.16502</v>
      </c>
    </row>
    <row r="68" spans="1:5" x14ac:dyDescent="0.3">
      <c r="A68">
        <v>130</v>
      </c>
      <c r="B68" s="2">
        <v>0.82508000000000004</v>
      </c>
      <c r="C68" s="2">
        <v>1.32013</v>
      </c>
      <c r="D68" s="2">
        <v>0.33002999999999999</v>
      </c>
      <c r="E68" s="2">
        <v>0.99009999999999998</v>
      </c>
    </row>
    <row r="69" spans="1:5" x14ac:dyDescent="0.3">
      <c r="A69">
        <v>133</v>
      </c>
      <c r="B69" s="2">
        <v>0</v>
      </c>
      <c r="C69" s="2">
        <v>0</v>
      </c>
      <c r="D69" s="2">
        <v>0.16502</v>
      </c>
      <c r="E69" s="2">
        <v>0</v>
      </c>
    </row>
    <row r="70" spans="1:5" x14ac:dyDescent="0.3">
      <c r="A70">
        <v>135</v>
      </c>
      <c r="B70" s="2">
        <v>0.16502</v>
      </c>
      <c r="C70" s="2">
        <v>0</v>
      </c>
      <c r="D70" s="2">
        <v>0</v>
      </c>
      <c r="E70" s="2">
        <v>0</v>
      </c>
    </row>
    <row r="71" spans="1:5" x14ac:dyDescent="0.3">
      <c r="A71">
        <v>138</v>
      </c>
      <c r="B71" s="2">
        <v>0</v>
      </c>
      <c r="C71" s="2">
        <v>0.16502</v>
      </c>
      <c r="D71" s="2">
        <v>0</v>
      </c>
      <c r="E71" s="2">
        <v>0</v>
      </c>
    </row>
    <row r="72" spans="1:5" x14ac:dyDescent="0.3">
      <c r="A72">
        <v>139</v>
      </c>
      <c r="B72" s="2">
        <v>0.16502</v>
      </c>
      <c r="C72" s="2">
        <v>0</v>
      </c>
      <c r="D72" s="2">
        <v>0.16502</v>
      </c>
      <c r="E72" s="2">
        <v>0.16502</v>
      </c>
    </row>
    <row r="73" spans="1:5" x14ac:dyDescent="0.3">
      <c r="A73">
        <v>140</v>
      </c>
      <c r="B73" s="2">
        <v>0.82508000000000004</v>
      </c>
      <c r="C73" s="2">
        <v>0.66007000000000005</v>
      </c>
      <c r="D73" s="2">
        <v>0.49504999999999999</v>
      </c>
      <c r="E73" s="2">
        <v>1.48515</v>
      </c>
    </row>
    <row r="74" spans="1:5" x14ac:dyDescent="0.3">
      <c r="A74">
        <v>142</v>
      </c>
      <c r="B74" s="2">
        <v>0.16502</v>
      </c>
      <c r="C74" s="2">
        <v>0</v>
      </c>
      <c r="D74" s="2">
        <v>0</v>
      </c>
      <c r="E74" s="2">
        <v>0</v>
      </c>
    </row>
    <row r="75" spans="1:5" x14ac:dyDescent="0.3">
      <c r="A75">
        <v>145</v>
      </c>
      <c r="B75" s="2">
        <v>0</v>
      </c>
      <c r="C75" s="2">
        <v>0</v>
      </c>
      <c r="D75" s="2">
        <v>0</v>
      </c>
      <c r="E75" s="2">
        <v>0.33002999999999999</v>
      </c>
    </row>
    <row r="76" spans="1:5" x14ac:dyDescent="0.3">
      <c r="A76">
        <v>146</v>
      </c>
      <c r="B76" s="2">
        <v>0</v>
      </c>
      <c r="C76" s="2">
        <v>0.16502</v>
      </c>
      <c r="D76" s="2">
        <v>0</v>
      </c>
      <c r="E76" s="2">
        <v>0</v>
      </c>
    </row>
    <row r="77" spans="1:5" x14ac:dyDescent="0.3">
      <c r="A77">
        <v>148</v>
      </c>
      <c r="B77" s="2">
        <v>0</v>
      </c>
      <c r="C77" s="2">
        <v>0.16502</v>
      </c>
      <c r="D77" s="2">
        <v>0</v>
      </c>
      <c r="E77" s="2">
        <v>0</v>
      </c>
    </row>
    <row r="78" spans="1:5" x14ac:dyDescent="0.3">
      <c r="A78">
        <v>149</v>
      </c>
      <c r="B78" s="2">
        <v>0</v>
      </c>
      <c r="C78" s="2">
        <v>0.33002999999999999</v>
      </c>
      <c r="D78" s="2">
        <v>0.16502</v>
      </c>
      <c r="E78" s="2">
        <v>0.49504999999999999</v>
      </c>
    </row>
    <row r="79" spans="1:5" x14ac:dyDescent="0.3">
      <c r="A79">
        <v>150</v>
      </c>
      <c r="B79" s="2">
        <v>13.366339999999999</v>
      </c>
      <c r="C79" s="2">
        <v>4.1254099999999996</v>
      </c>
      <c r="D79" s="2">
        <v>4.4554499999999999</v>
      </c>
      <c r="E79" s="2">
        <v>14.68647</v>
      </c>
    </row>
    <row r="80" spans="1:5" x14ac:dyDescent="0.3">
      <c r="A80">
        <v>154</v>
      </c>
      <c r="B80" s="2">
        <v>0.16502</v>
      </c>
      <c r="C80" s="2">
        <v>0</v>
      </c>
      <c r="D80" s="2">
        <v>0</v>
      </c>
      <c r="E80" s="2">
        <v>0</v>
      </c>
    </row>
    <row r="81" spans="1:5" x14ac:dyDescent="0.3">
      <c r="A81">
        <v>155</v>
      </c>
      <c r="B81" s="2">
        <v>0.16502</v>
      </c>
      <c r="C81" s="2">
        <v>0.49504999999999999</v>
      </c>
      <c r="D81" s="2">
        <v>0</v>
      </c>
      <c r="E81" s="2">
        <v>0</v>
      </c>
    </row>
    <row r="82" spans="1:5" x14ac:dyDescent="0.3">
      <c r="A82">
        <v>159</v>
      </c>
      <c r="B82" s="2">
        <v>0</v>
      </c>
      <c r="C82" s="2">
        <v>0.16502</v>
      </c>
      <c r="D82" s="2">
        <v>0</v>
      </c>
      <c r="E82" s="2">
        <v>0.16502</v>
      </c>
    </row>
    <row r="83" spans="1:5" x14ac:dyDescent="0.3">
      <c r="A83">
        <v>160</v>
      </c>
      <c r="B83" s="2">
        <v>0.82508000000000004</v>
      </c>
      <c r="C83" s="2">
        <v>1.6501699999999999</v>
      </c>
      <c r="D83" s="2">
        <v>0.99009999999999998</v>
      </c>
      <c r="E83" s="2">
        <v>0</v>
      </c>
    </row>
    <row r="84" spans="1:5" x14ac:dyDescent="0.3">
      <c r="A84">
        <v>165</v>
      </c>
      <c r="B84" s="2">
        <v>0</v>
      </c>
      <c r="C84" s="2">
        <v>0.16502</v>
      </c>
      <c r="D84" s="2">
        <v>0</v>
      </c>
      <c r="E84" s="2">
        <v>0</v>
      </c>
    </row>
    <row r="85" spans="1:5" x14ac:dyDescent="0.3">
      <c r="A85">
        <v>170</v>
      </c>
      <c r="B85" s="2">
        <v>0.66007000000000005</v>
      </c>
      <c r="C85" s="2">
        <v>1.32013</v>
      </c>
      <c r="D85" s="2">
        <v>1.1551199999999999</v>
      </c>
      <c r="E85" s="2">
        <v>0.49504999999999999</v>
      </c>
    </row>
    <row r="86" spans="1:5" x14ac:dyDescent="0.3">
      <c r="A86">
        <v>171</v>
      </c>
      <c r="B86" s="2">
        <v>0.16502</v>
      </c>
      <c r="C86" s="2">
        <v>0</v>
      </c>
      <c r="D86" s="2">
        <v>0</v>
      </c>
      <c r="E86" s="2">
        <v>0</v>
      </c>
    </row>
    <row r="87" spans="1:5" x14ac:dyDescent="0.3">
      <c r="A87">
        <v>174</v>
      </c>
      <c r="B87" s="2">
        <v>0</v>
      </c>
      <c r="C87" s="2">
        <v>0.16502</v>
      </c>
      <c r="D87" s="2">
        <v>0</v>
      </c>
      <c r="E87" s="2">
        <v>0</v>
      </c>
    </row>
    <row r="88" spans="1:5" x14ac:dyDescent="0.3">
      <c r="A88">
        <v>175</v>
      </c>
      <c r="B88" s="2">
        <v>0</v>
      </c>
      <c r="C88" s="2">
        <v>0.16502</v>
      </c>
      <c r="D88" s="2">
        <v>0</v>
      </c>
      <c r="E88" s="2">
        <v>0</v>
      </c>
    </row>
    <row r="89" spans="1:5" x14ac:dyDescent="0.3">
      <c r="A89">
        <v>180</v>
      </c>
      <c r="B89" s="2">
        <v>2.8052800000000002</v>
      </c>
      <c r="C89" s="2">
        <v>3.4653499999999999</v>
      </c>
      <c r="D89" s="2">
        <v>1.48515</v>
      </c>
      <c r="E89" s="2">
        <v>0.82508000000000004</v>
      </c>
    </row>
    <row r="90" spans="1:5" x14ac:dyDescent="0.3">
      <c r="A90">
        <v>185</v>
      </c>
      <c r="B90" s="2">
        <v>0</v>
      </c>
      <c r="C90" s="2">
        <v>0</v>
      </c>
      <c r="D90" s="2">
        <v>0</v>
      </c>
      <c r="E90" s="2">
        <v>0.16502</v>
      </c>
    </row>
    <row r="91" spans="1:5" x14ac:dyDescent="0.3">
      <c r="A91">
        <v>188</v>
      </c>
      <c r="B91" s="2">
        <v>0.16502</v>
      </c>
      <c r="C91" s="2">
        <v>0</v>
      </c>
      <c r="D91" s="2">
        <v>0</v>
      </c>
      <c r="E91" s="2">
        <v>0</v>
      </c>
    </row>
    <row r="92" spans="1:5" x14ac:dyDescent="0.3">
      <c r="A92">
        <v>189</v>
      </c>
      <c r="B92" s="2">
        <v>0.16502</v>
      </c>
      <c r="C92" s="2">
        <v>0</v>
      </c>
      <c r="D92" s="2">
        <v>0</v>
      </c>
      <c r="E92" s="2">
        <v>0</v>
      </c>
    </row>
    <row r="93" spans="1:5" x14ac:dyDescent="0.3">
      <c r="A93">
        <v>190</v>
      </c>
      <c r="B93" s="2">
        <v>0.66007000000000005</v>
      </c>
      <c r="C93" s="2">
        <v>1.1551199999999999</v>
      </c>
      <c r="D93" s="2">
        <v>0.33002999999999999</v>
      </c>
      <c r="E93" s="2">
        <v>0.33002999999999999</v>
      </c>
    </row>
    <row r="94" spans="1:5" x14ac:dyDescent="0.3">
      <c r="A94">
        <v>194</v>
      </c>
      <c r="B94" s="2">
        <v>0.16502</v>
      </c>
      <c r="C94" s="2">
        <v>0</v>
      </c>
      <c r="D94" s="2">
        <v>0</v>
      </c>
      <c r="E94" s="2">
        <v>0</v>
      </c>
    </row>
    <row r="95" spans="1:5" x14ac:dyDescent="0.3">
      <c r="A95">
        <v>195</v>
      </c>
      <c r="B95" s="2">
        <v>0</v>
      </c>
      <c r="C95" s="2">
        <v>0</v>
      </c>
      <c r="D95" s="2">
        <v>0.16502</v>
      </c>
      <c r="E95" s="2">
        <v>0.16502</v>
      </c>
    </row>
    <row r="96" spans="1:5" x14ac:dyDescent="0.3">
      <c r="A96">
        <v>197</v>
      </c>
      <c r="B96" s="2">
        <v>0</v>
      </c>
      <c r="C96" s="2">
        <v>0.16502</v>
      </c>
      <c r="D96" s="2">
        <v>0</v>
      </c>
      <c r="E96" s="2">
        <v>0</v>
      </c>
    </row>
    <row r="97" spans="1:5" x14ac:dyDescent="0.3">
      <c r="A97">
        <v>198</v>
      </c>
      <c r="B97" s="2">
        <v>0</v>
      </c>
      <c r="C97" s="2">
        <v>0.49504999999999999</v>
      </c>
      <c r="D97" s="2">
        <v>0</v>
      </c>
      <c r="E97" s="2">
        <v>0.16502</v>
      </c>
    </row>
    <row r="98" spans="1:5" x14ac:dyDescent="0.3">
      <c r="A98">
        <v>199</v>
      </c>
      <c r="B98" s="2">
        <v>1.9802</v>
      </c>
      <c r="C98" s="2">
        <v>0.33002999999999999</v>
      </c>
      <c r="D98" s="2">
        <v>0.66007000000000005</v>
      </c>
      <c r="E98" s="2">
        <v>0.49504999999999999</v>
      </c>
    </row>
    <row r="99" spans="1:5" x14ac:dyDescent="0.3">
      <c r="A99">
        <v>200</v>
      </c>
      <c r="B99" s="2">
        <v>14.68647</v>
      </c>
      <c r="C99" s="2">
        <v>9.5709599999999995</v>
      </c>
      <c r="D99" s="2">
        <v>8.2508300000000006</v>
      </c>
      <c r="E99" s="2">
        <v>8.0858100000000004</v>
      </c>
    </row>
    <row r="100" spans="1:5" x14ac:dyDescent="0.3">
      <c r="A100">
        <v>205</v>
      </c>
      <c r="B100" s="2">
        <v>0</v>
      </c>
      <c r="C100" s="2">
        <v>0.16502</v>
      </c>
      <c r="D100" s="2">
        <v>0.16502</v>
      </c>
      <c r="E100" s="2">
        <v>0</v>
      </c>
    </row>
    <row r="101" spans="1:5" x14ac:dyDescent="0.3">
      <c r="A101">
        <v>209</v>
      </c>
      <c r="B101" s="2">
        <v>0</v>
      </c>
      <c r="C101" s="2">
        <v>0</v>
      </c>
      <c r="D101" s="2">
        <v>0.16502</v>
      </c>
      <c r="E101" s="2">
        <v>0</v>
      </c>
    </row>
    <row r="102" spans="1:5" x14ac:dyDescent="0.3">
      <c r="A102">
        <v>210</v>
      </c>
      <c r="B102" s="2">
        <v>0.49504999999999999</v>
      </c>
      <c r="C102" s="2">
        <v>0.16502</v>
      </c>
      <c r="D102" s="2">
        <v>0.49504999999999999</v>
      </c>
      <c r="E102" s="2">
        <v>0.33002999999999999</v>
      </c>
    </row>
    <row r="103" spans="1:5" x14ac:dyDescent="0.3">
      <c r="A103">
        <v>215</v>
      </c>
      <c r="B103" s="2">
        <v>0.16502</v>
      </c>
      <c r="C103" s="2">
        <v>0</v>
      </c>
      <c r="D103" s="2">
        <v>0</v>
      </c>
      <c r="E103" s="2">
        <v>0</v>
      </c>
    </row>
    <row r="104" spans="1:5" x14ac:dyDescent="0.3">
      <c r="A104">
        <v>219</v>
      </c>
      <c r="B104" s="2">
        <v>0.16502</v>
      </c>
      <c r="C104" s="2">
        <v>0</v>
      </c>
      <c r="D104" s="2">
        <v>0</v>
      </c>
      <c r="E104" s="2">
        <v>0</v>
      </c>
    </row>
    <row r="105" spans="1:5" x14ac:dyDescent="0.3">
      <c r="A105">
        <v>220</v>
      </c>
      <c r="B105" s="2">
        <v>0.66007000000000005</v>
      </c>
      <c r="C105" s="2">
        <v>1.32013</v>
      </c>
      <c r="D105" s="2">
        <v>0.33002999999999999</v>
      </c>
      <c r="E105" s="2">
        <v>0.33002999999999999</v>
      </c>
    </row>
    <row r="106" spans="1:5" x14ac:dyDescent="0.3">
      <c r="A106">
        <v>221</v>
      </c>
      <c r="B106" s="2">
        <v>0.16502</v>
      </c>
      <c r="C106" s="2">
        <v>0</v>
      </c>
      <c r="D106" s="2">
        <v>0</v>
      </c>
      <c r="E106" s="2">
        <v>0</v>
      </c>
    </row>
    <row r="107" spans="1:5" x14ac:dyDescent="0.3">
      <c r="A107">
        <v>225</v>
      </c>
      <c r="B107" s="2">
        <v>0</v>
      </c>
      <c r="C107" s="2">
        <v>0.16502</v>
      </c>
      <c r="D107" s="2">
        <v>0</v>
      </c>
      <c r="E107" s="2">
        <v>0</v>
      </c>
    </row>
    <row r="108" spans="1:5" x14ac:dyDescent="0.3">
      <c r="A108">
        <v>229</v>
      </c>
      <c r="B108" s="2">
        <v>0.16502</v>
      </c>
      <c r="C108" s="2">
        <v>0.16502</v>
      </c>
      <c r="D108" s="2">
        <v>0</v>
      </c>
      <c r="E108" s="2">
        <v>0</v>
      </c>
    </row>
    <row r="109" spans="1:5" x14ac:dyDescent="0.3">
      <c r="A109">
        <v>230</v>
      </c>
      <c r="B109" s="2">
        <v>0.49504999999999999</v>
      </c>
      <c r="C109" s="2">
        <v>1.48515</v>
      </c>
      <c r="D109" s="2">
        <v>1.81518</v>
      </c>
      <c r="E109" s="2">
        <v>0.33002999999999999</v>
      </c>
    </row>
    <row r="110" spans="1:5" x14ac:dyDescent="0.3">
      <c r="A110">
        <v>237</v>
      </c>
      <c r="B110" s="2">
        <v>0</v>
      </c>
      <c r="C110" s="2">
        <v>0</v>
      </c>
      <c r="D110" s="2">
        <v>0</v>
      </c>
      <c r="E110" s="2">
        <v>0.16502</v>
      </c>
    </row>
    <row r="111" spans="1:5" x14ac:dyDescent="0.3">
      <c r="A111">
        <v>238</v>
      </c>
      <c r="B111" s="2">
        <v>0.16502</v>
      </c>
      <c r="C111" s="2">
        <v>0</v>
      </c>
      <c r="D111" s="2">
        <v>0</v>
      </c>
      <c r="E111" s="2">
        <v>0</v>
      </c>
    </row>
    <row r="112" spans="1:5" x14ac:dyDescent="0.3">
      <c r="A112">
        <v>239</v>
      </c>
      <c r="B112" s="2">
        <v>0</v>
      </c>
      <c r="C112" s="2">
        <v>0.16502</v>
      </c>
      <c r="D112" s="2">
        <v>0</v>
      </c>
      <c r="E112" s="2">
        <v>0.16502</v>
      </c>
    </row>
    <row r="113" spans="1:5" x14ac:dyDescent="0.3">
      <c r="A113">
        <v>240</v>
      </c>
      <c r="B113" s="2">
        <v>0.66007000000000005</v>
      </c>
      <c r="C113" s="2">
        <v>0.49504999999999999</v>
      </c>
      <c r="D113" s="2">
        <v>0.49504999999999999</v>
      </c>
      <c r="E113" s="2">
        <v>0</v>
      </c>
    </row>
    <row r="114" spans="1:5" x14ac:dyDescent="0.3">
      <c r="A114">
        <v>244</v>
      </c>
      <c r="B114" s="2">
        <v>0</v>
      </c>
      <c r="C114" s="2">
        <v>0</v>
      </c>
      <c r="D114" s="2">
        <v>0</v>
      </c>
      <c r="E114" s="2">
        <v>0.16502</v>
      </c>
    </row>
    <row r="115" spans="1:5" x14ac:dyDescent="0.3">
      <c r="A115">
        <v>245</v>
      </c>
      <c r="B115" s="2">
        <v>0.16502</v>
      </c>
      <c r="C115" s="2">
        <v>0</v>
      </c>
      <c r="D115" s="2">
        <v>0</v>
      </c>
      <c r="E115" s="2">
        <v>0</v>
      </c>
    </row>
    <row r="116" spans="1:5" x14ac:dyDescent="0.3">
      <c r="A116">
        <v>246</v>
      </c>
      <c r="B116" s="2">
        <v>0</v>
      </c>
      <c r="C116" s="2">
        <v>0.16502</v>
      </c>
      <c r="D116" s="2">
        <v>0</v>
      </c>
      <c r="E116" s="2">
        <v>0</v>
      </c>
    </row>
    <row r="117" spans="1:5" x14ac:dyDescent="0.3">
      <c r="A117">
        <v>247</v>
      </c>
      <c r="B117" s="2">
        <v>0.16502</v>
      </c>
      <c r="C117" s="2">
        <v>0</v>
      </c>
      <c r="D117" s="2">
        <v>0.16502</v>
      </c>
      <c r="E117" s="2">
        <v>0</v>
      </c>
    </row>
    <row r="118" spans="1:5" x14ac:dyDescent="0.3">
      <c r="A118">
        <v>249</v>
      </c>
      <c r="B118" s="2">
        <v>0.49504999999999999</v>
      </c>
      <c r="C118" s="2">
        <v>1.1551199999999999</v>
      </c>
      <c r="D118" s="2">
        <v>0</v>
      </c>
      <c r="E118" s="2">
        <v>0.16502</v>
      </c>
    </row>
    <row r="119" spans="1:5" x14ac:dyDescent="0.3">
      <c r="A119">
        <v>250</v>
      </c>
      <c r="B119" s="2">
        <v>10.396039999999999</v>
      </c>
      <c r="C119" s="2">
        <v>8.5808599999999995</v>
      </c>
      <c r="D119" s="2">
        <v>6.9306900000000002</v>
      </c>
      <c r="E119" s="2">
        <v>2.47525</v>
      </c>
    </row>
    <row r="120" spans="1:5" x14ac:dyDescent="0.3">
      <c r="A120">
        <v>255</v>
      </c>
      <c r="B120" s="2">
        <v>0</v>
      </c>
      <c r="C120" s="2">
        <v>0.49504999999999999</v>
      </c>
      <c r="D120" s="2">
        <v>0</v>
      </c>
      <c r="E120" s="2">
        <v>0</v>
      </c>
    </row>
    <row r="121" spans="1:5" x14ac:dyDescent="0.3">
      <c r="A121">
        <v>259</v>
      </c>
      <c r="B121" s="2">
        <v>0.16502</v>
      </c>
      <c r="C121" s="2">
        <v>0</v>
      </c>
      <c r="D121" s="2">
        <v>0</v>
      </c>
      <c r="E121" s="2">
        <v>0</v>
      </c>
    </row>
    <row r="122" spans="1:5" x14ac:dyDescent="0.3">
      <c r="A122">
        <v>260</v>
      </c>
      <c r="B122" s="2">
        <v>0.49504999999999999</v>
      </c>
      <c r="C122" s="2">
        <v>0.82508000000000004</v>
      </c>
      <c r="D122" s="2">
        <v>0.99009999999999998</v>
      </c>
      <c r="E122" s="2">
        <v>0</v>
      </c>
    </row>
    <row r="123" spans="1:5" x14ac:dyDescent="0.3">
      <c r="A123">
        <v>265</v>
      </c>
      <c r="B123" s="2">
        <v>0.16502</v>
      </c>
      <c r="C123" s="2">
        <v>0</v>
      </c>
      <c r="D123" s="2">
        <v>0</v>
      </c>
      <c r="E123" s="2">
        <v>0</v>
      </c>
    </row>
    <row r="124" spans="1:5" x14ac:dyDescent="0.3">
      <c r="A124">
        <v>269</v>
      </c>
      <c r="B124" s="2">
        <v>0</v>
      </c>
      <c r="C124" s="2">
        <v>0.16502</v>
      </c>
      <c r="D124" s="2">
        <v>0</v>
      </c>
      <c r="E124" s="2">
        <v>0</v>
      </c>
    </row>
    <row r="125" spans="1:5" x14ac:dyDescent="0.3">
      <c r="A125">
        <v>270</v>
      </c>
      <c r="B125" s="2">
        <v>0.49504999999999999</v>
      </c>
      <c r="C125" s="2">
        <v>0.99009999999999998</v>
      </c>
      <c r="D125" s="2">
        <v>0.99009999999999998</v>
      </c>
      <c r="E125" s="2">
        <v>0</v>
      </c>
    </row>
    <row r="126" spans="1:5" x14ac:dyDescent="0.3">
      <c r="A126">
        <v>273</v>
      </c>
      <c r="B126" s="2">
        <v>0</v>
      </c>
      <c r="C126" s="2">
        <v>0.16502</v>
      </c>
      <c r="D126" s="2">
        <v>0</v>
      </c>
      <c r="E126" s="2">
        <v>0</v>
      </c>
    </row>
    <row r="127" spans="1:5" x14ac:dyDescent="0.3">
      <c r="A127">
        <v>275</v>
      </c>
      <c r="B127" s="2">
        <v>0</v>
      </c>
      <c r="C127" s="2">
        <v>0.16502</v>
      </c>
      <c r="D127" s="2">
        <v>0</v>
      </c>
      <c r="E127" s="2">
        <v>0</v>
      </c>
    </row>
    <row r="128" spans="1:5" x14ac:dyDescent="0.3">
      <c r="A128">
        <v>279</v>
      </c>
      <c r="B128" s="2">
        <v>0.16502</v>
      </c>
      <c r="C128" s="2">
        <v>0.16502</v>
      </c>
      <c r="D128" s="2">
        <v>0.16502</v>
      </c>
      <c r="E128" s="2">
        <v>0</v>
      </c>
    </row>
    <row r="129" spans="1:5" x14ac:dyDescent="0.3">
      <c r="A129">
        <v>280</v>
      </c>
      <c r="B129" s="2">
        <v>1.81518</v>
      </c>
      <c r="C129" s="2">
        <v>2.9702999999999999</v>
      </c>
      <c r="D129" s="2">
        <v>0.82508000000000004</v>
      </c>
      <c r="E129" s="2">
        <v>0.33002999999999999</v>
      </c>
    </row>
    <row r="130" spans="1:5" x14ac:dyDescent="0.3">
      <c r="A130">
        <v>288</v>
      </c>
      <c r="B130" s="2">
        <v>0</v>
      </c>
      <c r="C130" s="2">
        <v>0.16502</v>
      </c>
      <c r="D130" s="2">
        <v>0</v>
      </c>
      <c r="E130" s="2">
        <v>0</v>
      </c>
    </row>
    <row r="131" spans="1:5" x14ac:dyDescent="0.3">
      <c r="A131">
        <v>289</v>
      </c>
      <c r="B131" s="2">
        <v>0</v>
      </c>
      <c r="C131" s="2">
        <v>0</v>
      </c>
      <c r="D131" s="2">
        <v>0.33002999999999999</v>
      </c>
      <c r="E131" s="2">
        <v>0</v>
      </c>
    </row>
    <row r="132" spans="1:5" x14ac:dyDescent="0.3">
      <c r="A132">
        <v>290</v>
      </c>
      <c r="B132" s="2">
        <v>0.33002999999999999</v>
      </c>
      <c r="C132" s="2">
        <v>0.66007000000000005</v>
      </c>
      <c r="D132" s="2">
        <v>0.33002999999999999</v>
      </c>
      <c r="E132" s="2">
        <v>0.33002999999999999</v>
      </c>
    </row>
    <row r="133" spans="1:5" x14ac:dyDescent="0.3">
      <c r="A133">
        <v>296</v>
      </c>
      <c r="B133" s="2">
        <v>0</v>
      </c>
      <c r="C133" s="2">
        <v>0</v>
      </c>
      <c r="D133" s="2">
        <v>0.16502</v>
      </c>
      <c r="E133" s="2">
        <v>0</v>
      </c>
    </row>
    <row r="134" spans="1:5" x14ac:dyDescent="0.3">
      <c r="A134">
        <v>298</v>
      </c>
      <c r="B134" s="2">
        <v>0</v>
      </c>
      <c r="C134" s="2">
        <v>0</v>
      </c>
      <c r="D134" s="2">
        <v>0</v>
      </c>
      <c r="E134" s="2">
        <v>0.16502</v>
      </c>
    </row>
    <row r="135" spans="1:5" x14ac:dyDescent="0.3">
      <c r="A135">
        <v>299</v>
      </c>
      <c r="B135" s="2">
        <v>0.33002999999999999</v>
      </c>
      <c r="C135" s="2">
        <v>1.1551199999999999</v>
      </c>
      <c r="D135" s="2">
        <v>0.16502</v>
      </c>
      <c r="E135" s="2">
        <v>0</v>
      </c>
    </row>
    <row r="136" spans="1:5" x14ac:dyDescent="0.3">
      <c r="A136">
        <v>300</v>
      </c>
      <c r="B136" s="2">
        <v>10.396039999999999</v>
      </c>
      <c r="C136" s="2">
        <v>10.06601</v>
      </c>
      <c r="D136" s="2">
        <v>12.70627</v>
      </c>
      <c r="E136" s="2">
        <v>1.48515</v>
      </c>
    </row>
    <row r="137" spans="1:5" x14ac:dyDescent="0.3">
      <c r="A137">
        <v>301</v>
      </c>
      <c r="B137" s="2">
        <v>0</v>
      </c>
      <c r="C137" s="2">
        <v>0.16502</v>
      </c>
      <c r="D137" s="2">
        <v>0</v>
      </c>
      <c r="E137" s="2">
        <v>0</v>
      </c>
    </row>
    <row r="138" spans="1:5" x14ac:dyDescent="0.3">
      <c r="A138">
        <v>305</v>
      </c>
      <c r="B138" s="2">
        <v>0</v>
      </c>
      <c r="C138" s="2">
        <v>0</v>
      </c>
      <c r="D138" s="2">
        <v>0.16502</v>
      </c>
      <c r="E138" s="2">
        <v>0</v>
      </c>
    </row>
    <row r="139" spans="1:5" x14ac:dyDescent="0.3">
      <c r="A139">
        <v>306</v>
      </c>
      <c r="B139" s="2">
        <v>0</v>
      </c>
      <c r="C139" s="2">
        <v>0.16502</v>
      </c>
      <c r="D139" s="2">
        <v>0</v>
      </c>
      <c r="E139" s="2">
        <v>0</v>
      </c>
    </row>
    <row r="140" spans="1:5" x14ac:dyDescent="0.3">
      <c r="A140">
        <v>309</v>
      </c>
      <c r="B140" s="2">
        <v>0</v>
      </c>
      <c r="C140" s="2">
        <v>0.16502</v>
      </c>
      <c r="D140" s="2">
        <v>0</v>
      </c>
      <c r="E140" s="2">
        <v>0</v>
      </c>
    </row>
    <row r="141" spans="1:5" x14ac:dyDescent="0.3">
      <c r="A141">
        <v>310</v>
      </c>
      <c r="B141" s="2">
        <v>0</v>
      </c>
      <c r="C141" s="2">
        <v>0</v>
      </c>
      <c r="D141" s="2">
        <v>0.49504999999999999</v>
      </c>
      <c r="E141" s="2">
        <v>0</v>
      </c>
    </row>
    <row r="142" spans="1:5" x14ac:dyDescent="0.3">
      <c r="A142">
        <v>312</v>
      </c>
      <c r="B142" s="2">
        <v>0.16502</v>
      </c>
      <c r="C142" s="2">
        <v>0</v>
      </c>
      <c r="D142" s="2">
        <v>0</v>
      </c>
      <c r="E142" s="2">
        <v>0</v>
      </c>
    </row>
    <row r="143" spans="1:5" x14ac:dyDescent="0.3">
      <c r="A143">
        <v>316</v>
      </c>
      <c r="B143" s="2">
        <v>0</v>
      </c>
      <c r="C143" s="2">
        <v>0</v>
      </c>
      <c r="D143" s="2">
        <v>0.16502</v>
      </c>
      <c r="E143" s="2">
        <v>0</v>
      </c>
    </row>
    <row r="144" spans="1:5" x14ac:dyDescent="0.3">
      <c r="A144">
        <v>320</v>
      </c>
      <c r="B144" s="2">
        <v>0.82508000000000004</v>
      </c>
      <c r="C144" s="2">
        <v>0.82508000000000004</v>
      </c>
      <c r="D144" s="2">
        <v>1.1551199999999999</v>
      </c>
      <c r="E144" s="2">
        <v>0.16502</v>
      </c>
    </row>
    <row r="145" spans="1:5" x14ac:dyDescent="0.3">
      <c r="A145">
        <v>325</v>
      </c>
      <c r="B145" s="2">
        <v>0</v>
      </c>
      <c r="C145" s="2">
        <v>0.16502</v>
      </c>
      <c r="D145" s="2">
        <v>0</v>
      </c>
      <c r="E145" s="2">
        <v>0</v>
      </c>
    </row>
    <row r="146" spans="1:5" x14ac:dyDescent="0.3">
      <c r="A146">
        <v>330</v>
      </c>
      <c r="B146" s="2">
        <v>0</v>
      </c>
      <c r="C146" s="2">
        <v>0.33002999999999999</v>
      </c>
      <c r="D146" s="2">
        <v>0.82508000000000004</v>
      </c>
      <c r="E146" s="2">
        <v>0</v>
      </c>
    </row>
    <row r="147" spans="1:5" x14ac:dyDescent="0.3">
      <c r="A147">
        <v>340</v>
      </c>
      <c r="B147" s="2">
        <v>0</v>
      </c>
      <c r="C147" s="2">
        <v>0.49504999999999999</v>
      </c>
      <c r="D147" s="2">
        <v>0</v>
      </c>
      <c r="E147" s="2">
        <v>0</v>
      </c>
    </row>
    <row r="148" spans="1:5" x14ac:dyDescent="0.3">
      <c r="A148">
        <v>349</v>
      </c>
      <c r="B148" s="2">
        <v>0</v>
      </c>
      <c r="C148" s="2">
        <v>0.33002999999999999</v>
      </c>
      <c r="D148" s="2">
        <v>0.16502</v>
      </c>
      <c r="E148" s="2">
        <v>0</v>
      </c>
    </row>
    <row r="149" spans="1:5" x14ac:dyDescent="0.3">
      <c r="A149">
        <v>350</v>
      </c>
      <c r="B149" s="2">
        <v>2.9702999999999999</v>
      </c>
      <c r="C149" s="2">
        <v>8.74587</v>
      </c>
      <c r="D149" s="2">
        <v>7.0957100000000004</v>
      </c>
      <c r="E149" s="2">
        <v>0.49504999999999999</v>
      </c>
    </row>
    <row r="150" spans="1:5" x14ac:dyDescent="0.3">
      <c r="A150">
        <v>351</v>
      </c>
      <c r="B150" s="2">
        <v>0</v>
      </c>
      <c r="C150" s="2">
        <v>0</v>
      </c>
      <c r="D150" s="2">
        <v>0.33002999999999999</v>
      </c>
      <c r="E150" s="2">
        <v>0</v>
      </c>
    </row>
    <row r="151" spans="1:5" x14ac:dyDescent="0.3">
      <c r="A151">
        <v>355</v>
      </c>
      <c r="B151" s="2">
        <v>0</v>
      </c>
      <c r="C151" s="2">
        <v>0</v>
      </c>
      <c r="D151" s="2">
        <v>0.33002999999999999</v>
      </c>
      <c r="E151" s="2">
        <v>0</v>
      </c>
    </row>
    <row r="152" spans="1:5" x14ac:dyDescent="0.3">
      <c r="A152">
        <v>360</v>
      </c>
      <c r="B152" s="2">
        <v>0.16502</v>
      </c>
      <c r="C152" s="2">
        <v>0.99009999999999998</v>
      </c>
      <c r="D152" s="2">
        <v>0.49504999999999999</v>
      </c>
      <c r="E152" s="2">
        <v>0.16502</v>
      </c>
    </row>
    <row r="153" spans="1:5" x14ac:dyDescent="0.3">
      <c r="A153">
        <v>365</v>
      </c>
      <c r="B153" s="2">
        <v>0</v>
      </c>
      <c r="C153" s="2">
        <v>0.16502</v>
      </c>
      <c r="D153" s="2">
        <v>0</v>
      </c>
      <c r="E153" s="2">
        <v>0</v>
      </c>
    </row>
    <row r="154" spans="1:5" x14ac:dyDescent="0.3">
      <c r="A154">
        <v>369</v>
      </c>
      <c r="B154" s="2">
        <v>0</v>
      </c>
      <c r="C154" s="2">
        <v>0.16502</v>
      </c>
      <c r="D154" s="2">
        <v>0</v>
      </c>
      <c r="E154" s="2">
        <v>0</v>
      </c>
    </row>
    <row r="155" spans="1:5" x14ac:dyDescent="0.3">
      <c r="A155">
        <v>370</v>
      </c>
      <c r="B155" s="2">
        <v>0.16502</v>
      </c>
      <c r="C155" s="2">
        <v>0.16502</v>
      </c>
      <c r="D155" s="2">
        <v>0.66007000000000005</v>
      </c>
      <c r="E155" s="2">
        <v>0</v>
      </c>
    </row>
    <row r="156" spans="1:5" x14ac:dyDescent="0.3">
      <c r="A156">
        <v>375</v>
      </c>
      <c r="B156" s="2">
        <v>0</v>
      </c>
      <c r="C156" s="2">
        <v>0.16502</v>
      </c>
      <c r="D156" s="2">
        <v>0</v>
      </c>
      <c r="E156" s="2">
        <v>0</v>
      </c>
    </row>
    <row r="157" spans="1:5" x14ac:dyDescent="0.3">
      <c r="A157">
        <v>380</v>
      </c>
      <c r="B157" s="2">
        <v>0</v>
      </c>
      <c r="C157" s="2">
        <v>1.48515</v>
      </c>
      <c r="D157" s="2">
        <v>0.82508000000000004</v>
      </c>
      <c r="E157" s="2">
        <v>0</v>
      </c>
    </row>
    <row r="158" spans="1:5" x14ac:dyDescent="0.3">
      <c r="A158">
        <v>390</v>
      </c>
      <c r="B158" s="2">
        <v>0</v>
      </c>
      <c r="C158" s="2">
        <v>0.16502</v>
      </c>
      <c r="D158" s="2">
        <v>0.16502</v>
      </c>
      <c r="E158" s="2">
        <v>0</v>
      </c>
    </row>
    <row r="159" spans="1:5" x14ac:dyDescent="0.3">
      <c r="A159">
        <v>398</v>
      </c>
      <c r="B159" s="2">
        <v>0</v>
      </c>
      <c r="C159" s="2">
        <v>0.16502</v>
      </c>
      <c r="D159" s="2">
        <v>0</v>
      </c>
      <c r="E159" s="2">
        <v>0</v>
      </c>
    </row>
    <row r="160" spans="1:5" x14ac:dyDescent="0.3">
      <c r="A160">
        <v>399</v>
      </c>
      <c r="B160" s="2">
        <v>0.33002999999999999</v>
      </c>
      <c r="C160" s="2">
        <v>0.16502</v>
      </c>
      <c r="D160" s="2">
        <v>0.99009999999999998</v>
      </c>
      <c r="E160" s="2">
        <v>0</v>
      </c>
    </row>
    <row r="161" spans="1:5" x14ac:dyDescent="0.3">
      <c r="A161">
        <v>400</v>
      </c>
      <c r="B161" s="2">
        <v>2.3102299999999998</v>
      </c>
      <c r="C161" s="2">
        <v>4.4554499999999999</v>
      </c>
      <c r="D161" s="2">
        <v>10.396039999999999</v>
      </c>
      <c r="E161" s="2">
        <v>0.49504999999999999</v>
      </c>
    </row>
    <row r="162" spans="1:5" x14ac:dyDescent="0.3">
      <c r="A162">
        <v>410</v>
      </c>
      <c r="B162" s="2">
        <v>0.16502</v>
      </c>
      <c r="C162" s="2">
        <v>0</v>
      </c>
      <c r="D162" s="2">
        <v>0.16502</v>
      </c>
      <c r="E162" s="2">
        <v>0</v>
      </c>
    </row>
    <row r="163" spans="1:5" x14ac:dyDescent="0.3">
      <c r="A163">
        <v>415</v>
      </c>
      <c r="B163" s="2">
        <v>0</v>
      </c>
      <c r="C163" s="2">
        <v>0.16502</v>
      </c>
      <c r="D163" s="2">
        <v>0</v>
      </c>
      <c r="E163" s="2">
        <v>0</v>
      </c>
    </row>
    <row r="164" spans="1:5" x14ac:dyDescent="0.3">
      <c r="A164">
        <v>420</v>
      </c>
      <c r="B164" s="2">
        <v>0.16502</v>
      </c>
      <c r="C164" s="2">
        <v>0.16502</v>
      </c>
      <c r="D164" s="2">
        <v>0.16502</v>
      </c>
      <c r="E164" s="2">
        <v>0</v>
      </c>
    </row>
    <row r="165" spans="1:5" x14ac:dyDescent="0.3">
      <c r="A165">
        <v>425</v>
      </c>
      <c r="B165" s="2">
        <v>0</v>
      </c>
      <c r="C165" s="2">
        <v>0</v>
      </c>
      <c r="D165" s="2">
        <v>0.16502</v>
      </c>
      <c r="E165" s="2">
        <v>0</v>
      </c>
    </row>
    <row r="166" spans="1:5" x14ac:dyDescent="0.3">
      <c r="A166">
        <v>430</v>
      </c>
      <c r="B166" s="2">
        <v>0.16502</v>
      </c>
      <c r="C166" s="2">
        <v>0.49504999999999999</v>
      </c>
      <c r="D166" s="2">
        <v>0.16502</v>
      </c>
      <c r="E166" s="2">
        <v>0</v>
      </c>
    </row>
    <row r="167" spans="1:5" x14ac:dyDescent="0.3">
      <c r="A167">
        <v>440</v>
      </c>
      <c r="B167" s="2">
        <v>0</v>
      </c>
      <c r="C167" s="2">
        <v>0.33002999999999999</v>
      </c>
      <c r="D167" s="2">
        <v>0.16502</v>
      </c>
      <c r="E167" s="2">
        <v>0</v>
      </c>
    </row>
    <row r="168" spans="1:5" x14ac:dyDescent="0.3">
      <c r="A168">
        <v>449</v>
      </c>
      <c r="B168" s="2">
        <v>0</v>
      </c>
      <c r="C168" s="2">
        <v>0.16502</v>
      </c>
      <c r="D168" s="2">
        <v>0</v>
      </c>
      <c r="E168" s="2">
        <v>0</v>
      </c>
    </row>
    <row r="169" spans="1:5" x14ac:dyDescent="0.3">
      <c r="A169">
        <v>450</v>
      </c>
      <c r="B169" s="2">
        <v>0.49504999999999999</v>
      </c>
      <c r="C169" s="2">
        <v>2.1452100000000001</v>
      </c>
      <c r="D169" s="2">
        <v>3.9603999999999999</v>
      </c>
      <c r="E169" s="2">
        <v>0</v>
      </c>
    </row>
    <row r="170" spans="1:5" x14ac:dyDescent="0.3">
      <c r="A170">
        <v>458</v>
      </c>
      <c r="B170" s="2">
        <v>0</v>
      </c>
      <c r="C170" s="2">
        <v>0</v>
      </c>
      <c r="D170" s="2">
        <v>0.16502</v>
      </c>
      <c r="E170" s="2">
        <v>0</v>
      </c>
    </row>
    <row r="171" spans="1:5" x14ac:dyDescent="0.3">
      <c r="A171">
        <v>460</v>
      </c>
      <c r="B171" s="2">
        <v>0</v>
      </c>
      <c r="C171" s="2">
        <v>0</v>
      </c>
      <c r="D171" s="2">
        <v>0.16502</v>
      </c>
      <c r="E171" s="2">
        <v>0</v>
      </c>
    </row>
    <row r="172" spans="1:5" x14ac:dyDescent="0.3">
      <c r="A172">
        <v>470</v>
      </c>
      <c r="B172" s="2">
        <v>0</v>
      </c>
      <c r="C172" s="2">
        <v>0.16502</v>
      </c>
      <c r="D172" s="2">
        <v>0.33002999999999999</v>
      </c>
      <c r="E172" s="2">
        <v>0</v>
      </c>
    </row>
    <row r="173" spans="1:5" x14ac:dyDescent="0.3">
      <c r="A173">
        <v>480</v>
      </c>
      <c r="B173" s="2">
        <v>0</v>
      </c>
      <c r="C173" s="2">
        <v>0</v>
      </c>
      <c r="D173" s="2">
        <v>0.33002999999999999</v>
      </c>
      <c r="E173" s="2">
        <v>0</v>
      </c>
    </row>
    <row r="174" spans="1:5" x14ac:dyDescent="0.3">
      <c r="A174">
        <v>499</v>
      </c>
      <c r="B174" s="2">
        <v>0</v>
      </c>
      <c r="C174" s="2">
        <v>0.33002999999999999</v>
      </c>
      <c r="D174" s="2">
        <v>0.49504999999999999</v>
      </c>
      <c r="E174" s="2">
        <v>0</v>
      </c>
    </row>
    <row r="175" spans="1:5" x14ac:dyDescent="0.3">
      <c r="A175">
        <v>500</v>
      </c>
      <c r="B175" s="2">
        <v>0.82508000000000004</v>
      </c>
      <c r="C175" s="2">
        <v>1.48515</v>
      </c>
      <c r="D175" s="2">
        <v>8.0858100000000004</v>
      </c>
      <c r="E175" s="2">
        <v>0</v>
      </c>
    </row>
    <row r="176" spans="1:5" x14ac:dyDescent="0.3">
      <c r="A176">
        <v>550</v>
      </c>
      <c r="B176" s="2">
        <v>0.16502</v>
      </c>
      <c r="C176" s="2">
        <v>0.49504999999999999</v>
      </c>
      <c r="D176" s="2">
        <v>0.49504999999999999</v>
      </c>
      <c r="E176" s="2">
        <v>0</v>
      </c>
    </row>
    <row r="177" spans="1:5" x14ac:dyDescent="0.3">
      <c r="A177">
        <v>570</v>
      </c>
      <c r="B177" s="2">
        <v>0</v>
      </c>
      <c r="C177" s="2">
        <v>0.16502</v>
      </c>
      <c r="D177" s="2">
        <v>0.16502</v>
      </c>
      <c r="E177" s="2">
        <v>0</v>
      </c>
    </row>
    <row r="178" spans="1:5" x14ac:dyDescent="0.3">
      <c r="A178">
        <v>575</v>
      </c>
      <c r="B178" s="2">
        <v>0</v>
      </c>
      <c r="C178" s="2">
        <v>0.16502</v>
      </c>
      <c r="D178" s="2">
        <v>0</v>
      </c>
      <c r="E178" s="2">
        <v>0</v>
      </c>
    </row>
    <row r="179" spans="1:5" x14ac:dyDescent="0.3">
      <c r="A179">
        <v>579</v>
      </c>
      <c r="B179" s="2">
        <v>0</v>
      </c>
      <c r="C179" s="2">
        <v>0</v>
      </c>
      <c r="D179" s="2">
        <v>0.16502</v>
      </c>
      <c r="E179" s="2">
        <v>0</v>
      </c>
    </row>
    <row r="180" spans="1:5" x14ac:dyDescent="0.3">
      <c r="A180">
        <v>600</v>
      </c>
      <c r="B180" s="2">
        <v>0.33002999999999999</v>
      </c>
      <c r="C180" s="2">
        <v>1.48515</v>
      </c>
      <c r="D180" s="2">
        <v>2.9702999999999999</v>
      </c>
      <c r="E180" s="2">
        <v>0</v>
      </c>
    </row>
    <row r="181" spans="1:5" x14ac:dyDescent="0.3">
      <c r="A181">
        <v>630</v>
      </c>
      <c r="B181" s="2">
        <v>0</v>
      </c>
      <c r="C181" s="2">
        <v>0</v>
      </c>
      <c r="D181" s="2">
        <v>0.16502</v>
      </c>
      <c r="E181" s="2">
        <v>0</v>
      </c>
    </row>
    <row r="182" spans="1:5" x14ac:dyDescent="0.3">
      <c r="A182">
        <v>650</v>
      </c>
      <c r="B182" s="2">
        <v>0</v>
      </c>
      <c r="C182" s="2">
        <v>0.16502</v>
      </c>
      <c r="D182" s="2">
        <v>0.66007000000000005</v>
      </c>
      <c r="E182" s="2">
        <v>0</v>
      </c>
    </row>
    <row r="183" spans="1:5" x14ac:dyDescent="0.3">
      <c r="A183">
        <v>670</v>
      </c>
      <c r="B183" s="2">
        <v>0</v>
      </c>
      <c r="C183" s="2">
        <v>0</v>
      </c>
      <c r="D183" s="2">
        <v>0.16502</v>
      </c>
      <c r="E183" s="2">
        <v>0</v>
      </c>
    </row>
    <row r="184" spans="1:5" x14ac:dyDescent="0.3">
      <c r="A184">
        <v>679</v>
      </c>
      <c r="B184" s="2">
        <v>0</v>
      </c>
      <c r="C184" s="2">
        <v>0</v>
      </c>
      <c r="D184" s="2">
        <v>0.16502</v>
      </c>
      <c r="E184" s="2">
        <v>0</v>
      </c>
    </row>
    <row r="185" spans="1:5" x14ac:dyDescent="0.3">
      <c r="A185">
        <v>699</v>
      </c>
      <c r="B185" s="2">
        <v>0</v>
      </c>
      <c r="C185" s="2">
        <v>0</v>
      </c>
      <c r="D185" s="2">
        <v>0.16502</v>
      </c>
      <c r="E185" s="2">
        <v>0</v>
      </c>
    </row>
    <row r="186" spans="1:5" x14ac:dyDescent="0.3">
      <c r="A186">
        <v>700</v>
      </c>
      <c r="B186" s="2">
        <v>0</v>
      </c>
      <c r="C186" s="2">
        <v>0.33002999999999999</v>
      </c>
      <c r="D186" s="2">
        <v>0.99009999999999998</v>
      </c>
      <c r="E186" s="2">
        <v>0</v>
      </c>
    </row>
    <row r="187" spans="1:5" x14ac:dyDescent="0.3">
      <c r="A187">
        <v>750</v>
      </c>
      <c r="B187" s="2">
        <v>0</v>
      </c>
      <c r="C187" s="2">
        <v>0.16502</v>
      </c>
      <c r="D187" s="2">
        <v>0.16502</v>
      </c>
      <c r="E187" s="2">
        <v>0</v>
      </c>
    </row>
    <row r="188" spans="1:5" x14ac:dyDescent="0.3">
      <c r="A188">
        <v>800</v>
      </c>
      <c r="B188" s="2">
        <v>0</v>
      </c>
      <c r="C188" s="2">
        <v>0</v>
      </c>
      <c r="D188" s="2">
        <v>0.33002999999999999</v>
      </c>
      <c r="E188" s="2">
        <v>0</v>
      </c>
    </row>
    <row r="189" spans="1:5" x14ac:dyDescent="0.3">
      <c r="A189">
        <v>900</v>
      </c>
      <c r="B189" s="2">
        <v>0</v>
      </c>
      <c r="C189" s="2">
        <v>0</v>
      </c>
      <c r="D189" s="2">
        <v>0.49504999999999999</v>
      </c>
      <c r="E189" s="2">
        <v>0</v>
      </c>
    </row>
    <row r="190" spans="1:5" x14ac:dyDescent="0.3">
      <c r="A190">
        <v>1000</v>
      </c>
      <c r="B190" s="2">
        <v>0</v>
      </c>
      <c r="C190" s="2">
        <v>0</v>
      </c>
      <c r="D190" s="2">
        <v>0.66007000000000005</v>
      </c>
      <c r="E190" s="2">
        <v>0</v>
      </c>
    </row>
    <row r="191" spans="1:5" x14ac:dyDescent="0.3">
      <c r="A191">
        <v>3000</v>
      </c>
      <c r="B191" s="2">
        <v>0</v>
      </c>
      <c r="C191" s="2">
        <v>0</v>
      </c>
      <c r="D191" s="2">
        <v>0.16502</v>
      </c>
      <c r="E191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ADDEC-207F-F84E-BAB9-50228FFE4F91}">
  <dimension ref="A1:E191"/>
  <sheetViews>
    <sheetView workbookViewId="0">
      <selection activeCell="E27" sqref="E27"/>
    </sheetView>
  </sheetViews>
  <sheetFormatPr defaultColWidth="11.19921875" defaultRowHeight="15.6" x14ac:dyDescent="0.3"/>
  <sheetData>
    <row r="1" spans="1:5" x14ac:dyDescent="0.3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>
        <v>10</v>
      </c>
      <c r="B2" s="3">
        <f>'%'!B2</f>
        <v>0</v>
      </c>
      <c r="C2" s="3">
        <f>'%'!C2</f>
        <v>0</v>
      </c>
      <c r="D2" s="3">
        <f>'%'!D2</f>
        <v>0</v>
      </c>
      <c r="E2" s="3">
        <f>'%'!E2</f>
        <v>4.1254099999999996</v>
      </c>
    </row>
    <row r="3" spans="1:5" x14ac:dyDescent="0.3">
      <c r="A3">
        <v>13</v>
      </c>
      <c r="B3" s="3">
        <f>SUM('%'!B$2:B3)</f>
        <v>0</v>
      </c>
      <c r="C3" s="3">
        <f>SUM('%'!C$2:C3)</f>
        <v>0</v>
      </c>
      <c r="D3" s="3">
        <f>SUM('%'!D$2:D3)</f>
        <v>0</v>
      </c>
      <c r="E3" s="3">
        <f>SUM('%'!E$2:E3)</f>
        <v>4.2904299999999997</v>
      </c>
    </row>
    <row r="4" spans="1:5" x14ac:dyDescent="0.3">
      <c r="A4">
        <v>14</v>
      </c>
      <c r="B4" s="3">
        <f>SUM('%'!B$2:B4)</f>
        <v>0</v>
      </c>
      <c r="C4" s="3">
        <f>SUM('%'!C$2:C4)</f>
        <v>0</v>
      </c>
      <c r="D4" s="3">
        <f>SUM('%'!D$2:D4)</f>
        <v>0</v>
      </c>
      <c r="E4" s="3">
        <f>SUM('%'!E$2:E4)</f>
        <v>4.4554499999999999</v>
      </c>
    </row>
    <row r="5" spans="1:5" x14ac:dyDescent="0.3">
      <c r="A5">
        <v>15</v>
      </c>
      <c r="B5" s="3">
        <f>SUM('%'!B$2:B5)</f>
        <v>0</v>
      </c>
      <c r="C5" s="3">
        <f>SUM('%'!C$2:C5)</f>
        <v>0</v>
      </c>
      <c r="D5" s="3">
        <f>SUM('%'!D$2:D5)</f>
        <v>0</v>
      </c>
      <c r="E5" s="3">
        <f>SUM('%'!E$2:E5)</f>
        <v>4.7854799999999997</v>
      </c>
    </row>
    <row r="6" spans="1:5" x14ac:dyDescent="0.3">
      <c r="A6">
        <v>18</v>
      </c>
      <c r="B6" s="3">
        <f>SUM('%'!B$2:B6)</f>
        <v>0</v>
      </c>
      <c r="C6" s="3">
        <f>SUM('%'!C$2:C6)</f>
        <v>0</v>
      </c>
      <c r="D6" s="3">
        <f>SUM('%'!D$2:D6)</f>
        <v>0</v>
      </c>
      <c r="E6" s="3">
        <f>SUM('%'!E$2:E6)</f>
        <v>4.9504999999999999</v>
      </c>
    </row>
    <row r="7" spans="1:5" x14ac:dyDescent="0.3">
      <c r="A7">
        <v>19</v>
      </c>
      <c r="B7" s="3">
        <f>SUM('%'!B$2:B7)</f>
        <v>0.33002999999999999</v>
      </c>
      <c r="C7" s="3">
        <f>SUM('%'!C$2:C7)</f>
        <v>0</v>
      </c>
      <c r="D7" s="3">
        <f>SUM('%'!D$2:D7)</f>
        <v>0</v>
      </c>
      <c r="E7" s="3">
        <f>SUM('%'!E$2:E7)</f>
        <v>4.9504999999999999</v>
      </c>
    </row>
    <row r="8" spans="1:5" x14ac:dyDescent="0.3">
      <c r="A8">
        <v>20</v>
      </c>
      <c r="B8" s="3">
        <f>SUM('%'!B$2:B8)</f>
        <v>0.82508000000000004</v>
      </c>
      <c r="C8" s="3">
        <f>SUM('%'!C$2:C8)</f>
        <v>0.16502</v>
      </c>
      <c r="D8" s="3">
        <f>SUM('%'!D$2:D8)</f>
        <v>0</v>
      </c>
      <c r="E8" s="3">
        <f>SUM('%'!E$2:E8)</f>
        <v>6.60067</v>
      </c>
    </row>
    <row r="9" spans="1:5" x14ac:dyDescent="0.3">
      <c r="A9">
        <v>21</v>
      </c>
      <c r="B9" s="3">
        <f>SUM('%'!B$2:B9)</f>
        <v>0.99009999999999998</v>
      </c>
      <c r="C9" s="3">
        <f>SUM('%'!C$2:C9)</f>
        <v>0.33004</v>
      </c>
      <c r="D9" s="3">
        <f>SUM('%'!D$2:D9)</f>
        <v>0.16502</v>
      </c>
      <c r="E9" s="3">
        <f>SUM('%'!E$2:E9)</f>
        <v>6.7656900000000002</v>
      </c>
    </row>
    <row r="10" spans="1:5" x14ac:dyDescent="0.3">
      <c r="A10">
        <v>22</v>
      </c>
      <c r="B10" s="3">
        <f>SUM('%'!B$2:B10)</f>
        <v>1.1551199999999999</v>
      </c>
      <c r="C10" s="3">
        <f>SUM('%'!C$2:C10)</f>
        <v>0.49506</v>
      </c>
      <c r="D10" s="3">
        <f>SUM('%'!D$2:D10)</f>
        <v>0.33004</v>
      </c>
      <c r="E10" s="3">
        <f>SUM('%'!E$2:E10)</f>
        <v>6.7656900000000002</v>
      </c>
    </row>
    <row r="11" spans="1:5" x14ac:dyDescent="0.3">
      <c r="A11">
        <v>23</v>
      </c>
      <c r="B11" s="3">
        <f>SUM('%'!B$2:B11)</f>
        <v>1.1551199999999999</v>
      </c>
      <c r="C11" s="3">
        <f>SUM('%'!C$2:C11)</f>
        <v>0.66008</v>
      </c>
      <c r="D11" s="3">
        <f>SUM('%'!D$2:D11)</f>
        <v>0.49506</v>
      </c>
      <c r="E11" s="3">
        <f>SUM('%'!E$2:E11)</f>
        <v>6.7656900000000002</v>
      </c>
    </row>
    <row r="12" spans="1:5" x14ac:dyDescent="0.3">
      <c r="A12">
        <v>24</v>
      </c>
      <c r="B12" s="3">
        <f>SUM('%'!B$2:B12)</f>
        <v>1.1551199999999999</v>
      </c>
      <c r="C12" s="3">
        <f>SUM('%'!C$2:C12)</f>
        <v>0.66008</v>
      </c>
      <c r="D12" s="3">
        <f>SUM('%'!D$2:D12)</f>
        <v>0.66008</v>
      </c>
      <c r="E12" s="3">
        <f>SUM('%'!E$2:E12)</f>
        <v>6.7656900000000002</v>
      </c>
    </row>
    <row r="13" spans="1:5" x14ac:dyDescent="0.3">
      <c r="A13">
        <v>25</v>
      </c>
      <c r="B13" s="3">
        <f>SUM('%'!B$2:B13)</f>
        <v>1.1551199999999999</v>
      </c>
      <c r="C13" s="3">
        <f>SUM('%'!C$2:C13)</f>
        <v>0.82509999999999994</v>
      </c>
      <c r="D13" s="3">
        <f>SUM('%'!D$2:D13)</f>
        <v>0.66008</v>
      </c>
      <c r="E13" s="3">
        <f>SUM('%'!E$2:E13)</f>
        <v>6.9307100000000004</v>
      </c>
    </row>
    <row r="14" spans="1:5" x14ac:dyDescent="0.3">
      <c r="A14">
        <v>26</v>
      </c>
      <c r="B14" s="3">
        <f>SUM('%'!B$2:B14)</f>
        <v>1.1551199999999999</v>
      </c>
      <c r="C14" s="3">
        <f>SUM('%'!C$2:C14)</f>
        <v>0.82509999999999994</v>
      </c>
      <c r="D14" s="3">
        <f>SUM('%'!D$2:D14)</f>
        <v>0.82509999999999994</v>
      </c>
      <c r="E14" s="3">
        <f>SUM('%'!E$2:E14)</f>
        <v>6.9307100000000004</v>
      </c>
    </row>
    <row r="15" spans="1:5" x14ac:dyDescent="0.3">
      <c r="A15">
        <v>27</v>
      </c>
      <c r="B15" s="3">
        <f>SUM('%'!B$2:B15)</f>
        <v>1.3201399999999999</v>
      </c>
      <c r="C15" s="3">
        <f>SUM('%'!C$2:C15)</f>
        <v>0.82509999999999994</v>
      </c>
      <c r="D15" s="3">
        <f>SUM('%'!D$2:D15)</f>
        <v>0.82509999999999994</v>
      </c>
      <c r="E15" s="3">
        <f>SUM('%'!E$2:E15)</f>
        <v>6.9307100000000004</v>
      </c>
    </row>
    <row r="16" spans="1:5" x14ac:dyDescent="0.3">
      <c r="A16">
        <v>28</v>
      </c>
      <c r="B16" s="3">
        <f>SUM('%'!B$2:B16)</f>
        <v>1.3201399999999999</v>
      </c>
      <c r="C16" s="3">
        <f>SUM('%'!C$2:C16)</f>
        <v>0.99011999999999989</v>
      </c>
      <c r="D16" s="3">
        <f>SUM('%'!D$2:D16)</f>
        <v>0.82509999999999994</v>
      </c>
      <c r="E16" s="3">
        <f>SUM('%'!E$2:E16)</f>
        <v>6.9307100000000004</v>
      </c>
    </row>
    <row r="17" spans="1:5" x14ac:dyDescent="0.3">
      <c r="A17">
        <v>29</v>
      </c>
      <c r="B17" s="3">
        <f>SUM('%'!B$2:B17)</f>
        <v>1.4851599999999998</v>
      </c>
      <c r="C17" s="3">
        <f>SUM('%'!C$2:C17)</f>
        <v>0.99011999999999989</v>
      </c>
      <c r="D17" s="3">
        <f>SUM('%'!D$2:D17)</f>
        <v>0.82509999999999994</v>
      </c>
      <c r="E17" s="3">
        <f>SUM('%'!E$2:E17)</f>
        <v>6.9307100000000004</v>
      </c>
    </row>
    <row r="18" spans="1:5" x14ac:dyDescent="0.3">
      <c r="A18">
        <v>30</v>
      </c>
      <c r="B18" s="3">
        <f>SUM('%'!B$2:B18)</f>
        <v>1.9802099999999998</v>
      </c>
      <c r="C18" s="3">
        <f>SUM('%'!C$2:'%'!C18)</f>
        <v>1.1551399999999998</v>
      </c>
      <c r="D18" s="3">
        <f>SUM('%'!D$2:D18)</f>
        <v>0.82509999999999994</v>
      </c>
      <c r="E18" s="3">
        <f>SUM('%'!E$2:E18)</f>
        <v>8.4158600000000003</v>
      </c>
    </row>
    <row r="19" spans="1:5" x14ac:dyDescent="0.3">
      <c r="A19">
        <v>33</v>
      </c>
      <c r="B19" s="3">
        <f>SUM('%'!B$2:B19)</f>
        <v>2.1452299999999997</v>
      </c>
      <c r="C19" s="3">
        <f>SUM('%'!C$2:C19)</f>
        <v>1.1551399999999998</v>
      </c>
      <c r="D19" s="3">
        <f>SUM('%'!D$2:D19)</f>
        <v>0.82509999999999994</v>
      </c>
      <c r="E19" s="3">
        <f>SUM('%'!E$2:E19)</f>
        <v>8.5808800000000005</v>
      </c>
    </row>
    <row r="20" spans="1:5" x14ac:dyDescent="0.3">
      <c r="A20">
        <v>35</v>
      </c>
      <c r="B20" s="3">
        <f>SUM('%'!B$2:B20)</f>
        <v>2.3102499999999999</v>
      </c>
      <c r="C20" s="3">
        <f>SUM('%'!C$2:C20)</f>
        <v>1.3201599999999998</v>
      </c>
      <c r="D20" s="3">
        <f>SUM('%'!D$2:D20)</f>
        <v>0.82509999999999994</v>
      </c>
      <c r="E20" s="3">
        <f>SUM('%'!E$2:E20)</f>
        <v>8.9109100000000012</v>
      </c>
    </row>
    <row r="21" spans="1:5" x14ac:dyDescent="0.3">
      <c r="A21">
        <v>40</v>
      </c>
      <c r="B21" s="3">
        <f>SUM('%'!B$2:B21)</f>
        <v>2.6402799999999997</v>
      </c>
      <c r="C21" s="3">
        <f>SUM('%'!C$2:C21)</f>
        <v>1.4851799999999997</v>
      </c>
      <c r="D21" s="3">
        <f>SUM('%'!D$2:D21)</f>
        <v>0.82509999999999994</v>
      </c>
      <c r="E21" s="3">
        <f>SUM('%'!E$2:E21)</f>
        <v>10.891110000000001</v>
      </c>
    </row>
    <row r="22" spans="1:5" x14ac:dyDescent="0.3">
      <c r="A22">
        <v>45</v>
      </c>
      <c r="B22" s="3">
        <f>SUM('%'!B$2:B22)</f>
        <v>2.8052999999999999</v>
      </c>
      <c r="C22" s="3">
        <f>SUM('%'!C$2:C22)</f>
        <v>1.4851799999999997</v>
      </c>
      <c r="D22" s="3">
        <f>SUM('%'!D$2:D22)</f>
        <v>0.82509999999999994</v>
      </c>
      <c r="E22" s="3">
        <f>SUM('%'!E$2:E22)</f>
        <v>11.221140000000002</v>
      </c>
    </row>
    <row r="23" spans="1:5" x14ac:dyDescent="0.3">
      <c r="A23">
        <v>48</v>
      </c>
      <c r="B23" s="3">
        <f>SUM('%'!B$2:B23)</f>
        <v>2.9703200000000001</v>
      </c>
      <c r="C23" s="3">
        <f>SUM('%'!C$2:C23)</f>
        <v>1.4851799999999997</v>
      </c>
      <c r="D23" s="3">
        <f>SUM('%'!D$2:D23)</f>
        <v>0.82509999999999994</v>
      </c>
      <c r="E23" s="3">
        <f>SUM('%'!E$2:E23)</f>
        <v>11.221140000000002</v>
      </c>
    </row>
    <row r="24" spans="1:5" x14ac:dyDescent="0.3">
      <c r="A24">
        <v>49</v>
      </c>
      <c r="B24" s="3">
        <f>SUM('%'!B$2:B24)</f>
        <v>2.9703200000000001</v>
      </c>
      <c r="C24" s="3">
        <f>SUM('%'!C$2:C24)</f>
        <v>1.6501999999999997</v>
      </c>
      <c r="D24" s="3">
        <f>SUM('%'!D$2:D24)</f>
        <v>0.82509999999999994</v>
      </c>
      <c r="E24" s="3">
        <f>SUM('%'!E$2:E24)</f>
        <v>11.551170000000003</v>
      </c>
    </row>
    <row r="25" spans="1:5" x14ac:dyDescent="0.3">
      <c r="A25">
        <v>50</v>
      </c>
      <c r="B25" s="3">
        <f>SUM('%'!B$2:B25)</f>
        <v>4.95052</v>
      </c>
      <c r="C25" s="3">
        <f>SUM('%'!C$2:C25)</f>
        <v>2.1452499999999999</v>
      </c>
      <c r="D25" s="3">
        <f>SUM('%'!D$2:D25)</f>
        <v>0.99011999999999989</v>
      </c>
      <c r="E25" s="3">
        <f>SUM('%'!E$2:E25)</f>
        <v>26.237640000000003</v>
      </c>
    </row>
    <row r="26" spans="1:5" x14ac:dyDescent="0.3">
      <c r="A26">
        <v>53</v>
      </c>
      <c r="B26" s="3">
        <f>SUM('%'!B$2:B26)</f>
        <v>4.95052</v>
      </c>
      <c r="C26" s="3">
        <f>SUM('%'!C$2:C26)</f>
        <v>2.1452499999999999</v>
      </c>
      <c r="D26" s="3">
        <f>SUM('%'!D$2:D26)</f>
        <v>0.99011999999999989</v>
      </c>
      <c r="E26" s="3">
        <f>SUM('%'!E$2:E26)</f>
        <v>26.402660000000001</v>
      </c>
    </row>
    <row r="27" spans="1:5" x14ac:dyDescent="0.3">
      <c r="A27">
        <v>54</v>
      </c>
      <c r="B27" s="3">
        <f>SUM('%'!B$2:B27)</f>
        <v>4.95052</v>
      </c>
      <c r="C27" s="3">
        <f>SUM('%'!C$2:C27)</f>
        <v>2.1452499999999999</v>
      </c>
      <c r="D27" s="3">
        <f>SUM('%'!D$2:D27)</f>
        <v>0.99011999999999989</v>
      </c>
      <c r="E27" s="3">
        <f>SUM('%'!E$2:E27)</f>
        <v>26.567679999999999</v>
      </c>
    </row>
    <row r="28" spans="1:5" x14ac:dyDescent="0.3">
      <c r="A28">
        <v>55</v>
      </c>
      <c r="B28" s="3">
        <f>SUM('%'!B$2:B28)</f>
        <v>4.95052</v>
      </c>
      <c r="C28" s="3">
        <f>SUM('%'!C$2:C28)</f>
        <v>2.31027</v>
      </c>
      <c r="D28" s="3">
        <f>SUM('%'!D$2:D28)</f>
        <v>0.99011999999999989</v>
      </c>
      <c r="E28" s="3">
        <f>SUM('%'!E$2:E28)</f>
        <v>26.89771</v>
      </c>
    </row>
    <row r="29" spans="1:5" x14ac:dyDescent="0.3">
      <c r="A29">
        <v>56</v>
      </c>
      <c r="B29" s="3">
        <f>SUM('%'!B$2:B29)</f>
        <v>5.1155400000000002</v>
      </c>
      <c r="C29" s="3">
        <f>SUM('%'!C$2:C29)</f>
        <v>2.31027</v>
      </c>
      <c r="D29" s="3">
        <f>SUM('%'!D$2:D29)</f>
        <v>0.99011999999999989</v>
      </c>
      <c r="E29" s="3">
        <f>SUM('%'!E$2:E29)</f>
        <v>27.062729999999998</v>
      </c>
    </row>
    <row r="30" spans="1:5" x14ac:dyDescent="0.3">
      <c r="A30">
        <v>58</v>
      </c>
      <c r="B30" s="3">
        <f>SUM('%'!B$2:B30)</f>
        <v>5.1155400000000002</v>
      </c>
      <c r="C30" s="3">
        <f>SUM('%'!C$2:C30)</f>
        <v>2.31027</v>
      </c>
      <c r="D30" s="3">
        <f>SUM('%'!D$2:D30)</f>
        <v>0.99011999999999989</v>
      </c>
      <c r="E30" s="3">
        <f>SUM('%'!E$2:E30)</f>
        <v>27.227749999999997</v>
      </c>
    </row>
    <row r="31" spans="1:5" x14ac:dyDescent="0.3">
      <c r="A31">
        <v>60</v>
      </c>
      <c r="B31" s="3">
        <f>SUM('%'!B$2:B31)</f>
        <v>5.44557</v>
      </c>
      <c r="C31" s="3">
        <f>SUM('%'!C$2:C31)</f>
        <v>2.9703400000000002</v>
      </c>
      <c r="D31" s="3">
        <f>SUM('%'!D$2:D31)</f>
        <v>1.6501899999999998</v>
      </c>
      <c r="E31" s="3">
        <f>SUM('%'!E$2:E31)</f>
        <v>28.712899999999998</v>
      </c>
    </row>
    <row r="32" spans="1:5" x14ac:dyDescent="0.3">
      <c r="A32">
        <v>65</v>
      </c>
      <c r="B32" s="3">
        <f>SUM('%'!B$2:B32)</f>
        <v>5.6105900000000002</v>
      </c>
      <c r="C32" s="3">
        <f>SUM('%'!C$2:C32)</f>
        <v>2.9703400000000002</v>
      </c>
      <c r="D32" s="3">
        <f>SUM('%'!D$2:D32)</f>
        <v>1.6501899999999998</v>
      </c>
      <c r="E32" s="3">
        <f>SUM('%'!E$2:E32)</f>
        <v>28.877919999999996</v>
      </c>
    </row>
    <row r="33" spans="1:5" x14ac:dyDescent="0.3">
      <c r="A33">
        <v>66</v>
      </c>
      <c r="B33" s="3">
        <f>SUM('%'!B$2:B33)</f>
        <v>5.6105900000000002</v>
      </c>
      <c r="C33" s="3">
        <f>SUM('%'!C$2:C33)</f>
        <v>3.1353600000000004</v>
      </c>
      <c r="D33" s="3">
        <f>SUM('%'!D$2:D33)</f>
        <v>1.6501899999999998</v>
      </c>
      <c r="E33" s="3">
        <f>SUM('%'!E$2:E33)</f>
        <v>28.877919999999996</v>
      </c>
    </row>
    <row r="34" spans="1:5" x14ac:dyDescent="0.3">
      <c r="A34">
        <v>67</v>
      </c>
      <c r="B34" s="3">
        <f>SUM('%'!B$2:B34)</f>
        <v>5.6105900000000002</v>
      </c>
      <c r="C34" s="3">
        <f>SUM('%'!C$2:C34)</f>
        <v>3.1353600000000004</v>
      </c>
      <c r="D34" s="3">
        <f>SUM('%'!D$2:D34)</f>
        <v>1.6501899999999998</v>
      </c>
      <c r="E34" s="3">
        <f>SUM('%'!E$2:E34)</f>
        <v>29.042939999999994</v>
      </c>
    </row>
    <row r="35" spans="1:5" x14ac:dyDescent="0.3">
      <c r="A35">
        <v>69</v>
      </c>
      <c r="B35" s="3">
        <f>SUM('%'!B$2:B35)</f>
        <v>5.7756100000000004</v>
      </c>
      <c r="C35" s="3">
        <f>SUM('%'!C$2:C35)</f>
        <v>3.3003800000000005</v>
      </c>
      <c r="D35" s="3">
        <f>SUM('%'!D$2:D35)</f>
        <v>1.8152099999999998</v>
      </c>
      <c r="E35" s="3">
        <f>SUM('%'!E$2:E35)</f>
        <v>29.372969999999995</v>
      </c>
    </row>
    <row r="36" spans="1:5" x14ac:dyDescent="0.3">
      <c r="A36">
        <v>70</v>
      </c>
      <c r="B36" s="3">
        <f>SUM('%'!B$2:B36)</f>
        <v>6.7657100000000003</v>
      </c>
      <c r="C36" s="3">
        <f>SUM('%'!C$2:C36)</f>
        <v>3.7954300000000005</v>
      </c>
      <c r="D36" s="3">
        <f>SUM('%'!D$2:D36)</f>
        <v>2.6402899999999998</v>
      </c>
      <c r="E36" s="3">
        <f>SUM('%'!E$2:E36)</f>
        <v>31.188149999999997</v>
      </c>
    </row>
    <row r="37" spans="1:5" x14ac:dyDescent="0.3">
      <c r="A37">
        <v>71</v>
      </c>
      <c r="B37" s="3">
        <f>SUM('%'!B$2:B37)</f>
        <v>6.7657100000000003</v>
      </c>
      <c r="C37" s="3">
        <f>SUM('%'!C$2:C37)</f>
        <v>3.7954300000000005</v>
      </c>
      <c r="D37" s="3">
        <f>SUM('%'!D$2:D37)</f>
        <v>2.6402899999999998</v>
      </c>
      <c r="E37" s="3">
        <f>SUM('%'!E$2:E37)</f>
        <v>31.353169999999995</v>
      </c>
    </row>
    <row r="38" spans="1:5" x14ac:dyDescent="0.3">
      <c r="A38">
        <v>72</v>
      </c>
      <c r="B38" s="3">
        <f>SUM('%'!B$2:B38)</f>
        <v>6.9307300000000005</v>
      </c>
      <c r="C38" s="3">
        <f>SUM('%'!C$2:C38)</f>
        <v>3.7954300000000005</v>
      </c>
      <c r="D38" s="3">
        <f>SUM('%'!D$2:D38)</f>
        <v>2.80531</v>
      </c>
      <c r="E38" s="3">
        <f>SUM('%'!E$2:E38)</f>
        <v>31.353169999999995</v>
      </c>
    </row>
    <row r="39" spans="1:5" x14ac:dyDescent="0.3">
      <c r="A39">
        <v>73</v>
      </c>
      <c r="B39" s="3">
        <f>SUM('%'!B$2:B39)</f>
        <v>6.9307300000000005</v>
      </c>
      <c r="C39" s="3">
        <f>SUM('%'!C$2:C39)</f>
        <v>3.9604500000000007</v>
      </c>
      <c r="D39" s="3">
        <f>SUM('%'!D$2:D39)</f>
        <v>2.80531</v>
      </c>
      <c r="E39" s="3">
        <f>SUM('%'!E$2:E39)</f>
        <v>31.353169999999995</v>
      </c>
    </row>
    <row r="40" spans="1:5" x14ac:dyDescent="0.3">
      <c r="A40">
        <v>74</v>
      </c>
      <c r="B40" s="3">
        <f>SUM('%'!B$2:B40)</f>
        <v>6.9307300000000005</v>
      </c>
      <c r="C40" s="3">
        <f>SUM('%'!C$2:C40)</f>
        <v>3.9604500000000007</v>
      </c>
      <c r="D40" s="3">
        <f>SUM('%'!D$2:D40)</f>
        <v>2.9703300000000001</v>
      </c>
      <c r="E40" s="3">
        <f>SUM('%'!E$2:E40)</f>
        <v>31.353169999999995</v>
      </c>
    </row>
    <row r="41" spans="1:5" x14ac:dyDescent="0.3">
      <c r="A41">
        <v>75</v>
      </c>
      <c r="B41" s="3">
        <f>SUM('%'!B$2:B41)</f>
        <v>7.2607600000000003</v>
      </c>
      <c r="C41" s="3">
        <f>SUM('%'!C$2:C41)</f>
        <v>3.9604500000000007</v>
      </c>
      <c r="D41" s="3">
        <f>SUM('%'!D$2:D41)</f>
        <v>2.9703300000000001</v>
      </c>
      <c r="E41" s="3">
        <f>SUM('%'!E$2:E41)</f>
        <v>31.518189999999993</v>
      </c>
    </row>
    <row r="42" spans="1:5" x14ac:dyDescent="0.3">
      <c r="A42">
        <v>77</v>
      </c>
      <c r="B42" s="3">
        <f>SUM('%'!B$2:B42)</f>
        <v>7.2607600000000003</v>
      </c>
      <c r="C42" s="3">
        <f>SUM('%'!C$2:C42)</f>
        <v>3.9604500000000007</v>
      </c>
      <c r="D42" s="3">
        <f>SUM('%'!D$2:D42)</f>
        <v>2.9703300000000001</v>
      </c>
      <c r="E42" s="3">
        <f>SUM('%'!E$2:E42)</f>
        <v>31.683209999999992</v>
      </c>
    </row>
    <row r="43" spans="1:5" x14ac:dyDescent="0.3">
      <c r="A43">
        <v>78</v>
      </c>
      <c r="B43" s="3">
        <f>SUM('%'!B$2:B43)</f>
        <v>7.4257800000000005</v>
      </c>
      <c r="C43" s="3">
        <f>SUM('%'!C$2:C43)</f>
        <v>3.9604500000000007</v>
      </c>
      <c r="D43" s="3">
        <f>SUM('%'!D$2:D43)</f>
        <v>2.9703300000000001</v>
      </c>
      <c r="E43" s="3">
        <f>SUM('%'!E$2:E43)</f>
        <v>31.84822999999999</v>
      </c>
    </row>
    <row r="44" spans="1:5" x14ac:dyDescent="0.3">
      <c r="A44">
        <v>79</v>
      </c>
      <c r="B44" s="3">
        <f>SUM('%'!B$2:B44)</f>
        <v>7.5908000000000007</v>
      </c>
      <c r="C44" s="3">
        <f>SUM('%'!C$2:C44)</f>
        <v>4.2904800000000005</v>
      </c>
      <c r="D44" s="3">
        <f>SUM('%'!D$2:D44)</f>
        <v>2.9703300000000001</v>
      </c>
      <c r="E44" s="3">
        <f>SUM('%'!E$2:E44)</f>
        <v>32.013249999999992</v>
      </c>
    </row>
    <row r="45" spans="1:5" x14ac:dyDescent="0.3">
      <c r="A45">
        <v>80</v>
      </c>
      <c r="B45" s="3">
        <f>SUM('%'!B$2:B45)</f>
        <v>9.2409700000000008</v>
      </c>
      <c r="C45" s="3">
        <f>SUM('%'!C$2:C45)</f>
        <v>4.6205100000000003</v>
      </c>
      <c r="D45" s="3">
        <f>SUM('%'!D$2:D45)</f>
        <v>3.30036</v>
      </c>
      <c r="E45" s="3">
        <f>SUM('%'!E$2:E45)</f>
        <v>35.478599999999993</v>
      </c>
    </row>
    <row r="46" spans="1:5" x14ac:dyDescent="0.3">
      <c r="A46">
        <v>86</v>
      </c>
      <c r="B46" s="3">
        <f>SUM('%'!B$2:B46)</f>
        <v>9.2409700000000008</v>
      </c>
      <c r="C46" s="3">
        <f>SUM('%'!C$2:C46)</f>
        <v>4.6205100000000003</v>
      </c>
      <c r="D46" s="3">
        <f>SUM('%'!D$2:D46)</f>
        <v>3.4653800000000001</v>
      </c>
      <c r="E46" s="3">
        <f>SUM('%'!E$2:E46)</f>
        <v>35.478599999999993</v>
      </c>
    </row>
    <row r="47" spans="1:5" x14ac:dyDescent="0.3">
      <c r="A47">
        <v>87</v>
      </c>
      <c r="B47" s="3">
        <f>SUM('%'!B$2:B47)</f>
        <v>9.2409700000000008</v>
      </c>
      <c r="C47" s="3">
        <f>SUM('%'!C$2:C47)</f>
        <v>4.7855300000000005</v>
      </c>
      <c r="D47" s="3">
        <f>SUM('%'!D$2:D47)</f>
        <v>3.4653800000000001</v>
      </c>
      <c r="E47" s="3">
        <f>SUM('%'!E$2:E47)</f>
        <v>35.478599999999993</v>
      </c>
    </row>
    <row r="48" spans="1:5" x14ac:dyDescent="0.3">
      <c r="A48">
        <v>89</v>
      </c>
      <c r="B48" s="3">
        <f>SUM('%'!B$2:B48)</f>
        <v>9.405990000000001</v>
      </c>
      <c r="C48" s="3">
        <f>SUM('%'!C$2:C48)</f>
        <v>4.7855300000000005</v>
      </c>
      <c r="D48" s="3">
        <f>SUM('%'!D$2:D48)</f>
        <v>3.4653800000000001</v>
      </c>
      <c r="E48" s="3">
        <f>SUM('%'!E$2:E48)</f>
        <v>35.643619999999991</v>
      </c>
    </row>
    <row r="49" spans="1:5" x14ac:dyDescent="0.3">
      <c r="A49">
        <v>90</v>
      </c>
      <c r="B49" s="3">
        <f>SUM('%'!B$2:B49)</f>
        <v>10.396090000000001</v>
      </c>
      <c r="C49" s="3">
        <f>SUM('%'!C$2:C49)</f>
        <v>5.9406500000000007</v>
      </c>
      <c r="D49" s="3">
        <f>SUM('%'!D$2:D49)</f>
        <v>3.6304000000000003</v>
      </c>
      <c r="E49" s="3">
        <f>SUM('%'!E$2:E49)</f>
        <v>36.303689999999989</v>
      </c>
    </row>
    <row r="50" spans="1:5" x14ac:dyDescent="0.3">
      <c r="A50">
        <v>95</v>
      </c>
      <c r="B50" s="3">
        <f>SUM('%'!B$2:B50)</f>
        <v>10.396090000000001</v>
      </c>
      <c r="C50" s="3">
        <f>SUM('%'!C$2:C50)</f>
        <v>6.1056700000000008</v>
      </c>
      <c r="D50" s="3">
        <f>SUM('%'!D$2:D50)</f>
        <v>3.6304000000000003</v>
      </c>
      <c r="E50" s="3">
        <f>SUM('%'!E$2:E50)</f>
        <v>36.468709999999987</v>
      </c>
    </row>
    <row r="51" spans="1:5" x14ac:dyDescent="0.3">
      <c r="A51">
        <v>97</v>
      </c>
      <c r="B51" s="3">
        <f>SUM('%'!B$2:B51)</f>
        <v>10.561110000000001</v>
      </c>
      <c r="C51" s="3">
        <f>SUM('%'!C$2:C51)</f>
        <v>6.1056700000000008</v>
      </c>
      <c r="D51" s="3">
        <f>SUM('%'!D$2:D51)</f>
        <v>3.6304000000000003</v>
      </c>
      <c r="E51" s="3">
        <f>SUM('%'!E$2:E51)</f>
        <v>36.468709999999987</v>
      </c>
    </row>
    <row r="52" spans="1:5" x14ac:dyDescent="0.3">
      <c r="A52">
        <v>98</v>
      </c>
      <c r="B52" s="3">
        <f>SUM('%'!B$2:B52)</f>
        <v>10.561110000000001</v>
      </c>
      <c r="C52" s="3">
        <f>SUM('%'!C$2:C52)</f>
        <v>6.4357000000000006</v>
      </c>
      <c r="D52" s="3">
        <f>SUM('%'!D$2:D52)</f>
        <v>3.6304000000000003</v>
      </c>
      <c r="E52" s="3">
        <f>SUM('%'!E$2:E52)</f>
        <v>36.633729999999986</v>
      </c>
    </row>
    <row r="53" spans="1:5" x14ac:dyDescent="0.3">
      <c r="A53">
        <v>99</v>
      </c>
      <c r="B53" s="3">
        <f>SUM('%'!B$2:B53)</f>
        <v>11.881240000000002</v>
      </c>
      <c r="C53" s="3">
        <f>SUM('%'!C$2:C53)</f>
        <v>6.4357000000000006</v>
      </c>
      <c r="D53" s="3">
        <f>SUM('%'!D$2:D53)</f>
        <v>3.6304000000000003</v>
      </c>
      <c r="E53" s="3">
        <f>SUM('%'!E$2:E53)</f>
        <v>39.108979999999988</v>
      </c>
    </row>
    <row r="54" spans="1:5" x14ac:dyDescent="0.3">
      <c r="A54">
        <v>100</v>
      </c>
      <c r="B54" s="3">
        <f>SUM('%'!B$2:B54)</f>
        <v>21.61721</v>
      </c>
      <c r="C54" s="3">
        <f>SUM('%'!C$2:C54)</f>
        <v>8.2508800000000004</v>
      </c>
      <c r="D54" s="3">
        <f>SUM('%'!D$2:D54)</f>
        <v>4.9505300000000005</v>
      </c>
      <c r="E54" s="3">
        <f>SUM('%'!E$2:E54)</f>
        <v>59.736039999999988</v>
      </c>
    </row>
    <row r="55" spans="1:5" x14ac:dyDescent="0.3">
      <c r="A55">
        <v>101</v>
      </c>
      <c r="B55" s="3">
        <f>SUM('%'!B$2:B55)</f>
        <v>21.61721</v>
      </c>
      <c r="C55" s="3">
        <f>SUM('%'!C$2:C55)</f>
        <v>8.5809100000000011</v>
      </c>
      <c r="D55" s="3">
        <f>SUM('%'!D$2:D55)</f>
        <v>5.1155500000000007</v>
      </c>
      <c r="E55" s="3">
        <f>SUM('%'!E$2:E55)</f>
        <v>59.736039999999988</v>
      </c>
    </row>
    <row r="56" spans="1:5" x14ac:dyDescent="0.3">
      <c r="A56">
        <v>102</v>
      </c>
      <c r="B56" s="3">
        <f>SUM('%'!B$2:B56)</f>
        <v>21.61721</v>
      </c>
      <c r="C56" s="3">
        <f>SUM('%'!C$2:C56)</f>
        <v>8.5809100000000011</v>
      </c>
      <c r="D56" s="3">
        <f>SUM('%'!D$2:D56)</f>
        <v>5.4455800000000005</v>
      </c>
      <c r="E56" s="3">
        <f>SUM('%'!E$2:E56)</f>
        <v>59.736039999999988</v>
      </c>
    </row>
    <row r="57" spans="1:5" x14ac:dyDescent="0.3">
      <c r="A57">
        <v>105</v>
      </c>
      <c r="B57" s="3">
        <f>SUM('%'!B$2:B57)</f>
        <v>21.61721</v>
      </c>
      <c r="C57" s="3">
        <f>SUM('%'!C$2:C57)</f>
        <v>8.7459300000000013</v>
      </c>
      <c r="D57" s="3">
        <f>SUM('%'!D$2:D57)</f>
        <v>5.4455800000000005</v>
      </c>
      <c r="E57" s="3">
        <f>SUM('%'!E$2:E57)</f>
        <v>60.066069999999989</v>
      </c>
    </row>
    <row r="58" spans="1:5" x14ac:dyDescent="0.3">
      <c r="A58">
        <v>106</v>
      </c>
      <c r="B58" s="3">
        <f>SUM('%'!B$2:B58)</f>
        <v>21.61721</v>
      </c>
      <c r="C58" s="3">
        <f>SUM('%'!C$2:C58)</f>
        <v>8.7459300000000013</v>
      </c>
      <c r="D58" s="3">
        <f>SUM('%'!D$2:D58)</f>
        <v>5.6106000000000007</v>
      </c>
      <c r="E58" s="3">
        <f>SUM('%'!E$2:E58)</f>
        <v>60.066069999999989</v>
      </c>
    </row>
    <row r="59" spans="1:5" x14ac:dyDescent="0.3">
      <c r="A59">
        <v>110</v>
      </c>
      <c r="B59" s="3">
        <f>SUM('%'!B$2:B59)</f>
        <v>22.112259999999999</v>
      </c>
      <c r="C59" s="3">
        <f>SUM('%'!C$2:C59)</f>
        <v>9.2409800000000004</v>
      </c>
      <c r="D59" s="3">
        <f>SUM('%'!D$2:D59)</f>
        <v>5.7756200000000009</v>
      </c>
      <c r="E59" s="3">
        <f>SUM('%'!E$2:E59)</f>
        <v>60.726139999999987</v>
      </c>
    </row>
    <row r="60" spans="1:5" x14ac:dyDescent="0.3">
      <c r="A60">
        <v>115</v>
      </c>
      <c r="B60" s="3">
        <f>SUM('%'!B$2:B60)</f>
        <v>22.277279999999998</v>
      </c>
      <c r="C60" s="3">
        <f>SUM('%'!C$2:C60)</f>
        <v>9.2409800000000004</v>
      </c>
      <c r="D60" s="3">
        <f>SUM('%'!D$2:D60)</f>
        <v>5.940640000000001</v>
      </c>
      <c r="E60" s="3">
        <f>SUM('%'!E$2:E60)</f>
        <v>60.726139999999987</v>
      </c>
    </row>
    <row r="61" spans="1:5" x14ac:dyDescent="0.3">
      <c r="A61">
        <v>119</v>
      </c>
      <c r="B61" s="3">
        <f>SUM('%'!B$2:B61)</f>
        <v>22.277279999999998</v>
      </c>
      <c r="C61" s="3">
        <f>SUM('%'!C$2:C61)</f>
        <v>9.4060000000000006</v>
      </c>
      <c r="D61" s="3">
        <f>SUM('%'!D$2:D61)</f>
        <v>5.940640000000001</v>
      </c>
      <c r="E61" s="3">
        <f>SUM('%'!E$2:E61)</f>
        <v>60.726139999999987</v>
      </c>
    </row>
    <row r="62" spans="1:5" x14ac:dyDescent="0.3">
      <c r="A62">
        <v>120</v>
      </c>
      <c r="B62" s="3">
        <f>SUM('%'!B$2:B62)</f>
        <v>23.597409999999996</v>
      </c>
      <c r="C62" s="3">
        <f>SUM('%'!C$2:C62)</f>
        <v>13.366400000000001</v>
      </c>
      <c r="D62" s="3">
        <f>SUM('%'!D$2:D62)</f>
        <v>7.2607700000000008</v>
      </c>
      <c r="E62" s="3">
        <f>SUM('%'!E$2:E62)</f>
        <v>62.871349999999985</v>
      </c>
    </row>
    <row r="63" spans="1:5" x14ac:dyDescent="0.3">
      <c r="A63">
        <v>125</v>
      </c>
      <c r="B63" s="3">
        <f>SUM('%'!B$2:B63)</f>
        <v>23.762429999999995</v>
      </c>
      <c r="C63" s="3">
        <f>SUM('%'!C$2:C63)</f>
        <v>13.531420000000001</v>
      </c>
      <c r="D63" s="3">
        <f>SUM('%'!D$2:D63)</f>
        <v>7.2607700000000008</v>
      </c>
      <c r="E63" s="3">
        <f>SUM('%'!E$2:E63)</f>
        <v>63.036369999999984</v>
      </c>
    </row>
    <row r="64" spans="1:5" x14ac:dyDescent="0.3">
      <c r="A64">
        <v>126</v>
      </c>
      <c r="B64" s="3">
        <f>SUM('%'!B$2:B64)</f>
        <v>23.927449999999993</v>
      </c>
      <c r="C64" s="3">
        <f>SUM('%'!C$2:C64)</f>
        <v>13.531420000000001</v>
      </c>
      <c r="D64" s="3">
        <f>SUM('%'!D$2:D64)</f>
        <v>7.2607700000000008</v>
      </c>
      <c r="E64" s="3">
        <f>SUM('%'!E$2:E64)</f>
        <v>63.036369999999984</v>
      </c>
    </row>
    <row r="65" spans="1:5" x14ac:dyDescent="0.3">
      <c r="A65">
        <v>127</v>
      </c>
      <c r="B65" s="3">
        <f>SUM('%'!B$2:B65)</f>
        <v>23.927449999999993</v>
      </c>
      <c r="C65" s="3">
        <f>SUM('%'!C$2:C65)</f>
        <v>13.696440000000001</v>
      </c>
      <c r="D65" s="3">
        <f>SUM('%'!D$2:D65)</f>
        <v>7.2607700000000008</v>
      </c>
      <c r="E65" s="3">
        <f>SUM('%'!E$2:E65)</f>
        <v>63.036369999999984</v>
      </c>
    </row>
    <row r="66" spans="1:5" x14ac:dyDescent="0.3">
      <c r="A66">
        <v>128</v>
      </c>
      <c r="B66" s="3">
        <f>SUM('%'!B$2:B66)</f>
        <v>23.927449999999993</v>
      </c>
      <c r="C66" s="3">
        <f>SUM('%'!C$2:C66)</f>
        <v>13.696440000000001</v>
      </c>
      <c r="D66" s="3">
        <f>SUM('%'!D$2:D66)</f>
        <v>7.425790000000001</v>
      </c>
      <c r="E66" s="3">
        <f>SUM('%'!E$2:E66)</f>
        <v>63.036369999999984</v>
      </c>
    </row>
    <row r="67" spans="1:5" x14ac:dyDescent="0.3">
      <c r="A67">
        <v>129</v>
      </c>
      <c r="B67" s="3">
        <f>SUM('%'!B$2:B67)</f>
        <v>23.927449999999993</v>
      </c>
      <c r="C67" s="3">
        <f>SUM('%'!C$2:C67)</f>
        <v>13.861460000000001</v>
      </c>
      <c r="D67" s="3">
        <f>SUM('%'!D$2:D67)</f>
        <v>7.425790000000001</v>
      </c>
      <c r="E67" s="3">
        <f>SUM('%'!E$2:E67)</f>
        <v>63.201389999999982</v>
      </c>
    </row>
    <row r="68" spans="1:5" x14ac:dyDescent="0.3">
      <c r="A68">
        <v>130</v>
      </c>
      <c r="B68" s="3">
        <f>SUM('%'!B$2:B68)</f>
        <v>24.752529999999993</v>
      </c>
      <c r="C68" s="3">
        <f>SUM('%'!C$2:C68)</f>
        <v>15.181590000000002</v>
      </c>
      <c r="D68" s="3">
        <f>SUM('%'!D$2:D68)</f>
        <v>7.7558200000000008</v>
      </c>
      <c r="E68" s="3">
        <f>SUM('%'!E$2:E68)</f>
        <v>64.191489999999988</v>
      </c>
    </row>
    <row r="69" spans="1:5" x14ac:dyDescent="0.3">
      <c r="A69">
        <v>133</v>
      </c>
      <c r="B69" s="3">
        <f>SUM('%'!B$2:B69)</f>
        <v>24.752529999999993</v>
      </c>
      <c r="C69" s="3">
        <f>SUM('%'!C$2:C69)</f>
        <v>15.181590000000002</v>
      </c>
      <c r="D69" s="3">
        <f>SUM('%'!D$2:D69)</f>
        <v>7.920840000000001</v>
      </c>
      <c r="E69" s="3">
        <f>SUM('%'!E$2:E69)</f>
        <v>64.191489999999988</v>
      </c>
    </row>
    <row r="70" spans="1:5" x14ac:dyDescent="0.3">
      <c r="A70">
        <v>135</v>
      </c>
      <c r="B70" s="3">
        <f>SUM('%'!B$2:B70)</f>
        <v>24.917549999999991</v>
      </c>
      <c r="C70" s="3">
        <f>SUM('%'!C$2:C70)</f>
        <v>15.181590000000002</v>
      </c>
      <c r="D70" s="3">
        <f>SUM('%'!D$2:D70)</f>
        <v>7.920840000000001</v>
      </c>
      <c r="E70" s="3">
        <f>SUM('%'!E$2:E70)</f>
        <v>64.191489999999988</v>
      </c>
    </row>
    <row r="71" spans="1:5" x14ac:dyDescent="0.3">
      <c r="A71">
        <v>138</v>
      </c>
      <c r="B71" s="3">
        <f>SUM('%'!B$2:B71)</f>
        <v>24.917549999999991</v>
      </c>
      <c r="C71" s="3">
        <f>SUM('%'!C$2:C71)</f>
        <v>15.346610000000002</v>
      </c>
      <c r="D71" s="3">
        <f>SUM('%'!D$2:D71)</f>
        <v>7.920840000000001</v>
      </c>
      <c r="E71" s="3">
        <f>SUM('%'!E$2:E71)</f>
        <v>64.191489999999988</v>
      </c>
    </row>
    <row r="72" spans="1:5" x14ac:dyDescent="0.3">
      <c r="A72">
        <v>139</v>
      </c>
      <c r="B72" s="3">
        <f>SUM('%'!B$2:B72)</f>
        <v>25.08256999999999</v>
      </c>
      <c r="C72" s="3">
        <f>SUM('%'!C$2:C72)</f>
        <v>15.346610000000002</v>
      </c>
      <c r="D72" s="3">
        <f>SUM('%'!D$2:D72)</f>
        <v>8.0858600000000003</v>
      </c>
      <c r="E72" s="3">
        <f>SUM('%'!E$2:E72)</f>
        <v>64.356509999999986</v>
      </c>
    </row>
    <row r="73" spans="1:5" x14ac:dyDescent="0.3">
      <c r="A73">
        <v>140</v>
      </c>
      <c r="B73" s="3">
        <f>SUM('%'!B$2:B73)</f>
        <v>25.90764999999999</v>
      </c>
      <c r="C73" s="3">
        <f>SUM('%'!C$2:C73)</f>
        <v>16.006680000000003</v>
      </c>
      <c r="D73" s="3">
        <f>SUM('%'!D$2:D73)</f>
        <v>8.5809099999999994</v>
      </c>
      <c r="E73" s="3">
        <f>SUM('%'!E$2:E73)</f>
        <v>65.84165999999999</v>
      </c>
    </row>
    <row r="74" spans="1:5" x14ac:dyDescent="0.3">
      <c r="A74">
        <v>142</v>
      </c>
      <c r="B74" s="3">
        <f>SUM('%'!B$2:B74)</f>
        <v>26.072669999999988</v>
      </c>
      <c r="C74" s="3">
        <f>SUM('%'!C$2:C74)</f>
        <v>16.006680000000003</v>
      </c>
      <c r="D74" s="3">
        <f>SUM('%'!D$2:D74)</f>
        <v>8.5809099999999994</v>
      </c>
      <c r="E74" s="3">
        <f>SUM('%'!E$2:E74)</f>
        <v>65.84165999999999</v>
      </c>
    </row>
    <row r="75" spans="1:5" x14ac:dyDescent="0.3">
      <c r="A75">
        <v>145</v>
      </c>
      <c r="B75" s="3">
        <f>SUM('%'!B$2:B75)</f>
        <v>26.072669999999988</v>
      </c>
      <c r="C75" s="3">
        <f>SUM('%'!C$2:C75)</f>
        <v>16.006680000000003</v>
      </c>
      <c r="D75" s="3">
        <f>SUM('%'!D$2:D75)</f>
        <v>8.5809099999999994</v>
      </c>
      <c r="E75" s="3">
        <f>SUM('%'!E$2:E75)</f>
        <v>66.171689999999984</v>
      </c>
    </row>
    <row r="76" spans="1:5" x14ac:dyDescent="0.3">
      <c r="A76">
        <v>146</v>
      </c>
      <c r="B76" s="3">
        <f>SUM('%'!B$2:B76)</f>
        <v>26.072669999999988</v>
      </c>
      <c r="C76" s="3">
        <f>SUM('%'!C$2:C76)</f>
        <v>16.171700000000001</v>
      </c>
      <c r="D76" s="3">
        <f>SUM('%'!D$2:D76)</f>
        <v>8.5809099999999994</v>
      </c>
      <c r="E76" s="3">
        <f>SUM('%'!E$2:E76)</f>
        <v>66.171689999999984</v>
      </c>
    </row>
    <row r="77" spans="1:5" x14ac:dyDescent="0.3">
      <c r="A77">
        <v>148</v>
      </c>
      <c r="B77" s="3">
        <f>SUM('%'!B$2:B77)</f>
        <v>26.072669999999988</v>
      </c>
      <c r="C77" s="3">
        <f>SUM('%'!C$2:C77)</f>
        <v>16.33672</v>
      </c>
      <c r="D77" s="3">
        <f>SUM('%'!D$2:D77)</f>
        <v>8.5809099999999994</v>
      </c>
      <c r="E77" s="3">
        <f>SUM('%'!E$2:E77)</f>
        <v>66.171689999999984</v>
      </c>
    </row>
    <row r="78" spans="1:5" x14ac:dyDescent="0.3">
      <c r="A78">
        <v>149</v>
      </c>
      <c r="B78" s="3">
        <f>SUM('%'!B$2:B78)</f>
        <v>26.072669999999988</v>
      </c>
      <c r="C78" s="3">
        <f>SUM('%'!C$2:C78)</f>
        <v>16.66675</v>
      </c>
      <c r="D78" s="3">
        <f>SUM('%'!D$2:D78)</f>
        <v>8.7459299999999995</v>
      </c>
      <c r="E78" s="3">
        <f>SUM('%'!E$2:E78)</f>
        <v>66.66673999999999</v>
      </c>
    </row>
    <row r="79" spans="1:5" x14ac:dyDescent="0.3">
      <c r="A79">
        <v>150</v>
      </c>
      <c r="B79" s="3">
        <f>SUM('%'!B$2:B79)</f>
        <v>39.439009999999989</v>
      </c>
      <c r="C79" s="3">
        <f>SUM('%'!C$2:C79)</f>
        <v>20.792159999999999</v>
      </c>
      <c r="D79" s="3">
        <f>SUM('%'!D$2:D79)</f>
        <v>13.20138</v>
      </c>
      <c r="E79" s="3">
        <f>SUM('%'!E$2:E79)</f>
        <v>81.35320999999999</v>
      </c>
    </row>
    <row r="80" spans="1:5" x14ac:dyDescent="0.3">
      <c r="A80">
        <v>154</v>
      </c>
      <c r="B80" s="3">
        <f>SUM('%'!B$2:B80)</f>
        <v>39.604029999999987</v>
      </c>
      <c r="C80" s="3">
        <f>SUM('%'!C$2:C80)</f>
        <v>20.792159999999999</v>
      </c>
      <c r="D80" s="3">
        <f>SUM('%'!D$2:D80)</f>
        <v>13.20138</v>
      </c>
      <c r="E80" s="3">
        <f>SUM('%'!E$2:E80)</f>
        <v>81.35320999999999</v>
      </c>
    </row>
    <row r="81" spans="1:5" x14ac:dyDescent="0.3">
      <c r="A81">
        <v>155</v>
      </c>
      <c r="B81" s="3">
        <f>SUM('%'!B$2:B81)</f>
        <v>39.769049999999986</v>
      </c>
      <c r="C81" s="3">
        <f>SUM('%'!C$2:C81)</f>
        <v>21.287209999999998</v>
      </c>
      <c r="D81" s="3">
        <f>SUM('%'!D$2:D81)</f>
        <v>13.20138</v>
      </c>
      <c r="E81" s="3">
        <f>SUM('%'!E$2:E81)</f>
        <v>81.35320999999999</v>
      </c>
    </row>
    <row r="82" spans="1:5" x14ac:dyDescent="0.3">
      <c r="A82">
        <v>159</v>
      </c>
      <c r="B82" s="3">
        <f>SUM('%'!B$2:B82)</f>
        <v>39.769049999999986</v>
      </c>
      <c r="C82" s="3">
        <f>SUM('%'!C$2:C82)</f>
        <v>21.452229999999997</v>
      </c>
      <c r="D82" s="3">
        <f>SUM('%'!D$2:D82)</f>
        <v>13.20138</v>
      </c>
      <c r="E82" s="3">
        <f>SUM('%'!E$2:E82)</f>
        <v>81.518229999999988</v>
      </c>
    </row>
    <row r="83" spans="1:5" x14ac:dyDescent="0.3">
      <c r="A83">
        <v>160</v>
      </c>
      <c r="B83" s="3">
        <f>SUM('%'!B$2:B83)</f>
        <v>40.594129999999986</v>
      </c>
      <c r="C83" s="3">
        <f>SUM('%'!C$2:C83)</f>
        <v>23.102399999999996</v>
      </c>
      <c r="D83" s="3">
        <f>SUM('%'!D$2:D83)</f>
        <v>14.19148</v>
      </c>
      <c r="E83" s="3">
        <f>SUM('%'!E$2:E83)</f>
        <v>81.518229999999988</v>
      </c>
    </row>
    <row r="84" spans="1:5" x14ac:dyDescent="0.3">
      <c r="A84">
        <v>165</v>
      </c>
      <c r="B84" s="3">
        <f>SUM('%'!B$2:B84)</f>
        <v>40.594129999999986</v>
      </c>
      <c r="C84" s="3">
        <f>SUM('%'!C$2:C84)</f>
        <v>23.267419999999994</v>
      </c>
      <c r="D84" s="3">
        <f>SUM('%'!D$2:D84)</f>
        <v>14.19148</v>
      </c>
      <c r="E84" s="3">
        <f>SUM('%'!E$2:E84)</f>
        <v>81.518229999999988</v>
      </c>
    </row>
    <row r="85" spans="1:5" x14ac:dyDescent="0.3">
      <c r="A85">
        <v>170</v>
      </c>
      <c r="B85" s="3">
        <f>SUM('%'!B$2:B85)</f>
        <v>41.254199999999983</v>
      </c>
      <c r="C85" s="3">
        <f>SUM('%'!C$2:C85)</f>
        <v>24.587549999999993</v>
      </c>
      <c r="D85" s="3">
        <f>SUM('%'!D$2:D85)</f>
        <v>15.3466</v>
      </c>
      <c r="E85" s="3">
        <f>SUM('%'!E$2:E85)</f>
        <v>82.013279999999995</v>
      </c>
    </row>
    <row r="86" spans="1:5" x14ac:dyDescent="0.3">
      <c r="A86">
        <v>171</v>
      </c>
      <c r="B86" s="3">
        <f>SUM('%'!B$2:B86)</f>
        <v>41.419219999999981</v>
      </c>
      <c r="C86" s="3">
        <f>SUM('%'!C$2:C86)</f>
        <v>24.587549999999993</v>
      </c>
      <c r="D86" s="3">
        <f>SUM('%'!D$2:D86)</f>
        <v>15.3466</v>
      </c>
      <c r="E86" s="3">
        <f>SUM('%'!E$2:E86)</f>
        <v>82.013279999999995</v>
      </c>
    </row>
    <row r="87" spans="1:5" x14ac:dyDescent="0.3">
      <c r="A87">
        <v>174</v>
      </c>
      <c r="B87" s="3">
        <f>SUM('%'!B$2:B87)</f>
        <v>41.419219999999981</v>
      </c>
      <c r="C87" s="3">
        <f>SUM('%'!C$2:C87)</f>
        <v>24.752569999999992</v>
      </c>
      <c r="D87" s="3">
        <f>SUM('%'!D$2:D87)</f>
        <v>15.3466</v>
      </c>
      <c r="E87" s="3">
        <f>SUM('%'!E$2:E87)</f>
        <v>82.013279999999995</v>
      </c>
    </row>
    <row r="88" spans="1:5" x14ac:dyDescent="0.3">
      <c r="A88">
        <v>175</v>
      </c>
      <c r="B88" s="3">
        <f>SUM('%'!B$2:B88)</f>
        <v>41.419219999999981</v>
      </c>
      <c r="C88" s="3">
        <f>SUM('%'!C$2:C88)</f>
        <v>24.91758999999999</v>
      </c>
      <c r="D88" s="3">
        <f>SUM('%'!D$2:D88)</f>
        <v>15.3466</v>
      </c>
      <c r="E88" s="3">
        <f>SUM('%'!E$2:E88)</f>
        <v>82.013279999999995</v>
      </c>
    </row>
    <row r="89" spans="1:5" x14ac:dyDescent="0.3">
      <c r="A89">
        <v>180</v>
      </c>
      <c r="B89" s="3">
        <f>SUM('%'!B$2:B89)</f>
        <v>44.224499999999985</v>
      </c>
      <c r="C89" s="3">
        <f>SUM('%'!C$2:C89)</f>
        <v>28.382939999999991</v>
      </c>
      <c r="D89" s="3">
        <f>SUM('%'!D$2:D89)</f>
        <v>16.83175</v>
      </c>
      <c r="E89" s="3">
        <f>SUM('%'!E$2:E89)</f>
        <v>82.838359999999994</v>
      </c>
    </row>
    <row r="90" spans="1:5" x14ac:dyDescent="0.3">
      <c r="A90">
        <v>185</v>
      </c>
      <c r="B90" s="3">
        <f>SUM('%'!B$2:B90)</f>
        <v>44.224499999999985</v>
      </c>
      <c r="C90" s="3">
        <f>SUM('%'!C$2:C90)</f>
        <v>28.382939999999991</v>
      </c>
      <c r="D90" s="3">
        <f>SUM('%'!D$2:D90)</f>
        <v>16.83175</v>
      </c>
      <c r="E90" s="3">
        <f>SUM('%'!E$2:E90)</f>
        <v>83.003379999999993</v>
      </c>
    </row>
    <row r="91" spans="1:5" x14ac:dyDescent="0.3">
      <c r="A91">
        <v>188</v>
      </c>
      <c r="B91" s="3">
        <f>SUM('%'!B$2:B91)</f>
        <v>44.389519999999983</v>
      </c>
      <c r="C91" s="3">
        <f>SUM('%'!C$2:C91)</f>
        <v>28.382939999999991</v>
      </c>
      <c r="D91" s="3">
        <f>SUM('%'!D$2:D91)</f>
        <v>16.83175</v>
      </c>
      <c r="E91" s="3">
        <f>SUM('%'!E$2:E91)</f>
        <v>83.003379999999993</v>
      </c>
    </row>
    <row r="92" spans="1:5" x14ac:dyDescent="0.3">
      <c r="A92">
        <v>189</v>
      </c>
      <c r="B92" s="3">
        <f>SUM('%'!B$2:B92)</f>
        <v>44.554539999999982</v>
      </c>
      <c r="C92" s="3">
        <f>SUM('%'!C$2:C92)</f>
        <v>28.382939999999991</v>
      </c>
      <c r="D92" s="3">
        <f>SUM('%'!D$2:D92)</f>
        <v>16.83175</v>
      </c>
      <c r="E92" s="3">
        <f>SUM('%'!E$2:E92)</f>
        <v>83.003379999999993</v>
      </c>
    </row>
    <row r="93" spans="1:5" x14ac:dyDescent="0.3">
      <c r="A93">
        <v>190</v>
      </c>
      <c r="B93" s="3">
        <f>SUM('%'!B$2:B93)</f>
        <v>45.214609999999979</v>
      </c>
      <c r="C93" s="3">
        <f>SUM('%'!C$2:C93)</f>
        <v>29.538059999999991</v>
      </c>
      <c r="D93" s="3">
        <f>SUM('%'!D$2:D93)</f>
        <v>17.16178</v>
      </c>
      <c r="E93" s="3">
        <f>SUM('%'!E$2:E93)</f>
        <v>83.333409999999986</v>
      </c>
    </row>
    <row r="94" spans="1:5" x14ac:dyDescent="0.3">
      <c r="A94">
        <v>194</v>
      </c>
      <c r="B94" s="3">
        <f>SUM('%'!B$2:B94)</f>
        <v>45.379629999999977</v>
      </c>
      <c r="C94" s="3">
        <f>SUM('%'!C$2:C94)</f>
        <v>29.538059999999991</v>
      </c>
      <c r="D94" s="3">
        <f>SUM('%'!D$2:D94)</f>
        <v>17.16178</v>
      </c>
      <c r="E94" s="3">
        <f>SUM('%'!E$2:E94)</f>
        <v>83.333409999999986</v>
      </c>
    </row>
    <row r="95" spans="1:5" x14ac:dyDescent="0.3">
      <c r="A95">
        <v>195</v>
      </c>
      <c r="B95" s="3">
        <f>SUM('%'!B$2:B95)</f>
        <v>45.379629999999977</v>
      </c>
      <c r="C95" s="3">
        <f>SUM('%'!C$2:C95)</f>
        <v>29.538059999999991</v>
      </c>
      <c r="D95" s="3">
        <f>SUM('%'!D$2:D95)</f>
        <v>17.326799999999999</v>
      </c>
      <c r="E95" s="3">
        <f>SUM('%'!E$2:E95)</f>
        <v>83.498429999999985</v>
      </c>
    </row>
    <row r="96" spans="1:5" x14ac:dyDescent="0.3">
      <c r="A96">
        <v>197</v>
      </c>
      <c r="B96" s="3">
        <f>SUM('%'!B$2:B96)</f>
        <v>45.379629999999977</v>
      </c>
      <c r="C96" s="3">
        <f>SUM('%'!C$2:C96)</f>
        <v>29.703079999999989</v>
      </c>
      <c r="D96" s="3">
        <f>SUM('%'!D$2:D96)</f>
        <v>17.326799999999999</v>
      </c>
      <c r="E96" s="3">
        <f>SUM('%'!E$2:E96)</f>
        <v>83.498429999999985</v>
      </c>
    </row>
    <row r="97" spans="1:5" x14ac:dyDescent="0.3">
      <c r="A97">
        <v>198</v>
      </c>
      <c r="B97" s="3">
        <f>SUM('%'!B$2:B97)</f>
        <v>45.379629999999977</v>
      </c>
      <c r="C97" s="3">
        <f>SUM('%'!C$2:C97)</f>
        <v>30.198129999999988</v>
      </c>
      <c r="D97" s="3">
        <f>SUM('%'!D$2:D97)</f>
        <v>17.326799999999999</v>
      </c>
      <c r="E97" s="3">
        <f>SUM('%'!E$2:E97)</f>
        <v>83.663449999999983</v>
      </c>
    </row>
    <row r="98" spans="1:5" x14ac:dyDescent="0.3">
      <c r="A98">
        <v>199</v>
      </c>
      <c r="B98" s="3">
        <f>SUM('%'!B$2:B98)</f>
        <v>47.359829999999974</v>
      </c>
      <c r="C98" s="3">
        <f>SUM('%'!C$2:C98)</f>
        <v>30.528159999999989</v>
      </c>
      <c r="D98" s="3">
        <f>SUM('%'!D$2:D98)</f>
        <v>17.98687</v>
      </c>
      <c r="E98" s="3">
        <f>SUM('%'!E$2:E98)</f>
        <v>84.158499999999989</v>
      </c>
    </row>
    <row r="99" spans="1:5" x14ac:dyDescent="0.3">
      <c r="A99">
        <v>200</v>
      </c>
      <c r="B99" s="3">
        <f>SUM('%'!B$2:B99)</f>
        <v>62.046299999999974</v>
      </c>
      <c r="C99" s="3">
        <f>SUM('%'!C$2:C99)</f>
        <v>40.099119999999985</v>
      </c>
      <c r="D99" s="3">
        <f>SUM('%'!D$2:D99)</f>
        <v>26.2377</v>
      </c>
      <c r="E99" s="3">
        <f>SUM('%'!E$2:E99)</f>
        <v>92.244309999999984</v>
      </c>
    </row>
    <row r="100" spans="1:5" x14ac:dyDescent="0.3">
      <c r="A100">
        <v>205</v>
      </c>
      <c r="B100" s="3">
        <f>SUM('%'!B$2:B100)</f>
        <v>62.046299999999974</v>
      </c>
      <c r="C100" s="3">
        <f>SUM('%'!C$2:C100)</f>
        <v>40.264139999999983</v>
      </c>
      <c r="D100" s="3">
        <f>SUM('%'!D$2:D100)</f>
        <v>26.402719999999999</v>
      </c>
      <c r="E100" s="3">
        <f>SUM('%'!E$2:E100)</f>
        <v>92.244309999999984</v>
      </c>
    </row>
    <row r="101" spans="1:5" x14ac:dyDescent="0.3">
      <c r="A101">
        <v>209</v>
      </c>
      <c r="B101" s="3">
        <f>SUM('%'!B$2:B101)</f>
        <v>62.046299999999974</v>
      </c>
      <c r="C101" s="3">
        <f>SUM('%'!C$2:C101)</f>
        <v>40.264139999999983</v>
      </c>
      <c r="D101" s="3">
        <f>SUM('%'!D$2:D101)</f>
        <v>26.567739999999997</v>
      </c>
      <c r="E101" s="3">
        <f>SUM('%'!E$2:E101)</f>
        <v>92.244309999999984</v>
      </c>
    </row>
    <row r="102" spans="1:5" x14ac:dyDescent="0.3">
      <c r="A102">
        <v>210</v>
      </c>
      <c r="B102" s="3">
        <f>SUM('%'!B$2:B102)</f>
        <v>62.541349999999973</v>
      </c>
      <c r="C102" s="3">
        <f>SUM('%'!C$2:C102)</f>
        <v>40.429159999999982</v>
      </c>
      <c r="D102" s="3">
        <f>SUM('%'!D$2:D102)</f>
        <v>27.062789999999996</v>
      </c>
      <c r="E102" s="3">
        <f>SUM('%'!E$2:E102)</f>
        <v>92.574339999999978</v>
      </c>
    </row>
    <row r="103" spans="1:5" x14ac:dyDescent="0.3">
      <c r="A103">
        <v>215</v>
      </c>
      <c r="B103" s="3">
        <f>SUM('%'!B$2:B103)</f>
        <v>62.706369999999971</v>
      </c>
      <c r="C103" s="3">
        <f>SUM('%'!C$2:C103)</f>
        <v>40.429159999999982</v>
      </c>
      <c r="D103" s="3">
        <f>SUM('%'!D$2:D103)</f>
        <v>27.062789999999996</v>
      </c>
      <c r="E103" s="3">
        <f>SUM('%'!E$2:E103)</f>
        <v>92.574339999999978</v>
      </c>
    </row>
    <row r="104" spans="1:5" x14ac:dyDescent="0.3">
      <c r="A104">
        <v>219</v>
      </c>
      <c r="B104" s="3">
        <f>SUM('%'!B$2:B104)</f>
        <v>62.87138999999997</v>
      </c>
      <c r="C104" s="3">
        <f>SUM('%'!C$2:C104)</f>
        <v>40.429159999999982</v>
      </c>
      <c r="D104" s="3">
        <f>SUM('%'!D$2:D104)</f>
        <v>27.062789999999996</v>
      </c>
      <c r="E104" s="3">
        <f>SUM('%'!E$2:E104)</f>
        <v>92.574339999999978</v>
      </c>
    </row>
    <row r="105" spans="1:5" x14ac:dyDescent="0.3">
      <c r="A105">
        <v>220</v>
      </c>
      <c r="B105" s="3">
        <f>SUM('%'!B$2:B105)</f>
        <v>63.531459999999967</v>
      </c>
      <c r="C105" s="3">
        <f>SUM('%'!C$2:C105)</f>
        <v>41.749289999999981</v>
      </c>
      <c r="D105" s="3">
        <f>SUM('%'!D$2:D105)</f>
        <v>27.392819999999997</v>
      </c>
      <c r="E105" s="3">
        <f>SUM('%'!E$2:E105)</f>
        <v>92.904369999999972</v>
      </c>
    </row>
    <row r="106" spans="1:5" x14ac:dyDescent="0.3">
      <c r="A106">
        <v>221</v>
      </c>
      <c r="B106" s="3">
        <f>SUM('%'!B$2:B106)</f>
        <v>63.696479999999966</v>
      </c>
      <c r="C106" s="3">
        <f>SUM('%'!C$2:C106)</f>
        <v>41.749289999999981</v>
      </c>
      <c r="D106" s="3">
        <f>SUM('%'!D$2:D106)</f>
        <v>27.392819999999997</v>
      </c>
      <c r="E106" s="3">
        <f>SUM('%'!E$2:E106)</f>
        <v>92.904369999999972</v>
      </c>
    </row>
    <row r="107" spans="1:5" x14ac:dyDescent="0.3">
      <c r="A107">
        <v>225</v>
      </c>
      <c r="B107" s="3">
        <f>SUM('%'!B$2:B107)</f>
        <v>63.696479999999966</v>
      </c>
      <c r="C107" s="3">
        <f>SUM('%'!C$2:C107)</f>
        <v>41.914309999999979</v>
      </c>
      <c r="D107" s="3">
        <f>SUM('%'!D$2:D107)</f>
        <v>27.392819999999997</v>
      </c>
      <c r="E107" s="3">
        <f>SUM('%'!E$2:E107)</f>
        <v>92.904369999999972</v>
      </c>
    </row>
    <row r="108" spans="1:5" x14ac:dyDescent="0.3">
      <c r="A108">
        <v>229</v>
      </c>
      <c r="B108" s="3">
        <f>SUM('%'!B$2:B108)</f>
        <v>63.861499999999964</v>
      </c>
      <c r="C108" s="3">
        <f>SUM('%'!C$2:C108)</f>
        <v>42.079329999999977</v>
      </c>
      <c r="D108" s="3">
        <f>SUM('%'!D$2:D108)</f>
        <v>27.392819999999997</v>
      </c>
      <c r="E108" s="3">
        <f>SUM('%'!E$2:E108)</f>
        <v>92.904369999999972</v>
      </c>
    </row>
    <row r="109" spans="1:5" x14ac:dyDescent="0.3">
      <c r="A109">
        <v>230</v>
      </c>
      <c r="B109" s="3">
        <f>SUM('%'!B$2:B109)</f>
        <v>64.35654999999997</v>
      </c>
      <c r="C109" s="3">
        <f>SUM('%'!C$2:C109)</f>
        <v>43.564479999999975</v>
      </c>
      <c r="D109" s="3">
        <f>SUM('%'!D$2:D109)</f>
        <v>29.207999999999998</v>
      </c>
      <c r="E109" s="3">
        <f>SUM('%'!E$2:E109)</f>
        <v>93.234399999999965</v>
      </c>
    </row>
    <row r="110" spans="1:5" x14ac:dyDescent="0.3">
      <c r="A110">
        <v>237</v>
      </c>
      <c r="B110" s="3">
        <f>SUM('%'!B$2:B110)</f>
        <v>64.35654999999997</v>
      </c>
      <c r="C110" s="3">
        <f>SUM('%'!C$2:C110)</f>
        <v>43.564479999999975</v>
      </c>
      <c r="D110" s="3">
        <f>SUM('%'!D$2:D110)</f>
        <v>29.207999999999998</v>
      </c>
      <c r="E110" s="3">
        <f>SUM('%'!E$2:E110)</f>
        <v>93.399419999999964</v>
      </c>
    </row>
    <row r="111" spans="1:5" x14ac:dyDescent="0.3">
      <c r="A111">
        <v>238</v>
      </c>
      <c r="B111" s="3">
        <f>SUM('%'!B$2:B111)</f>
        <v>64.521569999999969</v>
      </c>
      <c r="C111" s="3">
        <f>SUM('%'!C$2:C111)</f>
        <v>43.564479999999975</v>
      </c>
      <c r="D111" s="3">
        <f>SUM('%'!D$2:D111)</f>
        <v>29.207999999999998</v>
      </c>
      <c r="E111" s="3">
        <f>SUM('%'!E$2:E111)</f>
        <v>93.399419999999964</v>
      </c>
    </row>
    <row r="112" spans="1:5" x14ac:dyDescent="0.3">
      <c r="A112">
        <v>239</v>
      </c>
      <c r="B112" s="3">
        <f>SUM('%'!B$2:B112)</f>
        <v>64.521569999999969</v>
      </c>
      <c r="C112" s="3">
        <f>SUM('%'!C$2:C112)</f>
        <v>43.729499999999973</v>
      </c>
      <c r="D112" s="3">
        <f>SUM('%'!D$2:D112)</f>
        <v>29.207999999999998</v>
      </c>
      <c r="E112" s="3">
        <f>SUM('%'!E$2:E112)</f>
        <v>93.564439999999962</v>
      </c>
    </row>
    <row r="113" spans="1:5" x14ac:dyDescent="0.3">
      <c r="A113">
        <v>240</v>
      </c>
      <c r="B113" s="3">
        <f>SUM('%'!B$2:B113)</f>
        <v>65.181639999999973</v>
      </c>
      <c r="C113" s="3">
        <f>SUM('%'!C$2:C113)</f>
        <v>44.224549999999972</v>
      </c>
      <c r="D113" s="3">
        <f>SUM('%'!D$2:D113)</f>
        <v>29.703049999999998</v>
      </c>
      <c r="E113" s="3">
        <f>SUM('%'!E$2:E113)</f>
        <v>93.564439999999962</v>
      </c>
    </row>
    <row r="114" spans="1:5" x14ac:dyDescent="0.3">
      <c r="A114">
        <v>244</v>
      </c>
      <c r="B114" s="3">
        <f>SUM('%'!B$2:B114)</f>
        <v>65.181639999999973</v>
      </c>
      <c r="C114" s="3">
        <f>SUM('%'!C$2:C114)</f>
        <v>44.224549999999972</v>
      </c>
      <c r="D114" s="3">
        <f>SUM('%'!D$2:D114)</f>
        <v>29.703049999999998</v>
      </c>
      <c r="E114" s="3">
        <f>SUM('%'!E$2:E114)</f>
        <v>93.72945999999996</v>
      </c>
    </row>
    <row r="115" spans="1:5" x14ac:dyDescent="0.3">
      <c r="A115">
        <v>245</v>
      </c>
      <c r="B115" s="3">
        <f>SUM('%'!B$2:B115)</f>
        <v>65.346659999999972</v>
      </c>
      <c r="C115" s="3">
        <f>SUM('%'!C$2:C115)</f>
        <v>44.224549999999972</v>
      </c>
      <c r="D115" s="3">
        <f>SUM('%'!D$2:D115)</f>
        <v>29.703049999999998</v>
      </c>
      <c r="E115" s="3">
        <f>SUM('%'!E$2:E115)</f>
        <v>93.72945999999996</v>
      </c>
    </row>
    <row r="116" spans="1:5" x14ac:dyDescent="0.3">
      <c r="A116">
        <v>246</v>
      </c>
      <c r="B116" s="3">
        <f>SUM('%'!B$2:B116)</f>
        <v>65.346659999999972</v>
      </c>
      <c r="C116" s="3">
        <f>SUM('%'!C$2:C116)</f>
        <v>44.389569999999971</v>
      </c>
      <c r="D116" s="3">
        <f>SUM('%'!D$2:D116)</f>
        <v>29.703049999999998</v>
      </c>
      <c r="E116" s="3">
        <f>SUM('%'!E$2:E116)</f>
        <v>93.72945999999996</v>
      </c>
    </row>
    <row r="117" spans="1:5" x14ac:dyDescent="0.3">
      <c r="A117">
        <v>247</v>
      </c>
      <c r="B117" s="3">
        <f>SUM('%'!B$2:B117)</f>
        <v>65.51167999999997</v>
      </c>
      <c r="C117" s="3">
        <f>SUM('%'!C$2:C117)</f>
        <v>44.389569999999971</v>
      </c>
      <c r="D117" s="3">
        <f>SUM('%'!D$2:D117)</f>
        <v>29.868069999999996</v>
      </c>
      <c r="E117" s="3">
        <f>SUM('%'!E$2:E117)</f>
        <v>93.72945999999996</v>
      </c>
    </row>
    <row r="118" spans="1:5" x14ac:dyDescent="0.3">
      <c r="A118">
        <v>249</v>
      </c>
      <c r="B118" s="3">
        <f>SUM('%'!B$2:B118)</f>
        <v>66.006729999999976</v>
      </c>
      <c r="C118" s="3">
        <f>SUM('%'!C$2:C118)</f>
        <v>45.544689999999967</v>
      </c>
      <c r="D118" s="3">
        <f>SUM('%'!D$2:D118)</f>
        <v>29.868069999999996</v>
      </c>
      <c r="E118" s="3">
        <f>SUM('%'!E$2:E118)</f>
        <v>93.894479999999959</v>
      </c>
    </row>
    <row r="119" spans="1:5" x14ac:dyDescent="0.3">
      <c r="A119">
        <v>250</v>
      </c>
      <c r="B119" s="3">
        <f>SUM('%'!B$2:B119)</f>
        <v>76.402769999999975</v>
      </c>
      <c r="C119" s="3">
        <f>SUM('%'!C$2:C119)</f>
        <v>54.125549999999969</v>
      </c>
      <c r="D119" s="3">
        <f>SUM('%'!D$2:D119)</f>
        <v>36.798759999999994</v>
      </c>
      <c r="E119" s="3">
        <f>SUM('%'!E$2:E119)</f>
        <v>96.369729999999961</v>
      </c>
    </row>
    <row r="120" spans="1:5" x14ac:dyDescent="0.3">
      <c r="A120">
        <v>255</v>
      </c>
      <c r="B120" s="3">
        <f>SUM('%'!B$2:B120)</f>
        <v>76.402769999999975</v>
      </c>
      <c r="C120" s="3">
        <f>SUM('%'!C$2:C120)</f>
        <v>54.620599999999968</v>
      </c>
      <c r="D120" s="3">
        <f>SUM('%'!D$2:D120)</f>
        <v>36.798759999999994</v>
      </c>
      <c r="E120" s="3">
        <f>SUM('%'!E$2:E120)</f>
        <v>96.369729999999961</v>
      </c>
    </row>
    <row r="121" spans="1:5" x14ac:dyDescent="0.3">
      <c r="A121">
        <v>259</v>
      </c>
      <c r="B121" s="3">
        <f>SUM('%'!B$2:B121)</f>
        <v>76.567789999999974</v>
      </c>
      <c r="C121" s="3">
        <f>SUM('%'!C$2:C121)</f>
        <v>54.620599999999968</v>
      </c>
      <c r="D121" s="3">
        <f>SUM('%'!D$2:D121)</f>
        <v>36.798759999999994</v>
      </c>
      <c r="E121" s="3">
        <f>SUM('%'!E$2:E121)</f>
        <v>96.369729999999961</v>
      </c>
    </row>
    <row r="122" spans="1:5" x14ac:dyDescent="0.3">
      <c r="A122">
        <v>260</v>
      </c>
      <c r="B122" s="3">
        <f>SUM('%'!B$2:B122)</f>
        <v>77.06283999999998</v>
      </c>
      <c r="C122" s="3">
        <f>SUM('%'!C$2:C122)</f>
        <v>55.445679999999967</v>
      </c>
      <c r="D122" s="3">
        <f>SUM('%'!D$2:D122)</f>
        <v>37.788859999999993</v>
      </c>
      <c r="E122" s="3">
        <f>SUM('%'!E$2:E122)</f>
        <v>96.369729999999961</v>
      </c>
    </row>
    <row r="123" spans="1:5" x14ac:dyDescent="0.3">
      <c r="A123">
        <v>265</v>
      </c>
      <c r="B123" s="3">
        <f>SUM('%'!B$2:B123)</f>
        <v>77.227859999999978</v>
      </c>
      <c r="C123" s="3">
        <f>SUM('%'!C$2:C123)</f>
        <v>55.445679999999967</v>
      </c>
      <c r="D123" s="3">
        <f>SUM('%'!D$2:D123)</f>
        <v>37.788859999999993</v>
      </c>
      <c r="E123" s="3">
        <f>SUM('%'!E$2:E123)</f>
        <v>96.369729999999961</v>
      </c>
    </row>
    <row r="124" spans="1:5" x14ac:dyDescent="0.3">
      <c r="A124">
        <v>269</v>
      </c>
      <c r="B124" s="3">
        <f>SUM('%'!B$2:B124)</f>
        <v>77.227859999999978</v>
      </c>
      <c r="C124" s="3">
        <f>SUM('%'!C$2:C124)</f>
        <v>55.610699999999966</v>
      </c>
      <c r="D124" s="3">
        <f>SUM('%'!D$2:D124)</f>
        <v>37.788859999999993</v>
      </c>
      <c r="E124" s="3">
        <f>SUM('%'!E$2:E124)</f>
        <v>96.369729999999961</v>
      </c>
    </row>
    <row r="125" spans="1:5" x14ac:dyDescent="0.3">
      <c r="A125">
        <v>270</v>
      </c>
      <c r="B125" s="3">
        <f>SUM('%'!B$2:B125)</f>
        <v>77.722909999999985</v>
      </c>
      <c r="C125" s="3">
        <f>SUM('%'!C$2:C125)</f>
        <v>56.600799999999964</v>
      </c>
      <c r="D125" s="3">
        <f>SUM('%'!D$2:D125)</f>
        <v>38.778959999999991</v>
      </c>
      <c r="E125" s="3">
        <f>SUM('%'!E$2:E125)</f>
        <v>96.369729999999961</v>
      </c>
    </row>
    <row r="126" spans="1:5" x14ac:dyDescent="0.3">
      <c r="A126">
        <v>273</v>
      </c>
      <c r="B126" s="3">
        <f>SUM('%'!B$2:B126)</f>
        <v>77.722909999999985</v>
      </c>
      <c r="C126" s="3">
        <f>SUM('%'!C$2:C126)</f>
        <v>56.765819999999962</v>
      </c>
      <c r="D126" s="3">
        <f>SUM('%'!D$2:D126)</f>
        <v>38.778959999999991</v>
      </c>
      <c r="E126" s="3">
        <f>SUM('%'!E$2:E126)</f>
        <v>96.369729999999961</v>
      </c>
    </row>
    <row r="127" spans="1:5" x14ac:dyDescent="0.3">
      <c r="A127">
        <v>275</v>
      </c>
      <c r="B127" s="3">
        <f>SUM('%'!B$2:B127)</f>
        <v>77.722909999999985</v>
      </c>
      <c r="C127" s="3">
        <f>SUM('%'!C$2:C127)</f>
        <v>56.930839999999961</v>
      </c>
      <c r="D127" s="3">
        <f>SUM('%'!D$2:D127)</f>
        <v>38.778959999999991</v>
      </c>
      <c r="E127" s="3">
        <f>SUM('%'!E$2:E127)</f>
        <v>96.369729999999961</v>
      </c>
    </row>
    <row r="128" spans="1:5" x14ac:dyDescent="0.3">
      <c r="A128">
        <v>279</v>
      </c>
      <c r="B128" s="3">
        <f>SUM('%'!B$2:B128)</f>
        <v>77.887929999999983</v>
      </c>
      <c r="C128" s="3">
        <f>SUM('%'!C$2:C128)</f>
        <v>57.095859999999959</v>
      </c>
      <c r="D128" s="3">
        <f>SUM('%'!D$2:D128)</f>
        <v>38.943979999999989</v>
      </c>
      <c r="E128" s="3">
        <f>SUM('%'!E$2:E128)</f>
        <v>96.369729999999961</v>
      </c>
    </row>
    <row r="129" spans="1:5" x14ac:dyDescent="0.3">
      <c r="A129">
        <v>280</v>
      </c>
      <c r="B129" s="3">
        <f>SUM('%'!B$2:B129)</f>
        <v>79.703109999999981</v>
      </c>
      <c r="C129" s="3">
        <f>SUM('%'!C$2:C129)</f>
        <v>60.066159999999961</v>
      </c>
      <c r="D129" s="3">
        <f>SUM('%'!D$2:D129)</f>
        <v>39.769059999999989</v>
      </c>
      <c r="E129" s="3">
        <f>SUM('%'!E$2:E129)</f>
        <v>96.699759999999955</v>
      </c>
    </row>
    <row r="130" spans="1:5" x14ac:dyDescent="0.3">
      <c r="A130">
        <v>288</v>
      </c>
      <c r="B130" s="3">
        <f>SUM('%'!B$2:B130)</f>
        <v>79.703109999999981</v>
      </c>
      <c r="C130" s="3">
        <f>SUM('%'!C$2:C130)</f>
        <v>60.231179999999959</v>
      </c>
      <c r="D130" s="3">
        <f>SUM('%'!D$2:D130)</f>
        <v>39.769059999999989</v>
      </c>
      <c r="E130" s="3">
        <f>SUM('%'!E$2:E130)</f>
        <v>96.699759999999955</v>
      </c>
    </row>
    <row r="131" spans="1:5" x14ac:dyDescent="0.3">
      <c r="A131">
        <v>289</v>
      </c>
      <c r="B131" s="3">
        <f>SUM('%'!B$2:B131)</f>
        <v>79.703109999999981</v>
      </c>
      <c r="C131" s="3">
        <f>SUM('%'!C$2:C131)</f>
        <v>60.231179999999959</v>
      </c>
      <c r="D131" s="3">
        <f>SUM('%'!D$2:D131)</f>
        <v>40.09908999999999</v>
      </c>
      <c r="E131" s="3">
        <f>SUM('%'!E$2:E131)</f>
        <v>96.699759999999955</v>
      </c>
    </row>
    <row r="132" spans="1:5" x14ac:dyDescent="0.3">
      <c r="A132">
        <v>290</v>
      </c>
      <c r="B132" s="3">
        <f>SUM('%'!B$2:B132)</f>
        <v>80.033139999999975</v>
      </c>
      <c r="C132" s="3">
        <f>SUM('%'!C$2:C132)</f>
        <v>60.891249999999957</v>
      </c>
      <c r="D132" s="3">
        <f>SUM('%'!D$2:D132)</f>
        <v>40.42911999999999</v>
      </c>
      <c r="E132" s="3">
        <f>SUM('%'!E$2:E132)</f>
        <v>97.029789999999949</v>
      </c>
    </row>
    <row r="133" spans="1:5" x14ac:dyDescent="0.3">
      <c r="A133">
        <v>296</v>
      </c>
      <c r="B133" s="3">
        <f>SUM('%'!B$2:B133)</f>
        <v>80.033139999999975</v>
      </c>
      <c r="C133" s="3">
        <f>SUM('%'!C$2:C133)</f>
        <v>60.891249999999957</v>
      </c>
      <c r="D133" s="3">
        <f>SUM('%'!D$2:D133)</f>
        <v>40.594139999999989</v>
      </c>
      <c r="E133" s="3">
        <f>SUM('%'!E$2:E133)</f>
        <v>97.029789999999949</v>
      </c>
    </row>
    <row r="134" spans="1:5" x14ac:dyDescent="0.3">
      <c r="A134">
        <v>298</v>
      </c>
      <c r="B134" s="3">
        <f>SUM('%'!B$2:B134)</f>
        <v>80.033139999999975</v>
      </c>
      <c r="C134" s="3">
        <f>SUM('%'!C$2:C134)</f>
        <v>60.891249999999957</v>
      </c>
      <c r="D134" s="3">
        <f>SUM('%'!D$2:D134)</f>
        <v>40.594139999999989</v>
      </c>
      <c r="E134" s="3">
        <f>SUM('%'!E$2:E134)</f>
        <v>97.194809999999947</v>
      </c>
    </row>
    <row r="135" spans="1:5" x14ac:dyDescent="0.3">
      <c r="A135">
        <v>299</v>
      </c>
      <c r="B135" s="3">
        <f>SUM('%'!B$2:B135)</f>
        <v>80.363169999999968</v>
      </c>
      <c r="C135" s="3">
        <f>SUM('%'!C$2:C135)</f>
        <v>62.046369999999953</v>
      </c>
      <c r="D135" s="3">
        <f>SUM('%'!D$2:D135)</f>
        <v>40.759159999999987</v>
      </c>
      <c r="E135" s="3">
        <f>SUM('%'!E$2:E135)</f>
        <v>97.194809999999947</v>
      </c>
    </row>
    <row r="136" spans="1:5" x14ac:dyDescent="0.3">
      <c r="A136">
        <v>300</v>
      </c>
      <c r="B136" s="3">
        <f>SUM('%'!B$2:B136)</f>
        <v>90.759209999999968</v>
      </c>
      <c r="C136" s="3">
        <f>SUM('%'!C$2:C136)</f>
        <v>72.112379999999959</v>
      </c>
      <c r="D136" s="3">
        <f>SUM('%'!D$2:D136)</f>
        <v>53.465429999999984</v>
      </c>
      <c r="E136" s="3">
        <f>SUM('%'!E$2:E136)</f>
        <v>98.679959999999951</v>
      </c>
    </row>
    <row r="137" spans="1:5" x14ac:dyDescent="0.3">
      <c r="A137">
        <v>301</v>
      </c>
      <c r="B137" s="3">
        <f>SUM('%'!B$2:B137)</f>
        <v>90.759209999999968</v>
      </c>
      <c r="C137" s="3">
        <f>SUM('%'!C$2:C137)</f>
        <v>72.277399999999957</v>
      </c>
      <c r="D137" s="3">
        <f>SUM('%'!D$2:D137)</f>
        <v>53.465429999999984</v>
      </c>
      <c r="E137" s="3">
        <f>SUM('%'!E$2:E137)</f>
        <v>98.679959999999951</v>
      </c>
    </row>
    <row r="138" spans="1:5" x14ac:dyDescent="0.3">
      <c r="A138">
        <v>305</v>
      </c>
      <c r="B138" s="3">
        <f>SUM('%'!B$2:B138)</f>
        <v>90.759209999999968</v>
      </c>
      <c r="C138" s="3">
        <f>SUM('%'!C$2:C138)</f>
        <v>72.277399999999957</v>
      </c>
      <c r="D138" s="3">
        <f>SUM('%'!D$2:D138)</f>
        <v>53.630449999999982</v>
      </c>
      <c r="E138" s="3">
        <f>SUM('%'!E$2:E138)</f>
        <v>98.679959999999951</v>
      </c>
    </row>
    <row r="139" spans="1:5" x14ac:dyDescent="0.3">
      <c r="A139">
        <v>306</v>
      </c>
      <c r="B139" s="3">
        <f>SUM('%'!B$2:B139)</f>
        <v>90.759209999999968</v>
      </c>
      <c r="C139" s="3">
        <f>SUM('%'!C$2:C139)</f>
        <v>72.442419999999956</v>
      </c>
      <c r="D139" s="3">
        <f>SUM('%'!D$2:D139)</f>
        <v>53.630449999999982</v>
      </c>
      <c r="E139" s="3">
        <f>SUM('%'!E$2:E139)</f>
        <v>98.679959999999951</v>
      </c>
    </row>
    <row r="140" spans="1:5" x14ac:dyDescent="0.3">
      <c r="A140">
        <v>309</v>
      </c>
      <c r="B140" s="3">
        <f>SUM('%'!B$2:B140)</f>
        <v>90.759209999999968</v>
      </c>
      <c r="C140" s="3">
        <f>SUM('%'!C$2:C140)</f>
        <v>72.607439999999954</v>
      </c>
      <c r="D140" s="3">
        <f>SUM('%'!D$2:D140)</f>
        <v>53.630449999999982</v>
      </c>
      <c r="E140" s="3">
        <f>SUM('%'!E$2:E140)</f>
        <v>98.679959999999951</v>
      </c>
    </row>
    <row r="141" spans="1:5" x14ac:dyDescent="0.3">
      <c r="A141">
        <v>310</v>
      </c>
      <c r="B141" s="3">
        <f>SUM('%'!B$2:B141)</f>
        <v>90.759209999999968</v>
      </c>
      <c r="C141" s="3">
        <f>SUM('%'!C$2:C141)</f>
        <v>72.607439999999954</v>
      </c>
      <c r="D141" s="3">
        <f>SUM('%'!D$2:D141)</f>
        <v>54.125499999999981</v>
      </c>
      <c r="E141" s="3">
        <f>SUM('%'!E$2:E141)</f>
        <v>98.679959999999951</v>
      </c>
    </row>
    <row r="142" spans="1:5" x14ac:dyDescent="0.3">
      <c r="A142">
        <v>312</v>
      </c>
      <c r="B142" s="3">
        <f>SUM('%'!B$2:B142)</f>
        <v>90.924229999999966</v>
      </c>
      <c r="C142" s="3">
        <f>SUM('%'!C$2:C142)</f>
        <v>72.607439999999954</v>
      </c>
      <c r="D142" s="3">
        <f>SUM('%'!D$2:D142)</f>
        <v>54.125499999999981</v>
      </c>
      <c r="E142" s="3">
        <f>SUM('%'!E$2:E142)</f>
        <v>98.679959999999951</v>
      </c>
    </row>
    <row r="143" spans="1:5" x14ac:dyDescent="0.3">
      <c r="A143">
        <v>316</v>
      </c>
      <c r="B143" s="3">
        <f>SUM('%'!B$2:B143)</f>
        <v>90.924229999999966</v>
      </c>
      <c r="C143" s="3">
        <f>SUM('%'!C$2:C143)</f>
        <v>72.607439999999954</v>
      </c>
      <c r="D143" s="3">
        <f>SUM('%'!D$2:D143)</f>
        <v>54.290519999999979</v>
      </c>
      <c r="E143" s="3">
        <f>SUM('%'!E$2:E143)</f>
        <v>98.679959999999951</v>
      </c>
    </row>
    <row r="144" spans="1:5" x14ac:dyDescent="0.3">
      <c r="A144">
        <v>320</v>
      </c>
      <c r="B144" s="3">
        <f>SUM('%'!B$2:B144)</f>
        <v>91.749309999999966</v>
      </c>
      <c r="C144" s="3">
        <f>SUM('%'!C$2:C144)</f>
        <v>73.432519999999954</v>
      </c>
      <c r="D144" s="3">
        <f>SUM('%'!D$2:D144)</f>
        <v>55.445639999999976</v>
      </c>
      <c r="E144" s="3">
        <f>SUM('%'!E$2:E144)</f>
        <v>98.84497999999995</v>
      </c>
    </row>
    <row r="145" spans="1:5" x14ac:dyDescent="0.3">
      <c r="A145">
        <v>325</v>
      </c>
      <c r="B145" s="3">
        <f>SUM('%'!B$2:B145)</f>
        <v>91.749309999999966</v>
      </c>
      <c r="C145" s="3">
        <f>SUM('%'!C$2:C145)</f>
        <v>73.597539999999952</v>
      </c>
      <c r="D145" s="3">
        <f>SUM('%'!D$2:D145)</f>
        <v>55.445639999999976</v>
      </c>
      <c r="E145" s="3">
        <f>SUM('%'!E$2:E145)</f>
        <v>98.84497999999995</v>
      </c>
    </row>
    <row r="146" spans="1:5" x14ac:dyDescent="0.3">
      <c r="A146">
        <v>330</v>
      </c>
      <c r="B146" s="3">
        <f>SUM('%'!B$2:B146)</f>
        <v>91.749309999999966</v>
      </c>
      <c r="C146" s="3">
        <f>SUM('%'!C$2:C146)</f>
        <v>73.927569999999946</v>
      </c>
      <c r="D146" s="3">
        <f>SUM('%'!D$2:D146)</f>
        <v>56.270719999999976</v>
      </c>
      <c r="E146" s="3">
        <f>SUM('%'!E$2:E146)</f>
        <v>98.84497999999995</v>
      </c>
    </row>
    <row r="147" spans="1:5" x14ac:dyDescent="0.3">
      <c r="A147">
        <v>340</v>
      </c>
      <c r="B147" s="3">
        <f>SUM('%'!B$2:B147)</f>
        <v>91.749309999999966</v>
      </c>
      <c r="C147" s="3">
        <f>SUM('%'!C$2:C147)</f>
        <v>74.422619999999952</v>
      </c>
      <c r="D147" s="3">
        <f>SUM('%'!D$2:D147)</f>
        <v>56.270719999999976</v>
      </c>
      <c r="E147" s="3">
        <f>SUM('%'!E$2:E147)</f>
        <v>98.84497999999995</v>
      </c>
    </row>
    <row r="148" spans="1:5" x14ac:dyDescent="0.3">
      <c r="A148">
        <v>349</v>
      </c>
      <c r="B148" s="3">
        <f>SUM('%'!B$2:B148)</f>
        <v>91.749309999999966</v>
      </c>
      <c r="C148" s="3">
        <f>SUM('%'!C$2:C148)</f>
        <v>74.752649999999946</v>
      </c>
      <c r="D148" s="3">
        <f>SUM('%'!D$2:D148)</f>
        <v>56.435739999999974</v>
      </c>
      <c r="E148" s="3">
        <f>SUM('%'!E$2:E148)</f>
        <v>98.84497999999995</v>
      </c>
    </row>
    <row r="149" spans="1:5" x14ac:dyDescent="0.3">
      <c r="A149">
        <v>350</v>
      </c>
      <c r="B149" s="3">
        <f>SUM('%'!B$2:B149)</f>
        <v>94.71960999999996</v>
      </c>
      <c r="C149" s="3">
        <f>SUM('%'!C$2:C149)</f>
        <v>83.498519999999942</v>
      </c>
      <c r="D149" s="3">
        <f>SUM('%'!D$2:D149)</f>
        <v>63.531449999999978</v>
      </c>
      <c r="E149" s="3">
        <f>SUM('%'!E$2:E149)</f>
        <v>99.340029999999956</v>
      </c>
    </row>
    <row r="150" spans="1:5" x14ac:dyDescent="0.3">
      <c r="A150">
        <v>351</v>
      </c>
      <c r="B150" s="3">
        <f>SUM('%'!B$2:B150)</f>
        <v>94.71960999999996</v>
      </c>
      <c r="C150" s="3">
        <f>SUM('%'!C$2:C150)</f>
        <v>83.498519999999942</v>
      </c>
      <c r="D150" s="3">
        <f>SUM('%'!D$2:D150)</f>
        <v>63.861479999999979</v>
      </c>
      <c r="E150" s="3">
        <f>SUM('%'!E$2:E150)</f>
        <v>99.340029999999956</v>
      </c>
    </row>
    <row r="151" spans="1:5" x14ac:dyDescent="0.3">
      <c r="A151">
        <v>355</v>
      </c>
      <c r="B151" s="3">
        <f>SUM('%'!B$2:B151)</f>
        <v>94.71960999999996</v>
      </c>
      <c r="C151" s="3">
        <f>SUM('%'!C$2:C151)</f>
        <v>83.498519999999942</v>
      </c>
      <c r="D151" s="3">
        <f>SUM('%'!D$2:D151)</f>
        <v>64.19150999999998</v>
      </c>
      <c r="E151" s="3">
        <f>SUM('%'!E$2:E151)</f>
        <v>99.340029999999956</v>
      </c>
    </row>
    <row r="152" spans="1:5" x14ac:dyDescent="0.3">
      <c r="A152">
        <v>360</v>
      </c>
      <c r="B152" s="3">
        <f>SUM('%'!B$2:B152)</f>
        <v>94.884629999999959</v>
      </c>
      <c r="C152" s="3">
        <f>SUM('%'!C$2:C152)</f>
        <v>84.488619999999941</v>
      </c>
      <c r="D152" s="3">
        <f>SUM('%'!D$2:D152)</f>
        <v>64.686559999999986</v>
      </c>
      <c r="E152" s="3">
        <f>SUM('%'!E$2:E152)</f>
        <v>99.505049999999954</v>
      </c>
    </row>
    <row r="153" spans="1:5" x14ac:dyDescent="0.3">
      <c r="A153">
        <v>365</v>
      </c>
      <c r="B153" s="3">
        <f>SUM('%'!B$2:B153)</f>
        <v>94.884629999999959</v>
      </c>
      <c r="C153" s="3">
        <f>SUM('%'!C$2:C153)</f>
        <v>84.653639999999939</v>
      </c>
      <c r="D153" s="3">
        <f>SUM('%'!D$2:D153)</f>
        <v>64.686559999999986</v>
      </c>
      <c r="E153" s="3">
        <f>SUM('%'!E$2:E153)</f>
        <v>99.505049999999954</v>
      </c>
    </row>
    <row r="154" spans="1:5" x14ac:dyDescent="0.3">
      <c r="A154">
        <v>369</v>
      </c>
      <c r="B154" s="3">
        <f>SUM('%'!B$2:B154)</f>
        <v>94.884629999999959</v>
      </c>
      <c r="C154" s="3">
        <f>SUM('%'!C$2:C154)</f>
        <v>84.818659999999937</v>
      </c>
      <c r="D154" s="3">
        <f>SUM('%'!D$2:D154)</f>
        <v>64.686559999999986</v>
      </c>
      <c r="E154" s="3">
        <f>SUM('%'!E$2:E154)</f>
        <v>99.505049999999954</v>
      </c>
    </row>
    <row r="155" spans="1:5" x14ac:dyDescent="0.3">
      <c r="A155">
        <v>370</v>
      </c>
      <c r="B155" s="3">
        <f>SUM('%'!B$2:B155)</f>
        <v>95.049649999999957</v>
      </c>
      <c r="C155" s="3">
        <f>SUM('%'!C$2:C155)</f>
        <v>84.983679999999936</v>
      </c>
      <c r="D155" s="3">
        <f>SUM('%'!D$2:D155)</f>
        <v>65.34662999999999</v>
      </c>
      <c r="E155" s="3">
        <f>SUM('%'!E$2:E155)</f>
        <v>99.505049999999954</v>
      </c>
    </row>
    <row r="156" spans="1:5" x14ac:dyDescent="0.3">
      <c r="A156">
        <v>375</v>
      </c>
      <c r="B156" s="3">
        <f>SUM('%'!B$2:B156)</f>
        <v>95.049649999999957</v>
      </c>
      <c r="C156" s="3">
        <f>SUM('%'!C$2:C156)</f>
        <v>85.148699999999934</v>
      </c>
      <c r="D156" s="3">
        <f>SUM('%'!D$2:D156)</f>
        <v>65.34662999999999</v>
      </c>
      <c r="E156" s="3">
        <f>SUM('%'!E$2:E156)</f>
        <v>99.505049999999954</v>
      </c>
    </row>
    <row r="157" spans="1:5" x14ac:dyDescent="0.3">
      <c r="A157">
        <v>380</v>
      </c>
      <c r="B157" s="3">
        <f>SUM('%'!B$2:B157)</f>
        <v>95.049649999999957</v>
      </c>
      <c r="C157" s="3">
        <f>SUM('%'!C$2:C157)</f>
        <v>86.633849999999939</v>
      </c>
      <c r="D157" s="3">
        <f>SUM('%'!D$2:D157)</f>
        <v>66.17170999999999</v>
      </c>
      <c r="E157" s="3">
        <f>SUM('%'!E$2:E157)</f>
        <v>99.505049999999954</v>
      </c>
    </row>
    <row r="158" spans="1:5" x14ac:dyDescent="0.3">
      <c r="A158">
        <v>390</v>
      </c>
      <c r="B158" s="3">
        <f>SUM('%'!B$2:B158)</f>
        <v>95.049649999999957</v>
      </c>
      <c r="C158" s="3">
        <f>SUM('%'!C$2:C158)</f>
        <v>86.798869999999937</v>
      </c>
      <c r="D158" s="3">
        <f>SUM('%'!D$2:D158)</f>
        <v>66.336729999999989</v>
      </c>
      <c r="E158" s="3">
        <f>SUM('%'!E$2:E158)</f>
        <v>99.505049999999954</v>
      </c>
    </row>
    <row r="159" spans="1:5" x14ac:dyDescent="0.3">
      <c r="A159">
        <v>398</v>
      </c>
      <c r="B159" s="3">
        <f>SUM('%'!B$2:B159)</f>
        <v>95.049649999999957</v>
      </c>
      <c r="C159" s="3">
        <f>SUM('%'!C$2:C159)</f>
        <v>86.963889999999935</v>
      </c>
      <c r="D159" s="3">
        <f>SUM('%'!D$2:D159)</f>
        <v>66.336729999999989</v>
      </c>
      <c r="E159" s="3">
        <f>SUM('%'!E$2:E159)</f>
        <v>99.505049999999954</v>
      </c>
    </row>
    <row r="160" spans="1:5" x14ac:dyDescent="0.3">
      <c r="A160">
        <v>399</v>
      </c>
      <c r="B160" s="3">
        <f>SUM('%'!B$2:B160)</f>
        <v>95.379679999999951</v>
      </c>
      <c r="C160" s="3">
        <f>SUM('%'!C$2:C160)</f>
        <v>87.128909999999934</v>
      </c>
      <c r="D160" s="3">
        <f>SUM('%'!D$2:D160)</f>
        <v>67.326829999999987</v>
      </c>
      <c r="E160" s="3">
        <f>SUM('%'!E$2:E160)</f>
        <v>99.505049999999954</v>
      </c>
    </row>
    <row r="161" spans="1:5" x14ac:dyDescent="0.3">
      <c r="A161">
        <v>400</v>
      </c>
      <c r="B161" s="3">
        <f>SUM('%'!B$2:B161)</f>
        <v>97.689909999999955</v>
      </c>
      <c r="C161" s="3">
        <f>SUM('%'!C$2:C161)</f>
        <v>91.584359999999933</v>
      </c>
      <c r="D161" s="3">
        <f>SUM('%'!D$2:D161)</f>
        <v>77.722869999999986</v>
      </c>
      <c r="E161" s="3">
        <f>SUM('%'!E$2:E161)</f>
        <v>100.00009999999996</v>
      </c>
    </row>
    <row r="162" spans="1:5" x14ac:dyDescent="0.3">
      <c r="A162">
        <v>410</v>
      </c>
      <c r="B162" s="3">
        <f>SUM('%'!B$2:B162)</f>
        <v>97.854929999999953</v>
      </c>
      <c r="C162" s="3">
        <f>SUM('%'!C$2:C162)</f>
        <v>91.584359999999933</v>
      </c>
      <c r="D162" s="3">
        <f>SUM('%'!D$2:D162)</f>
        <v>77.887889999999985</v>
      </c>
      <c r="E162" s="3">
        <f>SUM('%'!E$2:E162)</f>
        <v>100.00009999999996</v>
      </c>
    </row>
    <row r="163" spans="1:5" x14ac:dyDescent="0.3">
      <c r="A163">
        <v>415</v>
      </c>
      <c r="B163" s="3">
        <f>SUM('%'!B$2:B163)</f>
        <v>97.854929999999953</v>
      </c>
      <c r="C163" s="3">
        <f>SUM('%'!C$2:C163)</f>
        <v>91.749379999999931</v>
      </c>
      <c r="D163" s="3">
        <f>SUM('%'!D$2:D163)</f>
        <v>77.887889999999985</v>
      </c>
      <c r="E163" s="3">
        <f>SUM('%'!E$2:E163)</f>
        <v>100.00009999999996</v>
      </c>
    </row>
    <row r="164" spans="1:5" x14ac:dyDescent="0.3">
      <c r="A164">
        <v>420</v>
      </c>
      <c r="B164" s="3">
        <f>SUM('%'!B$2:B164)</f>
        <v>98.019949999999952</v>
      </c>
      <c r="C164" s="3">
        <f>SUM('%'!C$2:C164)</f>
        <v>91.914399999999929</v>
      </c>
      <c r="D164" s="3">
        <f>SUM('%'!D$2:D164)</f>
        <v>78.052909999999983</v>
      </c>
      <c r="E164" s="3">
        <f>SUM('%'!E$2:E164)</f>
        <v>100.00009999999996</v>
      </c>
    </row>
    <row r="165" spans="1:5" x14ac:dyDescent="0.3">
      <c r="A165">
        <v>425</v>
      </c>
      <c r="B165" s="3">
        <f>SUM('%'!B$2:B165)</f>
        <v>98.019949999999952</v>
      </c>
      <c r="C165" s="3">
        <f>SUM('%'!C$2:C165)</f>
        <v>91.914399999999929</v>
      </c>
      <c r="D165" s="3">
        <f>SUM('%'!D$2:D165)</f>
        <v>78.217929999999981</v>
      </c>
      <c r="E165" s="3">
        <f>SUM('%'!E$2:E165)</f>
        <v>100.00009999999996</v>
      </c>
    </row>
    <row r="166" spans="1:5" x14ac:dyDescent="0.3">
      <c r="A166">
        <v>430</v>
      </c>
      <c r="B166" s="3">
        <f>SUM('%'!B$2:B166)</f>
        <v>98.18496999999995</v>
      </c>
      <c r="C166" s="3">
        <f>SUM('%'!C$2:C166)</f>
        <v>92.409449999999936</v>
      </c>
      <c r="D166" s="3">
        <f>SUM('%'!D$2:D166)</f>
        <v>78.38294999999998</v>
      </c>
      <c r="E166" s="3">
        <f>SUM('%'!E$2:E166)</f>
        <v>100.00009999999996</v>
      </c>
    </row>
    <row r="167" spans="1:5" x14ac:dyDescent="0.3">
      <c r="A167">
        <v>440</v>
      </c>
      <c r="B167" s="3">
        <f>SUM('%'!B$2:B167)</f>
        <v>98.18496999999995</v>
      </c>
      <c r="C167" s="3">
        <f>SUM('%'!C$2:C167)</f>
        <v>92.739479999999929</v>
      </c>
      <c r="D167" s="3">
        <f>SUM('%'!D$2:D167)</f>
        <v>78.547969999999978</v>
      </c>
      <c r="E167" s="3">
        <f>SUM('%'!E$2:E167)</f>
        <v>100.00009999999996</v>
      </c>
    </row>
    <row r="168" spans="1:5" x14ac:dyDescent="0.3">
      <c r="A168">
        <v>449</v>
      </c>
      <c r="B168" s="3">
        <f>SUM('%'!B$2:B168)</f>
        <v>98.18496999999995</v>
      </c>
      <c r="C168" s="3">
        <f>SUM('%'!C$2:C168)</f>
        <v>92.904499999999928</v>
      </c>
      <c r="D168" s="3">
        <f>SUM('%'!D$2:D168)</f>
        <v>78.547969999999978</v>
      </c>
      <c r="E168" s="3">
        <f>SUM('%'!E$2:E168)</f>
        <v>100.00009999999996</v>
      </c>
    </row>
    <row r="169" spans="1:5" x14ac:dyDescent="0.3">
      <c r="A169">
        <v>450</v>
      </c>
      <c r="B169" s="3">
        <f>SUM('%'!B$2:B169)</f>
        <v>98.680019999999956</v>
      </c>
      <c r="C169" s="3">
        <f>SUM('%'!C$2:C169)</f>
        <v>95.049709999999934</v>
      </c>
      <c r="D169" s="3">
        <f>SUM('%'!D$2:D169)</f>
        <v>82.508369999999985</v>
      </c>
      <c r="E169" s="3">
        <f>SUM('%'!E$2:E169)</f>
        <v>100.00009999999996</v>
      </c>
    </row>
    <row r="170" spans="1:5" x14ac:dyDescent="0.3">
      <c r="A170">
        <v>458</v>
      </c>
      <c r="B170" s="3">
        <f>SUM('%'!B$2:B170)</f>
        <v>98.680019999999956</v>
      </c>
      <c r="C170" s="3">
        <f>SUM('%'!C$2:C170)</f>
        <v>95.049709999999934</v>
      </c>
      <c r="D170" s="3">
        <f>SUM('%'!D$2:D170)</f>
        <v>82.673389999999984</v>
      </c>
      <c r="E170" s="3">
        <f>SUM('%'!E$2:E170)</f>
        <v>100.00009999999996</v>
      </c>
    </row>
    <row r="171" spans="1:5" x14ac:dyDescent="0.3">
      <c r="A171">
        <v>460</v>
      </c>
      <c r="B171" s="3">
        <f>SUM('%'!B$2:B171)</f>
        <v>98.680019999999956</v>
      </c>
      <c r="C171" s="3">
        <f>SUM('%'!C$2:C171)</f>
        <v>95.049709999999934</v>
      </c>
      <c r="D171" s="3">
        <f>SUM('%'!D$2:D171)</f>
        <v>82.838409999999982</v>
      </c>
      <c r="E171" s="3">
        <f>SUM('%'!E$2:E171)</f>
        <v>100.00009999999996</v>
      </c>
    </row>
    <row r="172" spans="1:5" x14ac:dyDescent="0.3">
      <c r="A172">
        <v>470</v>
      </c>
      <c r="B172" s="3">
        <f>SUM('%'!B$2:B172)</f>
        <v>98.680019999999956</v>
      </c>
      <c r="C172" s="3">
        <f>SUM('%'!C$2:C172)</f>
        <v>95.214729999999932</v>
      </c>
      <c r="D172" s="3">
        <f>SUM('%'!D$2:D172)</f>
        <v>83.168439999999975</v>
      </c>
      <c r="E172" s="3">
        <f>SUM('%'!E$2:E172)</f>
        <v>100.00009999999996</v>
      </c>
    </row>
    <row r="173" spans="1:5" x14ac:dyDescent="0.3">
      <c r="A173">
        <v>480</v>
      </c>
      <c r="B173" s="3">
        <f>SUM('%'!B$2:B173)</f>
        <v>98.680019999999956</v>
      </c>
      <c r="C173" s="3">
        <f>SUM('%'!C$2:C173)</f>
        <v>95.214729999999932</v>
      </c>
      <c r="D173" s="3">
        <f>SUM('%'!D$2:D173)</f>
        <v>83.498469999999969</v>
      </c>
      <c r="E173" s="3">
        <f>SUM('%'!E$2:E173)</f>
        <v>100.00009999999996</v>
      </c>
    </row>
    <row r="174" spans="1:5" x14ac:dyDescent="0.3">
      <c r="A174">
        <v>499</v>
      </c>
      <c r="B174" s="3">
        <f>SUM('%'!B$2:B174)</f>
        <v>98.680019999999956</v>
      </c>
      <c r="C174" s="3">
        <f>SUM('%'!C$2:C174)</f>
        <v>95.544759999999926</v>
      </c>
      <c r="D174" s="3">
        <f>SUM('%'!D$2:D174)</f>
        <v>83.993519999999975</v>
      </c>
      <c r="E174" s="3">
        <f>SUM('%'!E$2:E174)</f>
        <v>100.00009999999996</v>
      </c>
    </row>
    <row r="175" spans="1:5" x14ac:dyDescent="0.3">
      <c r="A175">
        <v>500</v>
      </c>
      <c r="B175" s="3">
        <f>SUM('%'!B$2:B175)</f>
        <v>99.505099999999956</v>
      </c>
      <c r="C175" s="3">
        <f>SUM('%'!C$2:C175)</f>
        <v>97.02990999999993</v>
      </c>
      <c r="D175" s="3">
        <f>SUM('%'!D$2:D175)</f>
        <v>92.07932999999997</v>
      </c>
      <c r="E175" s="3">
        <f>SUM('%'!E$2:E175)</f>
        <v>100.00009999999996</v>
      </c>
    </row>
    <row r="176" spans="1:5" x14ac:dyDescent="0.3">
      <c r="A176">
        <v>550</v>
      </c>
      <c r="B176" s="3">
        <f>SUM('%'!B$2:B176)</f>
        <v>99.670119999999955</v>
      </c>
      <c r="C176" s="3">
        <f>SUM('%'!C$2:C176)</f>
        <v>97.524959999999936</v>
      </c>
      <c r="D176" s="3">
        <f>SUM('%'!D$2:D176)</f>
        <v>92.574379999999977</v>
      </c>
      <c r="E176" s="3">
        <f>SUM('%'!E$2:E176)</f>
        <v>100.00009999999996</v>
      </c>
    </row>
    <row r="177" spans="1:5" x14ac:dyDescent="0.3">
      <c r="A177">
        <v>570</v>
      </c>
      <c r="B177" s="3">
        <f>SUM('%'!B$2:B177)</f>
        <v>99.670119999999955</v>
      </c>
      <c r="C177" s="3">
        <f>SUM('%'!C$2:C177)</f>
        <v>97.689979999999935</v>
      </c>
      <c r="D177" s="3">
        <f>SUM('%'!D$2:D177)</f>
        <v>92.739399999999975</v>
      </c>
      <c r="E177" s="3">
        <f>SUM('%'!E$2:E177)</f>
        <v>100.00009999999996</v>
      </c>
    </row>
    <row r="178" spans="1:5" x14ac:dyDescent="0.3">
      <c r="A178">
        <v>575</v>
      </c>
      <c r="B178" s="3">
        <f>SUM('%'!B$2:B178)</f>
        <v>99.670119999999955</v>
      </c>
      <c r="C178" s="3">
        <f>SUM('%'!C$2:C178)</f>
        <v>97.854999999999933</v>
      </c>
      <c r="D178" s="3">
        <f>SUM('%'!D$2:D178)</f>
        <v>92.739399999999975</v>
      </c>
      <c r="E178" s="3">
        <f>SUM('%'!E$2:E178)</f>
        <v>100.00009999999996</v>
      </c>
    </row>
    <row r="179" spans="1:5" x14ac:dyDescent="0.3">
      <c r="A179">
        <v>579</v>
      </c>
      <c r="B179" s="3">
        <f>SUM('%'!B$2:B179)</f>
        <v>99.670119999999955</v>
      </c>
      <c r="C179" s="3">
        <f>SUM('%'!C$2:C179)</f>
        <v>97.854999999999933</v>
      </c>
      <c r="D179" s="3">
        <f>SUM('%'!D$2:D179)</f>
        <v>92.904419999999973</v>
      </c>
      <c r="E179" s="3">
        <f>SUM('%'!E$2:E179)</f>
        <v>100.00009999999996</v>
      </c>
    </row>
    <row r="180" spans="1:5" x14ac:dyDescent="0.3">
      <c r="A180">
        <v>600</v>
      </c>
      <c r="B180" s="3">
        <f>SUM('%'!B$2:B180)</f>
        <v>100.00014999999995</v>
      </c>
      <c r="C180" s="3">
        <f>SUM('%'!C$2:C180)</f>
        <v>99.340149999999937</v>
      </c>
      <c r="D180" s="3">
        <f>SUM('%'!D$2:D180)</f>
        <v>95.874719999999968</v>
      </c>
      <c r="E180" s="3">
        <f>SUM('%'!E$2:E180)</f>
        <v>100.00009999999996</v>
      </c>
    </row>
    <row r="181" spans="1:5" x14ac:dyDescent="0.3">
      <c r="A181">
        <v>630</v>
      </c>
      <c r="B181" s="3">
        <f>SUM('%'!B$2:B181)</f>
        <v>100.00014999999995</v>
      </c>
      <c r="C181" s="3">
        <f>SUM('%'!C$2:C181)</f>
        <v>99.340149999999937</v>
      </c>
      <c r="D181" s="3">
        <f>SUM('%'!D$2:D181)</f>
        <v>96.039739999999966</v>
      </c>
      <c r="E181" s="3">
        <f>SUM('%'!E$2:E181)</f>
        <v>100.00009999999996</v>
      </c>
    </row>
    <row r="182" spans="1:5" x14ac:dyDescent="0.3">
      <c r="A182">
        <v>650</v>
      </c>
      <c r="B182" s="3">
        <f>SUM('%'!B$2:B182)</f>
        <v>100.00014999999995</v>
      </c>
      <c r="C182" s="3">
        <f>SUM('%'!C$2:C182)</f>
        <v>99.505169999999936</v>
      </c>
      <c r="D182" s="3">
        <f>SUM('%'!D$2:D182)</f>
        <v>96.699809999999971</v>
      </c>
      <c r="E182" s="3">
        <f>SUM('%'!E$2:E182)</f>
        <v>100.00009999999996</v>
      </c>
    </row>
    <row r="183" spans="1:5" x14ac:dyDescent="0.3">
      <c r="A183">
        <v>670</v>
      </c>
      <c r="B183" s="3">
        <f>SUM('%'!B$2:B183)</f>
        <v>100.00014999999995</v>
      </c>
      <c r="C183" s="3">
        <f>SUM('%'!C$2:C183)</f>
        <v>99.505169999999936</v>
      </c>
      <c r="D183" s="3">
        <f>SUM('%'!D$2:D183)</f>
        <v>96.864829999999969</v>
      </c>
      <c r="E183" s="3">
        <f>SUM('%'!E$2:E183)</f>
        <v>100.00009999999996</v>
      </c>
    </row>
    <row r="184" spans="1:5" x14ac:dyDescent="0.3">
      <c r="A184">
        <v>679</v>
      </c>
      <c r="B184" s="3">
        <f>SUM('%'!B$2:B184)</f>
        <v>100.00014999999995</v>
      </c>
      <c r="C184" s="3">
        <f>SUM('%'!C$2:C184)</f>
        <v>99.505169999999936</v>
      </c>
      <c r="D184" s="3">
        <f>SUM('%'!D$2:D184)</f>
        <v>97.029849999999968</v>
      </c>
      <c r="E184" s="3">
        <f>SUM('%'!E$2:E184)</f>
        <v>100.00009999999996</v>
      </c>
    </row>
    <row r="185" spans="1:5" x14ac:dyDescent="0.3">
      <c r="A185">
        <v>699</v>
      </c>
      <c r="B185" s="3">
        <f>SUM('%'!B$2:B185)</f>
        <v>100.00014999999995</v>
      </c>
      <c r="C185" s="3">
        <f>SUM('%'!C$2:C185)</f>
        <v>99.505169999999936</v>
      </c>
      <c r="D185" s="3">
        <f>SUM('%'!D$2:D185)</f>
        <v>97.194869999999966</v>
      </c>
      <c r="E185" s="3">
        <f>SUM('%'!E$2:E185)</f>
        <v>100.00009999999996</v>
      </c>
    </row>
    <row r="186" spans="1:5" x14ac:dyDescent="0.3">
      <c r="A186">
        <v>700</v>
      </c>
      <c r="B186" s="3">
        <f>SUM('%'!B$2:B186)</f>
        <v>100.00014999999995</v>
      </c>
      <c r="C186" s="3">
        <f>SUM('%'!C$2:C186)</f>
        <v>99.835199999999929</v>
      </c>
      <c r="D186" s="3">
        <f>SUM('%'!D$2:D186)</f>
        <v>98.184969999999964</v>
      </c>
      <c r="E186" s="3">
        <f>SUM('%'!E$2:E186)</f>
        <v>100.00009999999996</v>
      </c>
    </row>
    <row r="187" spans="1:5" x14ac:dyDescent="0.3">
      <c r="A187">
        <v>750</v>
      </c>
      <c r="B187" s="3">
        <f>SUM('%'!B$2:B187)</f>
        <v>100.00014999999995</v>
      </c>
      <c r="C187" s="3">
        <f>SUM('%'!C$2:C187)</f>
        <v>100.00021999999993</v>
      </c>
      <c r="D187" s="3">
        <f>SUM('%'!D$2:D187)</f>
        <v>98.349989999999963</v>
      </c>
      <c r="E187" s="3">
        <f>SUM('%'!E$2:E187)</f>
        <v>100.00009999999996</v>
      </c>
    </row>
    <row r="188" spans="1:5" x14ac:dyDescent="0.3">
      <c r="A188">
        <v>800</v>
      </c>
      <c r="B188" s="3">
        <f>SUM('%'!B$2:B188)</f>
        <v>100.00014999999995</v>
      </c>
      <c r="C188" s="3">
        <f>SUM('%'!C$2:C188)</f>
        <v>100.00021999999993</v>
      </c>
      <c r="D188" s="3">
        <f>SUM('%'!D$2:D188)</f>
        <v>98.680019999999956</v>
      </c>
      <c r="E188" s="3">
        <f>SUM('%'!E$2:E188)</f>
        <v>100.00009999999996</v>
      </c>
    </row>
    <row r="189" spans="1:5" x14ac:dyDescent="0.3">
      <c r="A189">
        <v>900</v>
      </c>
      <c r="B189" s="3">
        <f>SUM('%'!B$2:B189)</f>
        <v>100.00014999999995</v>
      </c>
      <c r="C189" s="3">
        <f>SUM('%'!C$2:C189)</f>
        <v>100.00021999999993</v>
      </c>
      <c r="D189" s="3">
        <f>SUM('%'!D$2:D189)</f>
        <v>99.175069999999963</v>
      </c>
      <c r="E189" s="3">
        <f>SUM('%'!E$2:E189)</f>
        <v>100.00009999999996</v>
      </c>
    </row>
    <row r="190" spans="1:5" x14ac:dyDescent="0.3">
      <c r="A190">
        <v>1000</v>
      </c>
      <c r="B190" s="3">
        <f>SUM('%'!B$2:B190)</f>
        <v>100.00014999999995</v>
      </c>
      <c r="C190" s="3">
        <f>SUM('%'!C$2:C190)</f>
        <v>100.00021999999993</v>
      </c>
      <c r="D190" s="3">
        <f>SUM('%'!D$2:D190)</f>
        <v>99.835139999999967</v>
      </c>
      <c r="E190" s="3">
        <f>SUM('%'!E$2:E190)</f>
        <v>100.00009999999996</v>
      </c>
    </row>
    <row r="191" spans="1:5" x14ac:dyDescent="0.3">
      <c r="A191">
        <v>3000</v>
      </c>
      <c r="B191" s="3">
        <f>SUM('%'!B$2:B191)</f>
        <v>100.00014999999995</v>
      </c>
      <c r="C191" s="3">
        <f>SUM('%'!C$2:C191)</f>
        <v>100.00021999999993</v>
      </c>
      <c r="D191" s="3">
        <f>SUM('%'!D$2:D191)</f>
        <v>100.00015999999997</v>
      </c>
      <c r="E191" s="3">
        <f>SUM('%'!E$2:E191)</f>
        <v>100.00009999999996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42CBA-FD9F-C84A-8EB3-08ADCB64FC02}">
  <dimension ref="A1:E191"/>
  <sheetViews>
    <sheetView zoomScale="91" workbookViewId="0">
      <selection activeCell="C1" sqref="C1"/>
    </sheetView>
  </sheetViews>
  <sheetFormatPr defaultColWidth="11.19921875" defaultRowHeight="15.6" x14ac:dyDescent="0.3"/>
  <sheetData>
    <row r="1" spans="1:5" x14ac:dyDescent="0.3">
      <c r="A1" s="1" t="s">
        <v>4</v>
      </c>
      <c r="B1" s="1" t="s">
        <v>6</v>
      </c>
      <c r="C1" s="1" t="s">
        <v>1</v>
      </c>
      <c r="D1" s="1" t="s">
        <v>2</v>
      </c>
      <c r="E1" s="1" t="s">
        <v>5</v>
      </c>
    </row>
    <row r="2" spans="1:5" x14ac:dyDescent="0.3">
      <c r="A2">
        <v>10</v>
      </c>
      <c r="B2" s="3">
        <f>100-'Cumulative, %'!B2</f>
        <v>100</v>
      </c>
      <c r="C2" s="3">
        <f>'Cumulative, %'!C2</f>
        <v>0</v>
      </c>
      <c r="D2" s="3">
        <f>'Cumulative, %'!D2</f>
        <v>0</v>
      </c>
      <c r="E2" s="3">
        <f>100-'Cumulative, %'!E2</f>
        <v>95.874589999999998</v>
      </c>
    </row>
    <row r="3" spans="1:5" x14ac:dyDescent="0.3">
      <c r="A3">
        <v>13</v>
      </c>
      <c r="B3" s="3">
        <f>100-'Cumulative, %'!B3</f>
        <v>100</v>
      </c>
      <c r="C3" s="3">
        <f>'Cumulative, %'!C3</f>
        <v>0</v>
      </c>
      <c r="D3" s="3">
        <f>'Cumulative, %'!D3</f>
        <v>0</v>
      </c>
      <c r="E3" s="3">
        <f>100-'Cumulative, %'!E3</f>
        <v>95.709569999999999</v>
      </c>
    </row>
    <row r="4" spans="1:5" x14ac:dyDescent="0.3">
      <c r="A4">
        <v>14</v>
      </c>
      <c r="B4" s="3">
        <f>100-'Cumulative, %'!B4</f>
        <v>100</v>
      </c>
      <c r="C4" s="3">
        <f>'Cumulative, %'!C4</f>
        <v>0</v>
      </c>
      <c r="D4" s="3">
        <f>'Cumulative, %'!D4</f>
        <v>0</v>
      </c>
      <c r="E4" s="3">
        <f>100-'Cumulative, %'!E4</f>
        <v>95.544550000000001</v>
      </c>
    </row>
    <row r="5" spans="1:5" x14ac:dyDescent="0.3">
      <c r="A5">
        <v>15</v>
      </c>
      <c r="B5" s="3">
        <f>100-'Cumulative, %'!B5</f>
        <v>100</v>
      </c>
      <c r="C5" s="3">
        <f>'Cumulative, %'!C5</f>
        <v>0</v>
      </c>
      <c r="D5" s="3">
        <f>'Cumulative, %'!D5</f>
        <v>0</v>
      </c>
      <c r="E5" s="3">
        <f>100-'Cumulative, %'!E5</f>
        <v>95.214519999999993</v>
      </c>
    </row>
    <row r="6" spans="1:5" x14ac:dyDescent="0.3">
      <c r="A6">
        <v>18</v>
      </c>
      <c r="B6" s="3">
        <f>100-'Cumulative, %'!B6</f>
        <v>100</v>
      </c>
      <c r="C6" s="3">
        <f>'Cumulative, %'!C6</f>
        <v>0</v>
      </c>
      <c r="D6" s="3">
        <f>'Cumulative, %'!D6</f>
        <v>0</v>
      </c>
      <c r="E6" s="3">
        <f>100-'Cumulative, %'!E6</f>
        <v>95.049499999999995</v>
      </c>
    </row>
    <row r="7" spans="1:5" x14ac:dyDescent="0.3">
      <c r="A7">
        <v>19</v>
      </c>
      <c r="B7" s="3">
        <f>100-'Cumulative, %'!B7</f>
        <v>99.669970000000006</v>
      </c>
      <c r="C7" s="3">
        <f>'Cumulative, %'!C7</f>
        <v>0</v>
      </c>
      <c r="D7" s="3">
        <f>'Cumulative, %'!D7</f>
        <v>0</v>
      </c>
      <c r="E7" s="3">
        <f>100-'Cumulative, %'!E7</f>
        <v>95.049499999999995</v>
      </c>
    </row>
    <row r="8" spans="1:5" x14ac:dyDescent="0.3">
      <c r="A8">
        <v>20</v>
      </c>
      <c r="B8" s="3">
        <f>100-'Cumulative, %'!B8</f>
        <v>99.17492</v>
      </c>
      <c r="C8" s="3">
        <f>'Cumulative, %'!C8</f>
        <v>0.16502</v>
      </c>
      <c r="D8" s="3">
        <f>'Cumulative, %'!D8</f>
        <v>0</v>
      </c>
      <c r="E8" s="3">
        <f>100-'Cumulative, %'!E8</f>
        <v>93.399330000000006</v>
      </c>
    </row>
    <row r="9" spans="1:5" x14ac:dyDescent="0.3">
      <c r="A9">
        <v>21</v>
      </c>
      <c r="B9" s="3">
        <f>100-'Cumulative, %'!B9</f>
        <v>99.009900000000002</v>
      </c>
      <c r="C9" s="3">
        <f>'Cumulative, %'!C9</f>
        <v>0.33004</v>
      </c>
      <c r="D9" s="3">
        <f>'Cumulative, %'!D9</f>
        <v>0.16502</v>
      </c>
      <c r="E9" s="3">
        <f>100-'Cumulative, %'!E9</f>
        <v>93.234309999999994</v>
      </c>
    </row>
    <row r="10" spans="1:5" x14ac:dyDescent="0.3">
      <c r="A10">
        <v>22</v>
      </c>
      <c r="B10" s="3">
        <f>100-'Cumulative, %'!B10</f>
        <v>98.844880000000003</v>
      </c>
      <c r="C10" s="3">
        <f>'Cumulative, %'!C10</f>
        <v>0.49506</v>
      </c>
      <c r="D10" s="3">
        <f>'Cumulative, %'!D10</f>
        <v>0.33004</v>
      </c>
      <c r="E10" s="3">
        <f>100-'Cumulative, %'!E10</f>
        <v>93.234309999999994</v>
      </c>
    </row>
    <row r="11" spans="1:5" x14ac:dyDescent="0.3">
      <c r="A11">
        <v>23</v>
      </c>
      <c r="B11" s="3">
        <f>100-'Cumulative, %'!B11</f>
        <v>98.844880000000003</v>
      </c>
      <c r="C11" s="3">
        <f>'Cumulative, %'!C11</f>
        <v>0.66008</v>
      </c>
      <c r="D11" s="3">
        <f>'Cumulative, %'!D11</f>
        <v>0.49506</v>
      </c>
      <c r="E11" s="3">
        <f>100-'Cumulative, %'!E11</f>
        <v>93.234309999999994</v>
      </c>
    </row>
    <row r="12" spans="1:5" x14ac:dyDescent="0.3">
      <c r="A12">
        <v>24</v>
      </c>
      <c r="B12" s="3">
        <f>100-'Cumulative, %'!B12</f>
        <v>98.844880000000003</v>
      </c>
      <c r="C12" s="3">
        <f>'Cumulative, %'!C12</f>
        <v>0.66008</v>
      </c>
      <c r="D12" s="3">
        <f>'Cumulative, %'!D12</f>
        <v>0.66008</v>
      </c>
      <c r="E12" s="3">
        <f>100-'Cumulative, %'!E12</f>
        <v>93.234309999999994</v>
      </c>
    </row>
    <row r="13" spans="1:5" x14ac:dyDescent="0.3">
      <c r="A13">
        <v>25</v>
      </c>
      <c r="B13" s="3">
        <f>100-'Cumulative, %'!B13</f>
        <v>98.844880000000003</v>
      </c>
      <c r="C13" s="3">
        <f>'Cumulative, %'!C13</f>
        <v>0.82509999999999994</v>
      </c>
      <c r="D13" s="3">
        <f>'Cumulative, %'!D13</f>
        <v>0.66008</v>
      </c>
      <c r="E13" s="3">
        <f>100-'Cumulative, %'!E13</f>
        <v>93.069289999999995</v>
      </c>
    </row>
    <row r="14" spans="1:5" x14ac:dyDescent="0.3">
      <c r="A14">
        <v>26</v>
      </c>
      <c r="B14" s="3">
        <f>100-'Cumulative, %'!B14</f>
        <v>98.844880000000003</v>
      </c>
      <c r="C14" s="3">
        <f>'Cumulative, %'!C14</f>
        <v>0.82509999999999994</v>
      </c>
      <c r="D14" s="3">
        <f>'Cumulative, %'!D14</f>
        <v>0.82509999999999994</v>
      </c>
      <c r="E14" s="3">
        <f>100-'Cumulative, %'!E14</f>
        <v>93.069289999999995</v>
      </c>
    </row>
    <row r="15" spans="1:5" x14ac:dyDescent="0.3">
      <c r="A15">
        <v>27</v>
      </c>
      <c r="B15" s="3">
        <f>100-'Cumulative, %'!B15</f>
        <v>98.679860000000005</v>
      </c>
      <c r="C15" s="3">
        <f>'Cumulative, %'!C15</f>
        <v>0.82509999999999994</v>
      </c>
      <c r="D15" s="3">
        <f>'Cumulative, %'!D15</f>
        <v>0.82509999999999994</v>
      </c>
      <c r="E15" s="3">
        <f>100-'Cumulative, %'!E15</f>
        <v>93.069289999999995</v>
      </c>
    </row>
    <row r="16" spans="1:5" x14ac:dyDescent="0.3">
      <c r="A16">
        <v>28</v>
      </c>
      <c r="B16" s="3">
        <f>100-'Cumulative, %'!B16</f>
        <v>98.679860000000005</v>
      </c>
      <c r="C16" s="3">
        <f>'Cumulative, %'!C16</f>
        <v>0.99011999999999989</v>
      </c>
      <c r="D16" s="3">
        <f>'Cumulative, %'!D16</f>
        <v>0.82509999999999994</v>
      </c>
      <c r="E16" s="3">
        <f>100-'Cumulative, %'!E16</f>
        <v>93.069289999999995</v>
      </c>
    </row>
    <row r="17" spans="1:5" x14ac:dyDescent="0.3">
      <c r="A17">
        <v>29</v>
      </c>
      <c r="B17" s="3">
        <f>100-'Cumulative, %'!B17</f>
        <v>98.514840000000007</v>
      </c>
      <c r="C17" s="3">
        <f>'Cumulative, %'!C17</f>
        <v>0.99011999999999989</v>
      </c>
      <c r="D17" s="3">
        <f>'Cumulative, %'!D17</f>
        <v>0.82509999999999994</v>
      </c>
      <c r="E17" s="3">
        <f>100-'Cumulative, %'!E17</f>
        <v>93.069289999999995</v>
      </c>
    </row>
    <row r="18" spans="1:5" x14ac:dyDescent="0.3">
      <c r="A18">
        <v>30</v>
      </c>
      <c r="B18" s="3">
        <f>100-'Cumulative, %'!B18</f>
        <v>98.01979</v>
      </c>
      <c r="C18" s="3">
        <f>'Cumulative, %'!C18</f>
        <v>1.1551399999999998</v>
      </c>
      <c r="D18" s="3">
        <f>'Cumulative, %'!D18</f>
        <v>0.82509999999999994</v>
      </c>
      <c r="E18" s="3">
        <f>100-'Cumulative, %'!E18</f>
        <v>91.584140000000005</v>
      </c>
    </row>
    <row r="19" spans="1:5" x14ac:dyDescent="0.3">
      <c r="A19">
        <v>33</v>
      </c>
      <c r="B19" s="3">
        <f>100-'Cumulative, %'!B19</f>
        <v>97.854770000000002</v>
      </c>
      <c r="C19" s="3">
        <f>'Cumulative, %'!C19</f>
        <v>1.1551399999999998</v>
      </c>
      <c r="D19" s="3">
        <f>'Cumulative, %'!D19</f>
        <v>0.82509999999999994</v>
      </c>
      <c r="E19" s="3">
        <f>100-'Cumulative, %'!E19</f>
        <v>91.419119999999992</v>
      </c>
    </row>
    <row r="20" spans="1:5" x14ac:dyDescent="0.3">
      <c r="A20">
        <v>35</v>
      </c>
      <c r="B20" s="3">
        <f>100-'Cumulative, %'!B20</f>
        <v>97.689750000000004</v>
      </c>
      <c r="C20" s="3">
        <f>'Cumulative, %'!C20</f>
        <v>1.3201599999999998</v>
      </c>
      <c r="D20" s="3">
        <f>'Cumulative, %'!D20</f>
        <v>0.82509999999999994</v>
      </c>
      <c r="E20" s="3">
        <f>100-'Cumulative, %'!E20</f>
        <v>91.089089999999999</v>
      </c>
    </row>
    <row r="21" spans="1:5" x14ac:dyDescent="0.3">
      <c r="A21">
        <v>40</v>
      </c>
      <c r="B21" s="3">
        <f>100-'Cumulative, %'!B21</f>
        <v>97.359719999999996</v>
      </c>
      <c r="C21" s="3">
        <f>'Cumulative, %'!C21</f>
        <v>1.4851799999999997</v>
      </c>
      <c r="D21" s="3">
        <f>'Cumulative, %'!D21</f>
        <v>0.82509999999999994</v>
      </c>
      <c r="E21" s="3">
        <f>100-'Cumulative, %'!E21</f>
        <v>89.108890000000002</v>
      </c>
    </row>
    <row r="22" spans="1:5" x14ac:dyDescent="0.3">
      <c r="A22">
        <v>45</v>
      </c>
      <c r="B22" s="3">
        <f>100-'Cumulative, %'!B22</f>
        <v>97.194699999999997</v>
      </c>
      <c r="C22" s="3">
        <f>'Cumulative, %'!C22</f>
        <v>1.4851799999999997</v>
      </c>
      <c r="D22" s="3">
        <f>'Cumulative, %'!D22</f>
        <v>0.82509999999999994</v>
      </c>
      <c r="E22" s="3">
        <f>100-'Cumulative, %'!E22</f>
        <v>88.778859999999995</v>
      </c>
    </row>
    <row r="23" spans="1:5" x14ac:dyDescent="0.3">
      <c r="A23">
        <v>48</v>
      </c>
      <c r="B23" s="3">
        <f>100-'Cumulative, %'!B23</f>
        <v>97.029679999999999</v>
      </c>
      <c r="C23" s="3">
        <f>'Cumulative, %'!C23</f>
        <v>1.4851799999999997</v>
      </c>
      <c r="D23" s="3">
        <f>'Cumulative, %'!D23</f>
        <v>0.82509999999999994</v>
      </c>
      <c r="E23" s="3">
        <f>100-'Cumulative, %'!E23</f>
        <v>88.778859999999995</v>
      </c>
    </row>
    <row r="24" spans="1:5" x14ac:dyDescent="0.3">
      <c r="A24">
        <v>49</v>
      </c>
      <c r="B24" s="3">
        <f>100-'Cumulative, %'!B24</f>
        <v>97.029679999999999</v>
      </c>
      <c r="C24" s="3">
        <f>'Cumulative, %'!C24</f>
        <v>1.6501999999999997</v>
      </c>
      <c r="D24" s="3">
        <f>'Cumulative, %'!D24</f>
        <v>0.82509999999999994</v>
      </c>
      <c r="E24" s="3">
        <f>100-'Cumulative, %'!E24</f>
        <v>88.448830000000001</v>
      </c>
    </row>
    <row r="25" spans="1:5" x14ac:dyDescent="0.3">
      <c r="A25">
        <v>50</v>
      </c>
      <c r="B25" s="3">
        <f>100-'Cumulative, %'!B25</f>
        <v>95.049480000000003</v>
      </c>
      <c r="C25" s="3">
        <f>'Cumulative, %'!C25</f>
        <v>2.1452499999999999</v>
      </c>
      <c r="D25" s="3">
        <f>'Cumulative, %'!D25</f>
        <v>0.99011999999999989</v>
      </c>
      <c r="E25" s="3">
        <f>100-'Cumulative, %'!E25</f>
        <v>73.762360000000001</v>
      </c>
    </row>
    <row r="26" spans="1:5" x14ac:dyDescent="0.3">
      <c r="A26">
        <v>53</v>
      </c>
      <c r="B26" s="3">
        <f>100-'Cumulative, %'!B26</f>
        <v>95.049480000000003</v>
      </c>
      <c r="C26" s="3">
        <f>'Cumulative, %'!C26</f>
        <v>2.1452499999999999</v>
      </c>
      <c r="D26" s="3">
        <f>'Cumulative, %'!D26</f>
        <v>0.99011999999999989</v>
      </c>
      <c r="E26" s="3">
        <f>100-'Cumulative, %'!E26</f>
        <v>73.597340000000003</v>
      </c>
    </row>
    <row r="27" spans="1:5" x14ac:dyDescent="0.3">
      <c r="A27">
        <v>54</v>
      </c>
      <c r="B27" s="3">
        <f>100-'Cumulative, %'!B27</f>
        <v>95.049480000000003</v>
      </c>
      <c r="C27" s="3">
        <f>'Cumulative, %'!C27</f>
        <v>2.1452499999999999</v>
      </c>
      <c r="D27" s="3">
        <f>'Cumulative, %'!D27</f>
        <v>0.99011999999999989</v>
      </c>
      <c r="E27" s="3">
        <f>100-'Cumulative, %'!E27</f>
        <v>73.432320000000004</v>
      </c>
    </row>
    <row r="28" spans="1:5" x14ac:dyDescent="0.3">
      <c r="A28">
        <v>55</v>
      </c>
      <c r="B28" s="3">
        <f>100-'Cumulative, %'!B28</f>
        <v>95.049480000000003</v>
      </c>
      <c r="C28" s="3">
        <f>'Cumulative, %'!C28</f>
        <v>2.31027</v>
      </c>
      <c r="D28" s="3">
        <f>'Cumulative, %'!D28</f>
        <v>0.99011999999999989</v>
      </c>
      <c r="E28" s="3">
        <f>100-'Cumulative, %'!E28</f>
        <v>73.102289999999996</v>
      </c>
    </row>
    <row r="29" spans="1:5" x14ac:dyDescent="0.3">
      <c r="A29">
        <v>56</v>
      </c>
      <c r="B29" s="3">
        <f>100-'Cumulative, %'!B29</f>
        <v>94.884460000000004</v>
      </c>
      <c r="C29" s="3">
        <f>'Cumulative, %'!C29</f>
        <v>2.31027</v>
      </c>
      <c r="D29" s="3">
        <f>'Cumulative, %'!D29</f>
        <v>0.99011999999999989</v>
      </c>
      <c r="E29" s="3">
        <f>100-'Cumulative, %'!E29</f>
        <v>72.937269999999998</v>
      </c>
    </row>
    <row r="30" spans="1:5" x14ac:dyDescent="0.3">
      <c r="A30">
        <v>58</v>
      </c>
      <c r="B30" s="3">
        <f>100-'Cumulative, %'!B30</f>
        <v>94.884460000000004</v>
      </c>
      <c r="C30" s="3">
        <f>'Cumulative, %'!C30</f>
        <v>2.31027</v>
      </c>
      <c r="D30" s="3">
        <f>'Cumulative, %'!D30</f>
        <v>0.99011999999999989</v>
      </c>
      <c r="E30" s="3">
        <f>100-'Cumulative, %'!E30</f>
        <v>72.77225</v>
      </c>
    </row>
    <row r="31" spans="1:5" x14ac:dyDescent="0.3">
      <c r="A31">
        <v>60</v>
      </c>
      <c r="B31" s="3">
        <f>100-'Cumulative, %'!B31</f>
        <v>94.554429999999996</v>
      </c>
      <c r="C31" s="3">
        <f>'Cumulative, %'!C31</f>
        <v>2.9703400000000002</v>
      </c>
      <c r="D31" s="3">
        <f>'Cumulative, %'!D31</f>
        <v>1.6501899999999998</v>
      </c>
      <c r="E31" s="3">
        <f>100-'Cumulative, %'!E31</f>
        <v>71.287100000000009</v>
      </c>
    </row>
    <row r="32" spans="1:5" x14ac:dyDescent="0.3">
      <c r="A32">
        <v>65</v>
      </c>
      <c r="B32" s="3">
        <f>100-'Cumulative, %'!B32</f>
        <v>94.389409999999998</v>
      </c>
      <c r="C32" s="3">
        <f>'Cumulative, %'!C32</f>
        <v>2.9703400000000002</v>
      </c>
      <c r="D32" s="3">
        <f>'Cumulative, %'!D32</f>
        <v>1.6501899999999998</v>
      </c>
      <c r="E32" s="3">
        <f>100-'Cumulative, %'!E32</f>
        <v>71.122080000000011</v>
      </c>
    </row>
    <row r="33" spans="1:5" x14ac:dyDescent="0.3">
      <c r="A33">
        <v>66</v>
      </c>
      <c r="B33" s="3">
        <f>100-'Cumulative, %'!B33</f>
        <v>94.389409999999998</v>
      </c>
      <c r="C33" s="3">
        <f>'Cumulative, %'!C33</f>
        <v>3.1353600000000004</v>
      </c>
      <c r="D33" s="3">
        <f>'Cumulative, %'!D33</f>
        <v>1.6501899999999998</v>
      </c>
      <c r="E33" s="3">
        <f>100-'Cumulative, %'!E33</f>
        <v>71.122080000000011</v>
      </c>
    </row>
    <row r="34" spans="1:5" x14ac:dyDescent="0.3">
      <c r="A34">
        <v>67</v>
      </c>
      <c r="B34" s="3">
        <f>100-'Cumulative, %'!B34</f>
        <v>94.389409999999998</v>
      </c>
      <c r="C34" s="3">
        <f>'Cumulative, %'!C34</f>
        <v>3.1353600000000004</v>
      </c>
      <c r="D34" s="3">
        <f>'Cumulative, %'!D34</f>
        <v>1.6501899999999998</v>
      </c>
      <c r="E34" s="3">
        <f>100-'Cumulative, %'!E34</f>
        <v>70.957060000000013</v>
      </c>
    </row>
    <row r="35" spans="1:5" x14ac:dyDescent="0.3">
      <c r="A35">
        <v>69</v>
      </c>
      <c r="B35" s="3">
        <f>100-'Cumulative, %'!B35</f>
        <v>94.22439</v>
      </c>
      <c r="C35" s="3">
        <f>'Cumulative, %'!C35</f>
        <v>3.3003800000000005</v>
      </c>
      <c r="D35" s="3">
        <f>'Cumulative, %'!D35</f>
        <v>1.8152099999999998</v>
      </c>
      <c r="E35" s="3">
        <f>100-'Cumulative, %'!E35</f>
        <v>70.627030000000005</v>
      </c>
    </row>
    <row r="36" spans="1:5" x14ac:dyDescent="0.3">
      <c r="A36">
        <v>70</v>
      </c>
      <c r="B36" s="3">
        <f>100-'Cumulative, %'!B36</f>
        <v>93.234290000000001</v>
      </c>
      <c r="C36" s="3">
        <f>'Cumulative, %'!C36</f>
        <v>3.7954300000000005</v>
      </c>
      <c r="D36" s="3">
        <f>'Cumulative, %'!D36</f>
        <v>2.6402899999999998</v>
      </c>
      <c r="E36" s="3">
        <f>100-'Cumulative, %'!E36</f>
        <v>68.811850000000007</v>
      </c>
    </row>
    <row r="37" spans="1:5" x14ac:dyDescent="0.3">
      <c r="A37">
        <v>71</v>
      </c>
      <c r="B37" s="3">
        <f>100-'Cumulative, %'!B37</f>
        <v>93.234290000000001</v>
      </c>
      <c r="C37" s="3">
        <f>'Cumulative, %'!C37</f>
        <v>3.7954300000000005</v>
      </c>
      <c r="D37" s="3">
        <f>'Cumulative, %'!D37</f>
        <v>2.6402899999999998</v>
      </c>
      <c r="E37" s="3">
        <f>100-'Cumulative, %'!E37</f>
        <v>68.646830000000008</v>
      </c>
    </row>
    <row r="38" spans="1:5" x14ac:dyDescent="0.3">
      <c r="A38">
        <v>72</v>
      </c>
      <c r="B38" s="3">
        <f>100-'Cumulative, %'!B38</f>
        <v>93.069270000000003</v>
      </c>
      <c r="C38" s="3">
        <f>'Cumulative, %'!C38</f>
        <v>3.7954300000000005</v>
      </c>
      <c r="D38" s="3">
        <f>'Cumulative, %'!D38</f>
        <v>2.80531</v>
      </c>
      <c r="E38" s="3">
        <f>100-'Cumulative, %'!E38</f>
        <v>68.646830000000008</v>
      </c>
    </row>
    <row r="39" spans="1:5" x14ac:dyDescent="0.3">
      <c r="A39">
        <v>73</v>
      </c>
      <c r="B39" s="3">
        <f>100-'Cumulative, %'!B39</f>
        <v>93.069270000000003</v>
      </c>
      <c r="C39" s="3">
        <f>'Cumulative, %'!C39</f>
        <v>3.9604500000000007</v>
      </c>
      <c r="D39" s="3">
        <f>'Cumulative, %'!D39</f>
        <v>2.80531</v>
      </c>
      <c r="E39" s="3">
        <f>100-'Cumulative, %'!E39</f>
        <v>68.646830000000008</v>
      </c>
    </row>
    <row r="40" spans="1:5" x14ac:dyDescent="0.3">
      <c r="A40">
        <v>74</v>
      </c>
      <c r="B40" s="3">
        <f>100-'Cumulative, %'!B40</f>
        <v>93.069270000000003</v>
      </c>
      <c r="C40" s="3">
        <f>'Cumulative, %'!C40</f>
        <v>3.9604500000000007</v>
      </c>
      <c r="D40" s="3">
        <f>'Cumulative, %'!D40</f>
        <v>2.9703300000000001</v>
      </c>
      <c r="E40" s="3">
        <f>100-'Cumulative, %'!E40</f>
        <v>68.646830000000008</v>
      </c>
    </row>
    <row r="41" spans="1:5" x14ac:dyDescent="0.3">
      <c r="A41">
        <v>75</v>
      </c>
      <c r="B41" s="3">
        <f>100-'Cumulative, %'!B41</f>
        <v>92.739239999999995</v>
      </c>
      <c r="C41" s="3">
        <f>'Cumulative, %'!C41</f>
        <v>3.9604500000000007</v>
      </c>
      <c r="D41" s="3">
        <f>'Cumulative, %'!D41</f>
        <v>2.9703300000000001</v>
      </c>
      <c r="E41" s="3">
        <f>100-'Cumulative, %'!E41</f>
        <v>68.48181000000001</v>
      </c>
    </row>
    <row r="42" spans="1:5" x14ac:dyDescent="0.3">
      <c r="A42">
        <v>77</v>
      </c>
      <c r="B42" s="3">
        <f>100-'Cumulative, %'!B42</f>
        <v>92.739239999999995</v>
      </c>
      <c r="C42" s="3">
        <f>'Cumulative, %'!C42</f>
        <v>3.9604500000000007</v>
      </c>
      <c r="D42" s="3">
        <f>'Cumulative, %'!D42</f>
        <v>2.9703300000000001</v>
      </c>
      <c r="E42" s="3">
        <f>100-'Cumulative, %'!E42</f>
        <v>68.316790000000012</v>
      </c>
    </row>
    <row r="43" spans="1:5" x14ac:dyDescent="0.3">
      <c r="A43">
        <v>78</v>
      </c>
      <c r="B43" s="3">
        <f>100-'Cumulative, %'!B43</f>
        <v>92.574219999999997</v>
      </c>
      <c r="C43" s="3">
        <f>'Cumulative, %'!C43</f>
        <v>3.9604500000000007</v>
      </c>
      <c r="D43" s="3">
        <f>'Cumulative, %'!D43</f>
        <v>2.9703300000000001</v>
      </c>
      <c r="E43" s="3">
        <f>100-'Cumulative, %'!E43</f>
        <v>68.151770000000013</v>
      </c>
    </row>
    <row r="44" spans="1:5" x14ac:dyDescent="0.3">
      <c r="A44">
        <v>79</v>
      </c>
      <c r="B44" s="3">
        <f>100-'Cumulative, %'!B44</f>
        <v>92.409199999999998</v>
      </c>
      <c r="C44" s="3">
        <f>'Cumulative, %'!C44</f>
        <v>4.2904800000000005</v>
      </c>
      <c r="D44" s="3">
        <f>'Cumulative, %'!D44</f>
        <v>2.9703300000000001</v>
      </c>
      <c r="E44" s="3">
        <f>100-'Cumulative, %'!E44</f>
        <v>67.986750000000001</v>
      </c>
    </row>
    <row r="45" spans="1:5" x14ac:dyDescent="0.3">
      <c r="A45">
        <v>80</v>
      </c>
      <c r="B45" s="3">
        <f>100-'Cumulative, %'!B45</f>
        <v>90.759029999999996</v>
      </c>
      <c r="C45" s="3">
        <f>'Cumulative, %'!C45</f>
        <v>4.6205100000000003</v>
      </c>
      <c r="D45" s="3">
        <f>'Cumulative, %'!D45</f>
        <v>3.30036</v>
      </c>
      <c r="E45" s="3">
        <f>100-'Cumulative, %'!E45</f>
        <v>64.5214</v>
      </c>
    </row>
    <row r="46" spans="1:5" x14ac:dyDescent="0.3">
      <c r="A46">
        <v>86</v>
      </c>
      <c r="B46" s="3">
        <f>100-'Cumulative, %'!B46</f>
        <v>90.759029999999996</v>
      </c>
      <c r="C46" s="3">
        <f>'Cumulative, %'!C46</f>
        <v>4.6205100000000003</v>
      </c>
      <c r="D46" s="3">
        <f>'Cumulative, %'!D46</f>
        <v>3.4653800000000001</v>
      </c>
      <c r="E46" s="3">
        <f>100-'Cumulative, %'!E46</f>
        <v>64.5214</v>
      </c>
    </row>
    <row r="47" spans="1:5" x14ac:dyDescent="0.3">
      <c r="A47">
        <v>87</v>
      </c>
      <c r="B47" s="3">
        <f>100-'Cumulative, %'!B47</f>
        <v>90.759029999999996</v>
      </c>
      <c r="C47" s="3">
        <f>'Cumulative, %'!C47</f>
        <v>4.7855300000000005</v>
      </c>
      <c r="D47" s="3">
        <f>'Cumulative, %'!D47</f>
        <v>3.4653800000000001</v>
      </c>
      <c r="E47" s="3">
        <f>100-'Cumulative, %'!E47</f>
        <v>64.5214</v>
      </c>
    </row>
    <row r="48" spans="1:5" x14ac:dyDescent="0.3">
      <c r="A48">
        <v>89</v>
      </c>
      <c r="B48" s="3">
        <f>100-'Cumulative, %'!B48</f>
        <v>90.594009999999997</v>
      </c>
      <c r="C48" s="3">
        <f>'Cumulative, %'!C48</f>
        <v>4.7855300000000005</v>
      </c>
      <c r="D48" s="3">
        <f>'Cumulative, %'!D48</f>
        <v>3.4653800000000001</v>
      </c>
      <c r="E48" s="3">
        <f>100-'Cumulative, %'!E48</f>
        <v>64.356380000000001</v>
      </c>
    </row>
    <row r="49" spans="1:5" x14ac:dyDescent="0.3">
      <c r="A49">
        <v>90</v>
      </c>
      <c r="B49" s="3">
        <f>100-'Cumulative, %'!B49</f>
        <v>89.603909999999999</v>
      </c>
      <c r="C49" s="3">
        <f>'Cumulative, %'!C49</f>
        <v>5.9406500000000007</v>
      </c>
      <c r="D49" s="3">
        <f>'Cumulative, %'!D49</f>
        <v>3.6304000000000003</v>
      </c>
      <c r="E49" s="3">
        <f>100-'Cumulative, %'!E49</f>
        <v>63.696310000000011</v>
      </c>
    </row>
    <row r="50" spans="1:5" x14ac:dyDescent="0.3">
      <c r="A50">
        <v>95</v>
      </c>
      <c r="B50" s="3">
        <f>100-'Cumulative, %'!B50</f>
        <v>89.603909999999999</v>
      </c>
      <c r="C50" s="3">
        <f>'Cumulative, %'!C50</f>
        <v>6.1056700000000008</v>
      </c>
      <c r="D50" s="3">
        <f>'Cumulative, %'!D50</f>
        <v>3.6304000000000003</v>
      </c>
      <c r="E50" s="3">
        <f>100-'Cumulative, %'!E50</f>
        <v>63.531290000000013</v>
      </c>
    </row>
    <row r="51" spans="1:5" x14ac:dyDescent="0.3">
      <c r="A51">
        <v>97</v>
      </c>
      <c r="B51" s="3">
        <f>100-'Cumulative, %'!B51</f>
        <v>89.438890000000001</v>
      </c>
      <c r="C51" s="3">
        <f>'Cumulative, %'!C51</f>
        <v>6.1056700000000008</v>
      </c>
      <c r="D51" s="3">
        <f>'Cumulative, %'!D51</f>
        <v>3.6304000000000003</v>
      </c>
      <c r="E51" s="3">
        <f>100-'Cumulative, %'!E51</f>
        <v>63.531290000000013</v>
      </c>
    </row>
    <row r="52" spans="1:5" x14ac:dyDescent="0.3">
      <c r="A52">
        <v>98</v>
      </c>
      <c r="B52" s="3">
        <f>100-'Cumulative, %'!B52</f>
        <v>89.438890000000001</v>
      </c>
      <c r="C52" s="3">
        <f>'Cumulative, %'!C52</f>
        <v>6.4357000000000006</v>
      </c>
      <c r="D52" s="3">
        <f>'Cumulative, %'!D52</f>
        <v>3.6304000000000003</v>
      </c>
      <c r="E52" s="3">
        <f>100-'Cumulative, %'!E52</f>
        <v>63.366270000000014</v>
      </c>
    </row>
    <row r="53" spans="1:5" x14ac:dyDescent="0.3">
      <c r="A53">
        <v>99</v>
      </c>
      <c r="B53" s="3">
        <f>100-'Cumulative, %'!B53</f>
        <v>88.118759999999995</v>
      </c>
      <c r="C53" s="3">
        <f>'Cumulative, %'!C53</f>
        <v>6.4357000000000006</v>
      </c>
      <c r="D53" s="3">
        <f>'Cumulative, %'!D53</f>
        <v>3.6304000000000003</v>
      </c>
      <c r="E53" s="3">
        <f>100-'Cumulative, %'!E53</f>
        <v>60.891020000000012</v>
      </c>
    </row>
    <row r="54" spans="1:5" x14ac:dyDescent="0.3">
      <c r="A54">
        <v>100</v>
      </c>
      <c r="B54" s="3">
        <f>100-'Cumulative, %'!B54</f>
        <v>78.38279</v>
      </c>
      <c r="C54" s="3">
        <f>'Cumulative, %'!C54</f>
        <v>8.2508800000000004</v>
      </c>
      <c r="D54" s="3">
        <f>'Cumulative, %'!D54</f>
        <v>4.9505300000000005</v>
      </c>
      <c r="E54" s="3">
        <f>100-'Cumulative, %'!E54</f>
        <v>40.263960000000012</v>
      </c>
    </row>
    <row r="55" spans="1:5" x14ac:dyDescent="0.3">
      <c r="A55">
        <v>101</v>
      </c>
      <c r="B55" s="3">
        <f>100-'Cumulative, %'!B55</f>
        <v>78.38279</v>
      </c>
      <c r="C55" s="3">
        <f>'Cumulative, %'!C55</f>
        <v>8.5809100000000011</v>
      </c>
      <c r="D55" s="3">
        <f>'Cumulative, %'!D55</f>
        <v>5.1155500000000007</v>
      </c>
      <c r="E55" s="3">
        <f>100-'Cumulative, %'!E55</f>
        <v>40.263960000000012</v>
      </c>
    </row>
    <row r="56" spans="1:5" x14ac:dyDescent="0.3">
      <c r="A56">
        <v>102</v>
      </c>
      <c r="B56" s="3">
        <f>100-'Cumulative, %'!B56</f>
        <v>78.38279</v>
      </c>
      <c r="C56" s="3">
        <f>'Cumulative, %'!C56</f>
        <v>8.5809100000000011</v>
      </c>
      <c r="D56" s="3">
        <f>'Cumulative, %'!D56</f>
        <v>5.4455800000000005</v>
      </c>
      <c r="E56" s="3">
        <f>100-'Cumulative, %'!E56</f>
        <v>40.263960000000012</v>
      </c>
    </row>
    <row r="57" spans="1:5" x14ac:dyDescent="0.3">
      <c r="A57">
        <v>105</v>
      </c>
      <c r="B57" s="3">
        <f>100-'Cumulative, %'!B57</f>
        <v>78.38279</v>
      </c>
      <c r="C57" s="3">
        <f>'Cumulative, %'!C57</f>
        <v>8.7459300000000013</v>
      </c>
      <c r="D57" s="3">
        <f>'Cumulative, %'!D57</f>
        <v>5.4455800000000005</v>
      </c>
      <c r="E57" s="3">
        <f>100-'Cumulative, %'!E57</f>
        <v>39.933930000000011</v>
      </c>
    </row>
    <row r="58" spans="1:5" x14ac:dyDescent="0.3">
      <c r="A58">
        <v>106</v>
      </c>
      <c r="B58" s="3">
        <f>100-'Cumulative, %'!B58</f>
        <v>78.38279</v>
      </c>
      <c r="C58" s="3">
        <f>'Cumulative, %'!C58</f>
        <v>8.7459300000000013</v>
      </c>
      <c r="D58" s="3">
        <f>'Cumulative, %'!D58</f>
        <v>5.6106000000000007</v>
      </c>
      <c r="E58" s="3">
        <f>100-'Cumulative, %'!E58</f>
        <v>39.933930000000011</v>
      </c>
    </row>
    <row r="59" spans="1:5" x14ac:dyDescent="0.3">
      <c r="A59">
        <v>110</v>
      </c>
      <c r="B59" s="3">
        <f>100-'Cumulative, %'!B59</f>
        <v>77.887740000000008</v>
      </c>
      <c r="C59" s="3">
        <f>'Cumulative, %'!C59</f>
        <v>9.2409800000000004</v>
      </c>
      <c r="D59" s="3">
        <f>'Cumulative, %'!D59</f>
        <v>5.7756200000000009</v>
      </c>
      <c r="E59" s="3">
        <f>100-'Cumulative, %'!E59</f>
        <v>39.273860000000013</v>
      </c>
    </row>
    <row r="60" spans="1:5" x14ac:dyDescent="0.3">
      <c r="A60">
        <v>115</v>
      </c>
      <c r="B60" s="3">
        <f>100-'Cumulative, %'!B60</f>
        <v>77.72272000000001</v>
      </c>
      <c r="C60" s="3">
        <f>'Cumulative, %'!C60</f>
        <v>9.2409800000000004</v>
      </c>
      <c r="D60" s="3">
        <f>'Cumulative, %'!D60</f>
        <v>5.940640000000001</v>
      </c>
      <c r="E60" s="3">
        <f>100-'Cumulative, %'!E60</f>
        <v>39.273860000000013</v>
      </c>
    </row>
    <row r="61" spans="1:5" x14ac:dyDescent="0.3">
      <c r="A61">
        <v>119</v>
      </c>
      <c r="B61" s="3">
        <f>100-'Cumulative, %'!B61</f>
        <v>77.72272000000001</v>
      </c>
      <c r="C61" s="3">
        <f>'Cumulative, %'!C61</f>
        <v>9.4060000000000006</v>
      </c>
      <c r="D61" s="3">
        <f>'Cumulative, %'!D61</f>
        <v>5.940640000000001</v>
      </c>
      <c r="E61" s="3">
        <f>100-'Cumulative, %'!E61</f>
        <v>39.273860000000013</v>
      </c>
    </row>
    <row r="62" spans="1:5" x14ac:dyDescent="0.3">
      <c r="A62">
        <v>120</v>
      </c>
      <c r="B62" s="3">
        <f>100-'Cumulative, %'!B62</f>
        <v>76.402590000000004</v>
      </c>
      <c r="C62" s="3">
        <f>'Cumulative, %'!C62</f>
        <v>13.366400000000001</v>
      </c>
      <c r="D62" s="3">
        <f>'Cumulative, %'!D62</f>
        <v>7.2607700000000008</v>
      </c>
      <c r="E62" s="3">
        <f>100-'Cumulative, %'!E62</f>
        <v>37.128650000000015</v>
      </c>
    </row>
    <row r="63" spans="1:5" x14ac:dyDescent="0.3">
      <c r="A63">
        <v>125</v>
      </c>
      <c r="B63" s="3">
        <f>100-'Cumulative, %'!B63</f>
        <v>76.237570000000005</v>
      </c>
      <c r="C63" s="3">
        <f>'Cumulative, %'!C63</f>
        <v>13.531420000000001</v>
      </c>
      <c r="D63" s="3">
        <f>'Cumulative, %'!D63</f>
        <v>7.2607700000000008</v>
      </c>
      <c r="E63" s="3">
        <f>100-'Cumulative, %'!E63</f>
        <v>36.963630000000016</v>
      </c>
    </row>
    <row r="64" spans="1:5" x14ac:dyDescent="0.3">
      <c r="A64">
        <v>126</v>
      </c>
      <c r="B64" s="3">
        <f>100-'Cumulative, %'!B64</f>
        <v>76.072550000000007</v>
      </c>
      <c r="C64" s="3">
        <f>'Cumulative, %'!C64</f>
        <v>13.531420000000001</v>
      </c>
      <c r="D64" s="3">
        <f>'Cumulative, %'!D64</f>
        <v>7.2607700000000008</v>
      </c>
      <c r="E64" s="3">
        <f>100-'Cumulative, %'!E64</f>
        <v>36.963630000000016</v>
      </c>
    </row>
    <row r="65" spans="1:5" x14ac:dyDescent="0.3">
      <c r="A65">
        <v>127</v>
      </c>
      <c r="B65" s="3">
        <f>100-'Cumulative, %'!B65</f>
        <v>76.072550000000007</v>
      </c>
      <c r="C65" s="3">
        <f>'Cumulative, %'!C65</f>
        <v>13.696440000000001</v>
      </c>
      <c r="D65" s="3">
        <f>'Cumulative, %'!D65</f>
        <v>7.2607700000000008</v>
      </c>
      <c r="E65" s="3">
        <f>100-'Cumulative, %'!E65</f>
        <v>36.963630000000016</v>
      </c>
    </row>
    <row r="66" spans="1:5" x14ac:dyDescent="0.3">
      <c r="A66">
        <v>128</v>
      </c>
      <c r="B66" s="3">
        <f>100-'Cumulative, %'!B66</f>
        <v>76.072550000000007</v>
      </c>
      <c r="C66" s="3">
        <f>'Cumulative, %'!C66</f>
        <v>13.696440000000001</v>
      </c>
      <c r="D66" s="3">
        <f>'Cumulative, %'!D66</f>
        <v>7.425790000000001</v>
      </c>
      <c r="E66" s="3">
        <f>100-'Cumulative, %'!E66</f>
        <v>36.963630000000016</v>
      </c>
    </row>
    <row r="67" spans="1:5" x14ac:dyDescent="0.3">
      <c r="A67">
        <v>129</v>
      </c>
      <c r="B67" s="3">
        <f>100-'Cumulative, %'!B67</f>
        <v>76.072550000000007</v>
      </c>
      <c r="C67" s="3">
        <f>'Cumulative, %'!C67</f>
        <v>13.861460000000001</v>
      </c>
      <c r="D67" s="3">
        <f>'Cumulative, %'!D67</f>
        <v>7.425790000000001</v>
      </c>
      <c r="E67" s="3">
        <f>100-'Cumulative, %'!E67</f>
        <v>36.798610000000018</v>
      </c>
    </row>
    <row r="68" spans="1:5" x14ac:dyDescent="0.3">
      <c r="A68">
        <v>130</v>
      </c>
      <c r="B68" s="3">
        <f>100-'Cumulative, %'!B68</f>
        <v>75.247470000000007</v>
      </c>
      <c r="C68" s="3">
        <f>'Cumulative, %'!C68</f>
        <v>15.181590000000002</v>
      </c>
      <c r="D68" s="3">
        <f>'Cumulative, %'!D68</f>
        <v>7.7558200000000008</v>
      </c>
      <c r="E68" s="3">
        <f>100-'Cumulative, %'!E68</f>
        <v>35.808510000000012</v>
      </c>
    </row>
    <row r="69" spans="1:5" x14ac:dyDescent="0.3">
      <c r="A69">
        <v>133</v>
      </c>
      <c r="B69" s="3">
        <f>100-'Cumulative, %'!B69</f>
        <v>75.247470000000007</v>
      </c>
      <c r="C69" s="3">
        <f>'Cumulative, %'!C69</f>
        <v>15.181590000000002</v>
      </c>
      <c r="D69" s="3">
        <f>'Cumulative, %'!D69</f>
        <v>7.920840000000001</v>
      </c>
      <c r="E69" s="3">
        <f>100-'Cumulative, %'!E69</f>
        <v>35.808510000000012</v>
      </c>
    </row>
    <row r="70" spans="1:5" x14ac:dyDescent="0.3">
      <c r="A70">
        <v>135</v>
      </c>
      <c r="B70" s="3">
        <f>100-'Cumulative, %'!B70</f>
        <v>75.082450000000009</v>
      </c>
      <c r="C70" s="3">
        <f>'Cumulative, %'!C70</f>
        <v>15.181590000000002</v>
      </c>
      <c r="D70" s="3">
        <f>'Cumulative, %'!D70</f>
        <v>7.920840000000001</v>
      </c>
      <c r="E70" s="3">
        <f>100-'Cumulative, %'!E70</f>
        <v>35.808510000000012</v>
      </c>
    </row>
    <row r="71" spans="1:5" x14ac:dyDescent="0.3">
      <c r="A71">
        <v>138</v>
      </c>
      <c r="B71" s="3">
        <f>100-'Cumulative, %'!B71</f>
        <v>75.082450000000009</v>
      </c>
      <c r="C71" s="3">
        <f>'Cumulative, %'!C71</f>
        <v>15.346610000000002</v>
      </c>
      <c r="D71" s="3">
        <f>'Cumulative, %'!D71</f>
        <v>7.920840000000001</v>
      </c>
      <c r="E71" s="3">
        <f>100-'Cumulative, %'!E71</f>
        <v>35.808510000000012</v>
      </c>
    </row>
    <row r="72" spans="1:5" x14ac:dyDescent="0.3">
      <c r="A72">
        <v>139</v>
      </c>
      <c r="B72" s="3">
        <f>100-'Cumulative, %'!B72</f>
        <v>74.91743000000001</v>
      </c>
      <c r="C72" s="3">
        <f>'Cumulative, %'!C72</f>
        <v>15.346610000000002</v>
      </c>
      <c r="D72" s="3">
        <f>'Cumulative, %'!D72</f>
        <v>8.0858600000000003</v>
      </c>
      <c r="E72" s="3">
        <f>100-'Cumulative, %'!E72</f>
        <v>35.643490000000014</v>
      </c>
    </row>
    <row r="73" spans="1:5" x14ac:dyDescent="0.3">
      <c r="A73">
        <v>140</v>
      </c>
      <c r="B73" s="3">
        <f>100-'Cumulative, %'!B73</f>
        <v>74.09235000000001</v>
      </c>
      <c r="C73" s="3">
        <f>'Cumulative, %'!C73</f>
        <v>16.006680000000003</v>
      </c>
      <c r="D73" s="3">
        <f>'Cumulative, %'!D73</f>
        <v>8.5809099999999994</v>
      </c>
      <c r="E73" s="3">
        <f>100-'Cumulative, %'!E73</f>
        <v>34.15834000000001</v>
      </c>
    </row>
    <row r="74" spans="1:5" x14ac:dyDescent="0.3">
      <c r="A74">
        <v>142</v>
      </c>
      <c r="B74" s="3">
        <f>100-'Cumulative, %'!B74</f>
        <v>73.927330000000012</v>
      </c>
      <c r="C74" s="3">
        <f>'Cumulative, %'!C74</f>
        <v>16.006680000000003</v>
      </c>
      <c r="D74" s="3">
        <f>'Cumulative, %'!D74</f>
        <v>8.5809099999999994</v>
      </c>
      <c r="E74" s="3">
        <f>100-'Cumulative, %'!E74</f>
        <v>34.15834000000001</v>
      </c>
    </row>
    <row r="75" spans="1:5" x14ac:dyDescent="0.3">
      <c r="A75">
        <v>145</v>
      </c>
      <c r="B75" s="3">
        <f>100-'Cumulative, %'!B75</f>
        <v>73.927330000000012</v>
      </c>
      <c r="C75" s="3">
        <f>'Cumulative, %'!C75</f>
        <v>16.006680000000003</v>
      </c>
      <c r="D75" s="3">
        <f>'Cumulative, %'!D75</f>
        <v>8.5809099999999994</v>
      </c>
      <c r="E75" s="3">
        <f>100-'Cumulative, %'!E75</f>
        <v>33.828310000000016</v>
      </c>
    </row>
    <row r="76" spans="1:5" x14ac:dyDescent="0.3">
      <c r="A76">
        <v>146</v>
      </c>
      <c r="B76" s="3">
        <f>100-'Cumulative, %'!B76</f>
        <v>73.927330000000012</v>
      </c>
      <c r="C76" s="3">
        <f>'Cumulative, %'!C76</f>
        <v>16.171700000000001</v>
      </c>
      <c r="D76" s="3">
        <f>'Cumulative, %'!D76</f>
        <v>8.5809099999999994</v>
      </c>
      <c r="E76" s="3">
        <f>100-'Cumulative, %'!E76</f>
        <v>33.828310000000016</v>
      </c>
    </row>
    <row r="77" spans="1:5" x14ac:dyDescent="0.3">
      <c r="A77">
        <v>148</v>
      </c>
      <c r="B77" s="3">
        <f>100-'Cumulative, %'!B77</f>
        <v>73.927330000000012</v>
      </c>
      <c r="C77" s="3">
        <f>'Cumulative, %'!C77</f>
        <v>16.33672</v>
      </c>
      <c r="D77" s="3">
        <f>'Cumulative, %'!D77</f>
        <v>8.5809099999999994</v>
      </c>
      <c r="E77" s="3">
        <f>100-'Cumulative, %'!E77</f>
        <v>33.828310000000016</v>
      </c>
    </row>
    <row r="78" spans="1:5" x14ac:dyDescent="0.3">
      <c r="A78">
        <v>149</v>
      </c>
      <c r="B78" s="3">
        <f>100-'Cumulative, %'!B78</f>
        <v>73.927330000000012</v>
      </c>
      <c r="C78" s="3">
        <f>'Cumulative, %'!C78</f>
        <v>16.66675</v>
      </c>
      <c r="D78" s="3">
        <f>'Cumulative, %'!D78</f>
        <v>8.7459299999999995</v>
      </c>
      <c r="E78" s="3">
        <f>100-'Cumulative, %'!E78</f>
        <v>33.33326000000001</v>
      </c>
    </row>
    <row r="79" spans="1:5" x14ac:dyDescent="0.3">
      <c r="A79">
        <v>150</v>
      </c>
      <c r="B79" s="3">
        <f>100-'Cumulative, %'!B79</f>
        <v>60.560990000000011</v>
      </c>
      <c r="C79" s="3">
        <f>'Cumulative, %'!C79</f>
        <v>20.792159999999999</v>
      </c>
      <c r="D79" s="3">
        <f>'Cumulative, %'!D79</f>
        <v>13.20138</v>
      </c>
      <c r="E79" s="3">
        <f>100-'Cumulative, %'!E79</f>
        <v>18.64679000000001</v>
      </c>
    </row>
    <row r="80" spans="1:5" x14ac:dyDescent="0.3">
      <c r="A80">
        <v>154</v>
      </c>
      <c r="B80" s="3">
        <f>100-'Cumulative, %'!B80</f>
        <v>60.395970000000013</v>
      </c>
      <c r="C80" s="3">
        <f>'Cumulative, %'!C80</f>
        <v>20.792159999999999</v>
      </c>
      <c r="D80" s="3">
        <f>'Cumulative, %'!D80</f>
        <v>13.20138</v>
      </c>
      <c r="E80" s="3">
        <f>100-'Cumulative, %'!E80</f>
        <v>18.64679000000001</v>
      </c>
    </row>
    <row r="81" spans="1:5" x14ac:dyDescent="0.3">
      <c r="A81">
        <v>155</v>
      </c>
      <c r="B81" s="3">
        <f>100-'Cumulative, %'!B81</f>
        <v>60.230950000000014</v>
      </c>
      <c r="C81" s="3">
        <f>'Cumulative, %'!C81</f>
        <v>21.287209999999998</v>
      </c>
      <c r="D81" s="3">
        <f>'Cumulative, %'!D81</f>
        <v>13.20138</v>
      </c>
      <c r="E81" s="3">
        <f>100-'Cumulative, %'!E81</f>
        <v>18.64679000000001</v>
      </c>
    </row>
    <row r="82" spans="1:5" x14ac:dyDescent="0.3">
      <c r="A82">
        <v>159</v>
      </c>
      <c r="B82" s="3">
        <f>100-'Cumulative, %'!B82</f>
        <v>60.230950000000014</v>
      </c>
      <c r="C82" s="3">
        <f>'Cumulative, %'!C82</f>
        <v>21.452229999999997</v>
      </c>
      <c r="D82" s="3">
        <f>'Cumulative, %'!D82</f>
        <v>13.20138</v>
      </c>
      <c r="E82" s="3">
        <f>100-'Cumulative, %'!E82</f>
        <v>18.481770000000012</v>
      </c>
    </row>
    <row r="83" spans="1:5" x14ac:dyDescent="0.3">
      <c r="A83">
        <v>160</v>
      </c>
      <c r="B83" s="3">
        <f>100-'Cumulative, %'!B83</f>
        <v>59.405870000000014</v>
      </c>
      <c r="C83" s="3">
        <f>'Cumulative, %'!C83</f>
        <v>23.102399999999996</v>
      </c>
      <c r="D83" s="3">
        <f>'Cumulative, %'!D83</f>
        <v>14.19148</v>
      </c>
      <c r="E83" s="3">
        <f>100-'Cumulative, %'!E83</f>
        <v>18.481770000000012</v>
      </c>
    </row>
    <row r="84" spans="1:5" x14ac:dyDescent="0.3">
      <c r="A84">
        <v>165</v>
      </c>
      <c r="B84" s="3">
        <f>100-'Cumulative, %'!B84</f>
        <v>59.405870000000014</v>
      </c>
      <c r="C84" s="3">
        <f>'Cumulative, %'!C84</f>
        <v>23.267419999999994</v>
      </c>
      <c r="D84" s="3">
        <f>'Cumulative, %'!D84</f>
        <v>14.19148</v>
      </c>
      <c r="E84" s="3">
        <f>100-'Cumulative, %'!E84</f>
        <v>18.481770000000012</v>
      </c>
    </row>
    <row r="85" spans="1:5" x14ac:dyDescent="0.3">
      <c r="A85">
        <v>170</v>
      </c>
      <c r="B85" s="3">
        <f>100-'Cumulative, %'!B85</f>
        <v>58.745800000000017</v>
      </c>
      <c r="C85" s="3">
        <f>'Cumulative, %'!C85</f>
        <v>24.587549999999993</v>
      </c>
      <c r="D85" s="3">
        <f>'Cumulative, %'!D85</f>
        <v>15.3466</v>
      </c>
      <c r="E85" s="3">
        <f>100-'Cumulative, %'!E85</f>
        <v>17.986720000000005</v>
      </c>
    </row>
    <row r="86" spans="1:5" x14ac:dyDescent="0.3">
      <c r="A86">
        <v>171</v>
      </c>
      <c r="B86" s="3">
        <f>100-'Cumulative, %'!B86</f>
        <v>58.580780000000019</v>
      </c>
      <c r="C86" s="3">
        <f>'Cumulative, %'!C86</f>
        <v>24.587549999999993</v>
      </c>
      <c r="D86" s="3">
        <f>'Cumulative, %'!D86</f>
        <v>15.3466</v>
      </c>
      <c r="E86" s="3">
        <f>100-'Cumulative, %'!E86</f>
        <v>17.986720000000005</v>
      </c>
    </row>
    <row r="87" spans="1:5" x14ac:dyDescent="0.3">
      <c r="A87">
        <v>174</v>
      </c>
      <c r="B87" s="3">
        <f>100-'Cumulative, %'!B87</f>
        <v>58.580780000000019</v>
      </c>
      <c r="C87" s="3">
        <f>'Cumulative, %'!C87</f>
        <v>24.752569999999992</v>
      </c>
      <c r="D87" s="3">
        <f>'Cumulative, %'!D87</f>
        <v>15.3466</v>
      </c>
      <c r="E87" s="3">
        <f>100-'Cumulative, %'!E87</f>
        <v>17.986720000000005</v>
      </c>
    </row>
    <row r="88" spans="1:5" x14ac:dyDescent="0.3">
      <c r="A88">
        <v>175</v>
      </c>
      <c r="B88" s="3">
        <f>100-'Cumulative, %'!B88</f>
        <v>58.580780000000019</v>
      </c>
      <c r="C88" s="3">
        <f>'Cumulative, %'!C88</f>
        <v>24.91758999999999</v>
      </c>
      <c r="D88" s="3">
        <f>'Cumulative, %'!D88</f>
        <v>15.3466</v>
      </c>
      <c r="E88" s="3">
        <f>100-'Cumulative, %'!E88</f>
        <v>17.986720000000005</v>
      </c>
    </row>
    <row r="89" spans="1:5" x14ac:dyDescent="0.3">
      <c r="A89">
        <v>180</v>
      </c>
      <c r="B89" s="3">
        <f>100-'Cumulative, %'!B89</f>
        <v>55.775500000000015</v>
      </c>
      <c r="C89" s="3">
        <f>'Cumulative, %'!C89</f>
        <v>28.382939999999991</v>
      </c>
      <c r="D89" s="3">
        <f>'Cumulative, %'!D89</f>
        <v>16.83175</v>
      </c>
      <c r="E89" s="3">
        <f>100-'Cumulative, %'!E89</f>
        <v>17.161640000000006</v>
      </c>
    </row>
    <row r="90" spans="1:5" x14ac:dyDescent="0.3">
      <c r="A90">
        <v>185</v>
      </c>
      <c r="B90" s="3">
        <f>100-'Cumulative, %'!B90</f>
        <v>55.775500000000015</v>
      </c>
      <c r="C90" s="3">
        <f>'Cumulative, %'!C90</f>
        <v>28.382939999999991</v>
      </c>
      <c r="D90" s="3">
        <f>'Cumulative, %'!D90</f>
        <v>16.83175</v>
      </c>
      <c r="E90" s="3">
        <f>100-'Cumulative, %'!E90</f>
        <v>16.996620000000007</v>
      </c>
    </row>
    <row r="91" spans="1:5" x14ac:dyDescent="0.3">
      <c r="A91">
        <v>188</v>
      </c>
      <c r="B91" s="3">
        <f>100-'Cumulative, %'!B91</f>
        <v>55.610480000000017</v>
      </c>
      <c r="C91" s="3">
        <f>'Cumulative, %'!C91</f>
        <v>28.382939999999991</v>
      </c>
      <c r="D91" s="3">
        <f>'Cumulative, %'!D91</f>
        <v>16.83175</v>
      </c>
      <c r="E91" s="3">
        <f>100-'Cumulative, %'!E91</f>
        <v>16.996620000000007</v>
      </c>
    </row>
    <row r="92" spans="1:5" x14ac:dyDescent="0.3">
      <c r="A92">
        <v>189</v>
      </c>
      <c r="B92" s="3">
        <f>100-'Cumulative, %'!B92</f>
        <v>55.445460000000018</v>
      </c>
      <c r="C92" s="3">
        <f>'Cumulative, %'!C92</f>
        <v>28.382939999999991</v>
      </c>
      <c r="D92" s="3">
        <f>'Cumulative, %'!D92</f>
        <v>16.83175</v>
      </c>
      <c r="E92" s="3">
        <f>100-'Cumulative, %'!E92</f>
        <v>16.996620000000007</v>
      </c>
    </row>
    <row r="93" spans="1:5" x14ac:dyDescent="0.3">
      <c r="A93">
        <v>190</v>
      </c>
      <c r="B93" s="3">
        <f>100-'Cumulative, %'!B93</f>
        <v>54.785390000000021</v>
      </c>
      <c r="C93" s="3">
        <f>'Cumulative, %'!C93</f>
        <v>29.538059999999991</v>
      </c>
      <c r="D93" s="3">
        <f>'Cumulative, %'!D93</f>
        <v>17.16178</v>
      </c>
      <c r="E93" s="3">
        <f>100-'Cumulative, %'!E93</f>
        <v>16.666590000000014</v>
      </c>
    </row>
    <row r="94" spans="1:5" x14ac:dyDescent="0.3">
      <c r="A94">
        <v>194</v>
      </c>
      <c r="B94" s="3">
        <f>100-'Cumulative, %'!B94</f>
        <v>54.620370000000023</v>
      </c>
      <c r="C94" s="3">
        <f>'Cumulative, %'!C94</f>
        <v>29.538059999999991</v>
      </c>
      <c r="D94" s="3">
        <f>'Cumulative, %'!D94</f>
        <v>17.16178</v>
      </c>
      <c r="E94" s="3">
        <f>100-'Cumulative, %'!E94</f>
        <v>16.666590000000014</v>
      </c>
    </row>
    <row r="95" spans="1:5" x14ac:dyDescent="0.3">
      <c r="A95">
        <v>195</v>
      </c>
      <c r="B95" s="3">
        <f>100-'Cumulative, %'!B95</f>
        <v>54.620370000000023</v>
      </c>
      <c r="C95" s="3">
        <f>'Cumulative, %'!C95</f>
        <v>29.538059999999991</v>
      </c>
      <c r="D95" s="3">
        <f>'Cumulative, %'!D95</f>
        <v>17.326799999999999</v>
      </c>
      <c r="E95" s="3">
        <f>100-'Cumulative, %'!E95</f>
        <v>16.501570000000015</v>
      </c>
    </row>
    <row r="96" spans="1:5" x14ac:dyDescent="0.3">
      <c r="A96">
        <v>197</v>
      </c>
      <c r="B96" s="3">
        <f>100-'Cumulative, %'!B96</f>
        <v>54.620370000000023</v>
      </c>
      <c r="C96" s="3">
        <f>'Cumulative, %'!C96</f>
        <v>29.703079999999989</v>
      </c>
      <c r="D96" s="3">
        <f>'Cumulative, %'!D96</f>
        <v>17.326799999999999</v>
      </c>
      <c r="E96" s="3">
        <f>100-'Cumulative, %'!E96</f>
        <v>16.501570000000015</v>
      </c>
    </row>
    <row r="97" spans="1:5" x14ac:dyDescent="0.3">
      <c r="A97">
        <v>198</v>
      </c>
      <c r="B97" s="3">
        <f>100-'Cumulative, %'!B97</f>
        <v>54.620370000000023</v>
      </c>
      <c r="C97" s="3">
        <f>'Cumulative, %'!C97</f>
        <v>30.198129999999988</v>
      </c>
      <c r="D97" s="3">
        <f>'Cumulative, %'!D97</f>
        <v>17.326799999999999</v>
      </c>
      <c r="E97" s="3">
        <f>100-'Cumulative, %'!E97</f>
        <v>16.336550000000017</v>
      </c>
    </row>
    <row r="98" spans="1:5" x14ac:dyDescent="0.3">
      <c r="A98">
        <v>199</v>
      </c>
      <c r="B98" s="3">
        <f>100-'Cumulative, %'!B98</f>
        <v>52.640170000000026</v>
      </c>
      <c r="C98" s="3">
        <f>'Cumulative, %'!C98</f>
        <v>30.528159999999989</v>
      </c>
      <c r="D98" s="3">
        <f>'Cumulative, %'!D98</f>
        <v>17.98687</v>
      </c>
      <c r="E98" s="3">
        <f>100-'Cumulative, %'!E98</f>
        <v>15.841500000000011</v>
      </c>
    </row>
    <row r="99" spans="1:5" x14ac:dyDescent="0.3">
      <c r="A99">
        <v>200</v>
      </c>
      <c r="B99" s="3">
        <f>100-'Cumulative, %'!B99</f>
        <v>37.953700000000026</v>
      </c>
      <c r="C99" s="3">
        <f>'Cumulative, %'!C99</f>
        <v>40.099119999999985</v>
      </c>
      <c r="D99" s="3">
        <f>'Cumulative, %'!D99</f>
        <v>26.2377</v>
      </c>
      <c r="E99" s="3">
        <f>100-'Cumulative, %'!E99</f>
        <v>7.7556900000000155</v>
      </c>
    </row>
    <row r="100" spans="1:5" x14ac:dyDescent="0.3">
      <c r="A100">
        <v>205</v>
      </c>
      <c r="B100" s="3">
        <f>100-'Cumulative, %'!B100</f>
        <v>37.953700000000026</v>
      </c>
      <c r="C100" s="3">
        <f>'Cumulative, %'!C100</f>
        <v>40.264139999999983</v>
      </c>
      <c r="D100" s="3">
        <f>'Cumulative, %'!D100</f>
        <v>26.402719999999999</v>
      </c>
      <c r="E100" s="3">
        <f>100-'Cumulative, %'!E100</f>
        <v>7.7556900000000155</v>
      </c>
    </row>
    <row r="101" spans="1:5" x14ac:dyDescent="0.3">
      <c r="A101">
        <v>209</v>
      </c>
      <c r="B101" s="3">
        <f>100-'Cumulative, %'!B101</f>
        <v>37.953700000000026</v>
      </c>
      <c r="C101" s="3">
        <f>'Cumulative, %'!C101</f>
        <v>40.264139999999983</v>
      </c>
      <c r="D101" s="3">
        <f>'Cumulative, %'!D101</f>
        <v>26.567739999999997</v>
      </c>
      <c r="E101" s="3">
        <f>100-'Cumulative, %'!E101</f>
        <v>7.7556900000000155</v>
      </c>
    </row>
    <row r="102" spans="1:5" x14ac:dyDescent="0.3">
      <c r="A102">
        <v>210</v>
      </c>
      <c r="B102" s="3">
        <f>100-'Cumulative, %'!B102</f>
        <v>37.458650000000027</v>
      </c>
      <c r="C102" s="3">
        <f>'Cumulative, %'!C102</f>
        <v>40.429159999999982</v>
      </c>
      <c r="D102" s="3">
        <f>'Cumulative, %'!D102</f>
        <v>27.062789999999996</v>
      </c>
      <c r="E102" s="3">
        <f>100-'Cumulative, %'!E102</f>
        <v>7.4256600000000219</v>
      </c>
    </row>
    <row r="103" spans="1:5" x14ac:dyDescent="0.3">
      <c r="A103">
        <v>215</v>
      </c>
      <c r="B103" s="3">
        <f>100-'Cumulative, %'!B103</f>
        <v>37.293630000000029</v>
      </c>
      <c r="C103" s="3">
        <f>'Cumulative, %'!C103</f>
        <v>40.429159999999982</v>
      </c>
      <c r="D103" s="3">
        <f>'Cumulative, %'!D103</f>
        <v>27.062789999999996</v>
      </c>
      <c r="E103" s="3">
        <f>100-'Cumulative, %'!E103</f>
        <v>7.4256600000000219</v>
      </c>
    </row>
    <row r="104" spans="1:5" x14ac:dyDescent="0.3">
      <c r="A104">
        <v>219</v>
      </c>
      <c r="B104" s="3">
        <f>100-'Cumulative, %'!B104</f>
        <v>37.12861000000003</v>
      </c>
      <c r="C104" s="3">
        <f>'Cumulative, %'!C104</f>
        <v>40.429159999999982</v>
      </c>
      <c r="D104" s="3">
        <f>'Cumulative, %'!D104</f>
        <v>27.062789999999996</v>
      </c>
      <c r="E104" s="3">
        <f>100-'Cumulative, %'!E104</f>
        <v>7.4256600000000219</v>
      </c>
    </row>
    <row r="105" spans="1:5" x14ac:dyDescent="0.3">
      <c r="A105">
        <v>220</v>
      </c>
      <c r="B105" s="3">
        <f>100-'Cumulative, %'!B105</f>
        <v>36.468540000000033</v>
      </c>
      <c r="C105" s="3">
        <f>'Cumulative, %'!C105</f>
        <v>41.749289999999981</v>
      </c>
      <c r="D105" s="3">
        <f>'Cumulative, %'!D105</f>
        <v>27.392819999999997</v>
      </c>
      <c r="E105" s="3">
        <f>100-'Cumulative, %'!E105</f>
        <v>7.0956300000000283</v>
      </c>
    </row>
    <row r="106" spans="1:5" x14ac:dyDescent="0.3">
      <c r="A106">
        <v>221</v>
      </c>
      <c r="B106" s="3">
        <f>100-'Cumulative, %'!B106</f>
        <v>36.303520000000034</v>
      </c>
      <c r="C106" s="3">
        <f>'Cumulative, %'!C106</f>
        <v>41.749289999999981</v>
      </c>
      <c r="D106" s="3">
        <f>'Cumulative, %'!D106</f>
        <v>27.392819999999997</v>
      </c>
      <c r="E106" s="3">
        <f>100-'Cumulative, %'!E106</f>
        <v>7.0956300000000283</v>
      </c>
    </row>
    <row r="107" spans="1:5" x14ac:dyDescent="0.3">
      <c r="A107">
        <v>225</v>
      </c>
      <c r="B107" s="3">
        <f>100-'Cumulative, %'!B107</f>
        <v>36.303520000000034</v>
      </c>
      <c r="C107" s="3">
        <f>'Cumulative, %'!C107</f>
        <v>41.914309999999979</v>
      </c>
      <c r="D107" s="3">
        <f>'Cumulative, %'!D107</f>
        <v>27.392819999999997</v>
      </c>
      <c r="E107" s="3">
        <f>100-'Cumulative, %'!E107</f>
        <v>7.0956300000000283</v>
      </c>
    </row>
    <row r="108" spans="1:5" x14ac:dyDescent="0.3">
      <c r="A108">
        <v>229</v>
      </c>
      <c r="B108" s="3">
        <f>100-'Cumulative, %'!B108</f>
        <v>36.138500000000036</v>
      </c>
      <c r="C108" s="3">
        <f>'Cumulative, %'!C108</f>
        <v>42.079329999999977</v>
      </c>
      <c r="D108" s="3">
        <f>'Cumulative, %'!D108</f>
        <v>27.392819999999997</v>
      </c>
      <c r="E108" s="3">
        <f>100-'Cumulative, %'!E108</f>
        <v>7.0956300000000283</v>
      </c>
    </row>
    <row r="109" spans="1:5" x14ac:dyDescent="0.3">
      <c r="A109">
        <v>230</v>
      </c>
      <c r="B109" s="3">
        <f>100-'Cumulative, %'!B109</f>
        <v>35.64345000000003</v>
      </c>
      <c r="C109" s="3">
        <f>'Cumulative, %'!C109</f>
        <v>43.564479999999975</v>
      </c>
      <c r="D109" s="3">
        <f>'Cumulative, %'!D109</f>
        <v>29.207999999999998</v>
      </c>
      <c r="E109" s="3">
        <f>100-'Cumulative, %'!E109</f>
        <v>6.7656000000000347</v>
      </c>
    </row>
    <row r="110" spans="1:5" x14ac:dyDescent="0.3">
      <c r="A110">
        <v>237</v>
      </c>
      <c r="B110" s="3">
        <f>100-'Cumulative, %'!B110</f>
        <v>35.64345000000003</v>
      </c>
      <c r="C110" s="3">
        <f>'Cumulative, %'!C110</f>
        <v>43.564479999999975</v>
      </c>
      <c r="D110" s="3">
        <f>'Cumulative, %'!D110</f>
        <v>29.207999999999998</v>
      </c>
      <c r="E110" s="3">
        <f>100-'Cumulative, %'!E110</f>
        <v>6.6005800000000363</v>
      </c>
    </row>
    <row r="111" spans="1:5" x14ac:dyDescent="0.3">
      <c r="A111">
        <v>238</v>
      </c>
      <c r="B111" s="3">
        <f>100-'Cumulative, %'!B111</f>
        <v>35.478430000000031</v>
      </c>
      <c r="C111" s="3">
        <f>'Cumulative, %'!C111</f>
        <v>43.564479999999975</v>
      </c>
      <c r="D111" s="3">
        <f>'Cumulative, %'!D111</f>
        <v>29.207999999999998</v>
      </c>
      <c r="E111" s="3">
        <f>100-'Cumulative, %'!E111</f>
        <v>6.6005800000000363</v>
      </c>
    </row>
    <row r="112" spans="1:5" x14ac:dyDescent="0.3">
      <c r="A112">
        <v>239</v>
      </c>
      <c r="B112" s="3">
        <f>100-'Cumulative, %'!B112</f>
        <v>35.478430000000031</v>
      </c>
      <c r="C112" s="3">
        <f>'Cumulative, %'!C112</f>
        <v>43.729499999999973</v>
      </c>
      <c r="D112" s="3">
        <f>'Cumulative, %'!D112</f>
        <v>29.207999999999998</v>
      </c>
      <c r="E112" s="3">
        <f>100-'Cumulative, %'!E112</f>
        <v>6.4355600000000379</v>
      </c>
    </row>
    <row r="113" spans="1:5" x14ac:dyDescent="0.3">
      <c r="A113">
        <v>240</v>
      </c>
      <c r="B113" s="3">
        <f>100-'Cumulative, %'!B113</f>
        <v>34.818360000000027</v>
      </c>
      <c r="C113" s="3">
        <f>'Cumulative, %'!C113</f>
        <v>44.224549999999972</v>
      </c>
      <c r="D113" s="3">
        <f>'Cumulative, %'!D113</f>
        <v>29.703049999999998</v>
      </c>
      <c r="E113" s="3">
        <f>100-'Cumulative, %'!E113</f>
        <v>6.4355600000000379</v>
      </c>
    </row>
    <row r="114" spans="1:5" x14ac:dyDescent="0.3">
      <c r="A114">
        <v>244</v>
      </c>
      <c r="B114" s="3">
        <f>100-'Cumulative, %'!B114</f>
        <v>34.818360000000027</v>
      </c>
      <c r="C114" s="3">
        <f>'Cumulative, %'!C114</f>
        <v>44.224549999999972</v>
      </c>
      <c r="D114" s="3">
        <f>'Cumulative, %'!D114</f>
        <v>29.703049999999998</v>
      </c>
      <c r="E114" s="3">
        <f>100-'Cumulative, %'!E114</f>
        <v>6.2705400000000395</v>
      </c>
    </row>
    <row r="115" spans="1:5" x14ac:dyDescent="0.3">
      <c r="A115">
        <v>245</v>
      </c>
      <c r="B115" s="3">
        <f>100-'Cumulative, %'!B115</f>
        <v>34.653340000000028</v>
      </c>
      <c r="C115" s="3">
        <f>'Cumulative, %'!C115</f>
        <v>44.224549999999972</v>
      </c>
      <c r="D115" s="3">
        <f>'Cumulative, %'!D115</f>
        <v>29.703049999999998</v>
      </c>
      <c r="E115" s="3">
        <f>100-'Cumulative, %'!E115</f>
        <v>6.2705400000000395</v>
      </c>
    </row>
    <row r="116" spans="1:5" x14ac:dyDescent="0.3">
      <c r="A116">
        <v>246</v>
      </c>
      <c r="B116" s="3">
        <f>100-'Cumulative, %'!B116</f>
        <v>34.653340000000028</v>
      </c>
      <c r="C116" s="3">
        <f>'Cumulative, %'!C116</f>
        <v>44.389569999999971</v>
      </c>
      <c r="D116" s="3">
        <f>'Cumulative, %'!D116</f>
        <v>29.703049999999998</v>
      </c>
      <c r="E116" s="3">
        <f>100-'Cumulative, %'!E116</f>
        <v>6.2705400000000395</v>
      </c>
    </row>
    <row r="117" spans="1:5" x14ac:dyDescent="0.3">
      <c r="A117">
        <v>247</v>
      </c>
      <c r="B117" s="3">
        <f>100-'Cumulative, %'!B117</f>
        <v>34.48832000000003</v>
      </c>
      <c r="C117" s="3">
        <f>'Cumulative, %'!C117</f>
        <v>44.389569999999971</v>
      </c>
      <c r="D117" s="3">
        <f>'Cumulative, %'!D117</f>
        <v>29.868069999999996</v>
      </c>
      <c r="E117" s="3">
        <f>100-'Cumulative, %'!E117</f>
        <v>6.2705400000000395</v>
      </c>
    </row>
    <row r="118" spans="1:5" x14ac:dyDescent="0.3">
      <c r="A118">
        <v>249</v>
      </c>
      <c r="B118" s="3">
        <f>100-'Cumulative, %'!B118</f>
        <v>33.993270000000024</v>
      </c>
      <c r="C118" s="3">
        <f>'Cumulative, %'!C118</f>
        <v>45.544689999999967</v>
      </c>
      <c r="D118" s="3">
        <f>'Cumulative, %'!D118</f>
        <v>29.868069999999996</v>
      </c>
      <c r="E118" s="3">
        <f>100-'Cumulative, %'!E118</f>
        <v>6.1055200000000411</v>
      </c>
    </row>
    <row r="119" spans="1:5" x14ac:dyDescent="0.3">
      <c r="A119">
        <v>250</v>
      </c>
      <c r="B119" s="3">
        <f>100-'Cumulative, %'!B119</f>
        <v>23.597230000000025</v>
      </c>
      <c r="C119" s="3">
        <f>'Cumulative, %'!C119</f>
        <v>54.125549999999969</v>
      </c>
      <c r="D119" s="3">
        <f>'Cumulative, %'!D119</f>
        <v>36.798759999999994</v>
      </c>
      <c r="E119" s="3">
        <f>100-'Cumulative, %'!E119</f>
        <v>3.6302700000000385</v>
      </c>
    </row>
    <row r="120" spans="1:5" x14ac:dyDescent="0.3">
      <c r="A120">
        <v>255</v>
      </c>
      <c r="B120" s="3">
        <f>100-'Cumulative, %'!B120</f>
        <v>23.597230000000025</v>
      </c>
      <c r="C120" s="3">
        <f>'Cumulative, %'!C120</f>
        <v>54.620599999999968</v>
      </c>
      <c r="D120" s="3">
        <f>'Cumulative, %'!D120</f>
        <v>36.798759999999994</v>
      </c>
      <c r="E120" s="3">
        <f>100-'Cumulative, %'!E120</f>
        <v>3.6302700000000385</v>
      </c>
    </row>
    <row r="121" spans="1:5" x14ac:dyDescent="0.3">
      <c r="A121">
        <v>259</v>
      </c>
      <c r="B121" s="3">
        <f>100-'Cumulative, %'!B121</f>
        <v>23.432210000000026</v>
      </c>
      <c r="C121" s="3">
        <f>'Cumulative, %'!C121</f>
        <v>54.620599999999968</v>
      </c>
      <c r="D121" s="3">
        <f>'Cumulative, %'!D121</f>
        <v>36.798759999999994</v>
      </c>
      <c r="E121" s="3">
        <f>100-'Cumulative, %'!E121</f>
        <v>3.6302700000000385</v>
      </c>
    </row>
    <row r="122" spans="1:5" x14ac:dyDescent="0.3">
      <c r="A122">
        <v>260</v>
      </c>
      <c r="B122" s="3">
        <f>100-'Cumulative, %'!B122</f>
        <v>22.93716000000002</v>
      </c>
      <c r="C122" s="3">
        <f>'Cumulative, %'!C122</f>
        <v>55.445679999999967</v>
      </c>
      <c r="D122" s="3">
        <f>'Cumulative, %'!D122</f>
        <v>37.788859999999993</v>
      </c>
      <c r="E122" s="3">
        <f>100-'Cumulative, %'!E122</f>
        <v>3.6302700000000385</v>
      </c>
    </row>
    <row r="123" spans="1:5" x14ac:dyDescent="0.3">
      <c r="A123">
        <v>265</v>
      </c>
      <c r="B123" s="3">
        <f>100-'Cumulative, %'!B123</f>
        <v>22.772140000000022</v>
      </c>
      <c r="C123" s="3">
        <f>'Cumulative, %'!C123</f>
        <v>55.445679999999967</v>
      </c>
      <c r="D123" s="3">
        <f>'Cumulative, %'!D123</f>
        <v>37.788859999999993</v>
      </c>
      <c r="E123" s="3">
        <f>100-'Cumulative, %'!E123</f>
        <v>3.6302700000000385</v>
      </c>
    </row>
    <row r="124" spans="1:5" x14ac:dyDescent="0.3">
      <c r="A124">
        <v>269</v>
      </c>
      <c r="B124" s="3">
        <f>100-'Cumulative, %'!B124</f>
        <v>22.772140000000022</v>
      </c>
      <c r="C124" s="3">
        <f>'Cumulative, %'!C124</f>
        <v>55.610699999999966</v>
      </c>
      <c r="D124" s="3">
        <f>'Cumulative, %'!D124</f>
        <v>37.788859999999993</v>
      </c>
      <c r="E124" s="3">
        <f>100-'Cumulative, %'!E124</f>
        <v>3.6302700000000385</v>
      </c>
    </row>
    <row r="125" spans="1:5" x14ac:dyDescent="0.3">
      <c r="A125">
        <v>270</v>
      </c>
      <c r="B125" s="3">
        <f>100-'Cumulative, %'!B125</f>
        <v>22.277090000000015</v>
      </c>
      <c r="C125" s="3">
        <f>'Cumulative, %'!C125</f>
        <v>56.600799999999964</v>
      </c>
      <c r="D125" s="3">
        <f>'Cumulative, %'!D125</f>
        <v>38.778959999999991</v>
      </c>
      <c r="E125" s="3">
        <f>100-'Cumulative, %'!E125</f>
        <v>3.6302700000000385</v>
      </c>
    </row>
    <row r="126" spans="1:5" x14ac:dyDescent="0.3">
      <c r="A126">
        <v>273</v>
      </c>
      <c r="B126" s="3">
        <f>100-'Cumulative, %'!B126</f>
        <v>22.277090000000015</v>
      </c>
      <c r="C126" s="3">
        <f>'Cumulative, %'!C126</f>
        <v>56.765819999999962</v>
      </c>
      <c r="D126" s="3">
        <f>'Cumulative, %'!D126</f>
        <v>38.778959999999991</v>
      </c>
      <c r="E126" s="3">
        <f>100-'Cumulative, %'!E126</f>
        <v>3.6302700000000385</v>
      </c>
    </row>
    <row r="127" spans="1:5" x14ac:dyDescent="0.3">
      <c r="A127">
        <v>275</v>
      </c>
      <c r="B127" s="3">
        <f>100-'Cumulative, %'!B127</f>
        <v>22.277090000000015</v>
      </c>
      <c r="C127" s="3">
        <f>'Cumulative, %'!C127</f>
        <v>56.930839999999961</v>
      </c>
      <c r="D127" s="3">
        <f>'Cumulative, %'!D127</f>
        <v>38.778959999999991</v>
      </c>
      <c r="E127" s="3">
        <f>100-'Cumulative, %'!E127</f>
        <v>3.6302700000000385</v>
      </c>
    </row>
    <row r="128" spans="1:5" x14ac:dyDescent="0.3">
      <c r="A128">
        <v>279</v>
      </c>
      <c r="B128" s="3">
        <f>100-'Cumulative, %'!B128</f>
        <v>22.112070000000017</v>
      </c>
      <c r="C128" s="3">
        <f>'Cumulative, %'!C128</f>
        <v>57.095859999999959</v>
      </c>
      <c r="D128" s="3">
        <f>'Cumulative, %'!D128</f>
        <v>38.943979999999989</v>
      </c>
      <c r="E128" s="3">
        <f>100-'Cumulative, %'!E128</f>
        <v>3.6302700000000385</v>
      </c>
    </row>
    <row r="129" spans="1:5" x14ac:dyDescent="0.3">
      <c r="A129">
        <v>280</v>
      </c>
      <c r="B129" s="3">
        <f>100-'Cumulative, %'!B129</f>
        <v>20.296890000000019</v>
      </c>
      <c r="C129" s="3">
        <f>'Cumulative, %'!C129</f>
        <v>60.066159999999961</v>
      </c>
      <c r="D129" s="3">
        <f>'Cumulative, %'!D129</f>
        <v>39.769059999999989</v>
      </c>
      <c r="E129" s="3">
        <f>100-'Cumulative, %'!E129</f>
        <v>3.3002400000000449</v>
      </c>
    </row>
    <row r="130" spans="1:5" x14ac:dyDescent="0.3">
      <c r="A130">
        <v>288</v>
      </c>
      <c r="B130" s="3">
        <f>100-'Cumulative, %'!B130</f>
        <v>20.296890000000019</v>
      </c>
      <c r="C130" s="3">
        <f>'Cumulative, %'!C130</f>
        <v>60.231179999999959</v>
      </c>
      <c r="D130" s="3">
        <f>'Cumulative, %'!D130</f>
        <v>39.769059999999989</v>
      </c>
      <c r="E130" s="3">
        <f>100-'Cumulative, %'!E130</f>
        <v>3.3002400000000449</v>
      </c>
    </row>
    <row r="131" spans="1:5" x14ac:dyDescent="0.3">
      <c r="A131">
        <v>289</v>
      </c>
      <c r="B131" s="3">
        <f>100-'Cumulative, %'!B131</f>
        <v>20.296890000000019</v>
      </c>
      <c r="C131" s="3">
        <f>'Cumulative, %'!C131</f>
        <v>60.231179999999959</v>
      </c>
      <c r="D131" s="3">
        <f>'Cumulative, %'!D131</f>
        <v>40.09908999999999</v>
      </c>
      <c r="E131" s="3">
        <f>100-'Cumulative, %'!E131</f>
        <v>3.3002400000000449</v>
      </c>
    </row>
    <row r="132" spans="1:5" x14ac:dyDescent="0.3">
      <c r="A132">
        <v>290</v>
      </c>
      <c r="B132" s="3">
        <f>100-'Cumulative, %'!B132</f>
        <v>19.966860000000025</v>
      </c>
      <c r="C132" s="3">
        <f>'Cumulative, %'!C132</f>
        <v>60.891249999999957</v>
      </c>
      <c r="D132" s="3">
        <f>'Cumulative, %'!D132</f>
        <v>40.42911999999999</v>
      </c>
      <c r="E132" s="3">
        <f>100-'Cumulative, %'!E132</f>
        <v>2.9702100000000513</v>
      </c>
    </row>
    <row r="133" spans="1:5" x14ac:dyDescent="0.3">
      <c r="A133">
        <v>296</v>
      </c>
      <c r="B133" s="3">
        <f>100-'Cumulative, %'!B133</f>
        <v>19.966860000000025</v>
      </c>
      <c r="C133" s="3">
        <f>'Cumulative, %'!C133</f>
        <v>60.891249999999957</v>
      </c>
      <c r="D133" s="3">
        <f>'Cumulative, %'!D133</f>
        <v>40.594139999999989</v>
      </c>
      <c r="E133" s="3">
        <f>100-'Cumulative, %'!E133</f>
        <v>2.9702100000000513</v>
      </c>
    </row>
    <row r="134" spans="1:5" x14ac:dyDescent="0.3">
      <c r="A134">
        <v>298</v>
      </c>
      <c r="B134" s="3">
        <f>100-'Cumulative, %'!B134</f>
        <v>19.966860000000025</v>
      </c>
      <c r="C134" s="3">
        <f>'Cumulative, %'!C134</f>
        <v>60.891249999999957</v>
      </c>
      <c r="D134" s="3">
        <f>'Cumulative, %'!D134</f>
        <v>40.594139999999989</v>
      </c>
      <c r="E134" s="3">
        <f>100-'Cumulative, %'!E134</f>
        <v>2.8051900000000529</v>
      </c>
    </row>
    <row r="135" spans="1:5" x14ac:dyDescent="0.3">
      <c r="A135">
        <v>299</v>
      </c>
      <c r="B135" s="3">
        <f>100-'Cumulative, %'!B135</f>
        <v>19.636830000000032</v>
      </c>
      <c r="C135" s="3">
        <f>'Cumulative, %'!C135</f>
        <v>62.046369999999953</v>
      </c>
      <c r="D135" s="3">
        <f>'Cumulative, %'!D135</f>
        <v>40.759159999999987</v>
      </c>
      <c r="E135" s="3">
        <f>100-'Cumulative, %'!E135</f>
        <v>2.8051900000000529</v>
      </c>
    </row>
    <row r="136" spans="1:5" x14ac:dyDescent="0.3">
      <c r="A136">
        <v>300</v>
      </c>
      <c r="B136" s="3">
        <f>100-'Cumulative, %'!B136</f>
        <v>9.2407900000000325</v>
      </c>
      <c r="C136" s="3">
        <f>'Cumulative, %'!C136</f>
        <v>72.112379999999959</v>
      </c>
      <c r="D136" s="3">
        <f>'Cumulative, %'!D136</f>
        <v>53.465429999999984</v>
      </c>
      <c r="E136" s="3">
        <f>100-'Cumulative, %'!E136</f>
        <v>1.3200400000000485</v>
      </c>
    </row>
    <row r="137" spans="1:5" x14ac:dyDescent="0.3">
      <c r="A137">
        <v>301</v>
      </c>
      <c r="B137" s="3">
        <f>100-'Cumulative, %'!B137</f>
        <v>9.2407900000000325</v>
      </c>
      <c r="C137" s="3">
        <f>'Cumulative, %'!C137</f>
        <v>72.277399999999957</v>
      </c>
      <c r="D137" s="3">
        <f>'Cumulative, %'!D137</f>
        <v>53.465429999999984</v>
      </c>
      <c r="E137" s="3">
        <f>100-'Cumulative, %'!E137</f>
        <v>1.3200400000000485</v>
      </c>
    </row>
    <row r="138" spans="1:5" x14ac:dyDescent="0.3">
      <c r="A138">
        <v>305</v>
      </c>
      <c r="B138" s="3">
        <f>100-'Cumulative, %'!B138</f>
        <v>9.2407900000000325</v>
      </c>
      <c r="C138" s="3">
        <f>'Cumulative, %'!C138</f>
        <v>72.277399999999957</v>
      </c>
      <c r="D138" s="3">
        <f>'Cumulative, %'!D138</f>
        <v>53.630449999999982</v>
      </c>
      <c r="E138" s="3">
        <f>100-'Cumulative, %'!E138</f>
        <v>1.3200400000000485</v>
      </c>
    </row>
    <row r="139" spans="1:5" x14ac:dyDescent="0.3">
      <c r="A139">
        <v>306</v>
      </c>
      <c r="B139" s="3">
        <f>100-'Cumulative, %'!B139</f>
        <v>9.2407900000000325</v>
      </c>
      <c r="C139" s="3">
        <f>'Cumulative, %'!C139</f>
        <v>72.442419999999956</v>
      </c>
      <c r="D139" s="3">
        <f>'Cumulative, %'!D139</f>
        <v>53.630449999999982</v>
      </c>
      <c r="E139" s="3">
        <f>100-'Cumulative, %'!E139</f>
        <v>1.3200400000000485</v>
      </c>
    </row>
    <row r="140" spans="1:5" x14ac:dyDescent="0.3">
      <c r="A140">
        <v>309</v>
      </c>
      <c r="B140" s="3">
        <f>100-'Cumulative, %'!B140</f>
        <v>9.2407900000000325</v>
      </c>
      <c r="C140" s="3">
        <f>'Cumulative, %'!C140</f>
        <v>72.607439999999954</v>
      </c>
      <c r="D140" s="3">
        <f>'Cumulative, %'!D140</f>
        <v>53.630449999999982</v>
      </c>
      <c r="E140" s="3">
        <f>100-'Cumulative, %'!E140</f>
        <v>1.3200400000000485</v>
      </c>
    </row>
    <row r="141" spans="1:5" x14ac:dyDescent="0.3">
      <c r="A141">
        <v>310</v>
      </c>
      <c r="B141" s="3">
        <f>100-'Cumulative, %'!B141</f>
        <v>9.2407900000000325</v>
      </c>
      <c r="C141" s="3">
        <f>'Cumulative, %'!C141</f>
        <v>72.607439999999954</v>
      </c>
      <c r="D141" s="3">
        <f>'Cumulative, %'!D141</f>
        <v>54.125499999999981</v>
      </c>
      <c r="E141" s="3">
        <f>100-'Cumulative, %'!E141</f>
        <v>1.3200400000000485</v>
      </c>
    </row>
    <row r="142" spans="1:5" x14ac:dyDescent="0.3">
      <c r="A142">
        <v>312</v>
      </c>
      <c r="B142" s="3">
        <f>100-'Cumulative, %'!B142</f>
        <v>9.0757700000000341</v>
      </c>
      <c r="C142" s="3">
        <f>'Cumulative, %'!C142</f>
        <v>72.607439999999954</v>
      </c>
      <c r="D142" s="3">
        <f>'Cumulative, %'!D142</f>
        <v>54.125499999999981</v>
      </c>
      <c r="E142" s="3">
        <f>100-'Cumulative, %'!E142</f>
        <v>1.3200400000000485</v>
      </c>
    </row>
    <row r="143" spans="1:5" x14ac:dyDescent="0.3">
      <c r="A143">
        <v>316</v>
      </c>
      <c r="B143" s="3">
        <f>100-'Cumulative, %'!B143</f>
        <v>9.0757700000000341</v>
      </c>
      <c r="C143" s="3">
        <f>'Cumulative, %'!C143</f>
        <v>72.607439999999954</v>
      </c>
      <c r="D143" s="3">
        <f>'Cumulative, %'!D143</f>
        <v>54.290519999999979</v>
      </c>
      <c r="E143" s="3">
        <f>100-'Cumulative, %'!E143</f>
        <v>1.3200400000000485</v>
      </c>
    </row>
    <row r="144" spans="1:5" x14ac:dyDescent="0.3">
      <c r="A144">
        <v>320</v>
      </c>
      <c r="B144" s="3">
        <f>100-'Cumulative, %'!B144</f>
        <v>8.2506900000000343</v>
      </c>
      <c r="C144" s="3">
        <f>'Cumulative, %'!C144</f>
        <v>73.432519999999954</v>
      </c>
      <c r="D144" s="3">
        <f>'Cumulative, %'!D144</f>
        <v>55.445639999999976</v>
      </c>
      <c r="E144" s="3">
        <f>100-'Cumulative, %'!E144</f>
        <v>1.1550200000000501</v>
      </c>
    </row>
    <row r="145" spans="1:5" x14ac:dyDescent="0.3">
      <c r="A145">
        <v>325</v>
      </c>
      <c r="B145" s="3">
        <f>100-'Cumulative, %'!B145</f>
        <v>8.2506900000000343</v>
      </c>
      <c r="C145" s="3">
        <f>'Cumulative, %'!C145</f>
        <v>73.597539999999952</v>
      </c>
      <c r="D145" s="3">
        <f>'Cumulative, %'!D145</f>
        <v>55.445639999999976</v>
      </c>
      <c r="E145" s="3">
        <f>100-'Cumulative, %'!E145</f>
        <v>1.1550200000000501</v>
      </c>
    </row>
    <row r="146" spans="1:5" x14ac:dyDescent="0.3">
      <c r="A146">
        <v>330</v>
      </c>
      <c r="B146" s="3">
        <f>100-'Cumulative, %'!B146</f>
        <v>8.2506900000000343</v>
      </c>
      <c r="C146" s="3">
        <f>'Cumulative, %'!C146</f>
        <v>73.927569999999946</v>
      </c>
      <c r="D146" s="3">
        <f>'Cumulative, %'!D146</f>
        <v>56.270719999999976</v>
      </c>
      <c r="E146" s="3">
        <f>100-'Cumulative, %'!E146</f>
        <v>1.1550200000000501</v>
      </c>
    </row>
    <row r="147" spans="1:5" x14ac:dyDescent="0.3">
      <c r="A147">
        <v>340</v>
      </c>
      <c r="B147" s="3">
        <f>100-'Cumulative, %'!B147</f>
        <v>8.2506900000000343</v>
      </c>
      <c r="C147" s="3">
        <f>'Cumulative, %'!C147</f>
        <v>74.422619999999952</v>
      </c>
      <c r="D147" s="3">
        <f>'Cumulative, %'!D147</f>
        <v>56.270719999999976</v>
      </c>
      <c r="E147" s="3">
        <f>100-'Cumulative, %'!E147</f>
        <v>1.1550200000000501</v>
      </c>
    </row>
    <row r="148" spans="1:5" x14ac:dyDescent="0.3">
      <c r="A148">
        <v>349</v>
      </c>
      <c r="B148" s="3">
        <f>100-'Cumulative, %'!B148</f>
        <v>8.2506900000000343</v>
      </c>
      <c r="C148" s="3">
        <f>'Cumulative, %'!C148</f>
        <v>74.752649999999946</v>
      </c>
      <c r="D148" s="3">
        <f>'Cumulative, %'!D148</f>
        <v>56.435739999999974</v>
      </c>
      <c r="E148" s="3">
        <f>100-'Cumulative, %'!E148</f>
        <v>1.1550200000000501</v>
      </c>
    </row>
    <row r="149" spans="1:5" x14ac:dyDescent="0.3">
      <c r="A149">
        <v>350</v>
      </c>
      <c r="B149" s="3">
        <f>100-'Cumulative, %'!B149</f>
        <v>5.2803900000000397</v>
      </c>
      <c r="C149" s="3">
        <f>'Cumulative, %'!C149</f>
        <v>83.498519999999942</v>
      </c>
      <c r="D149" s="3">
        <f>'Cumulative, %'!D149</f>
        <v>63.531449999999978</v>
      </c>
      <c r="E149" s="3">
        <f>100-'Cumulative, %'!E149</f>
        <v>0.65997000000004391</v>
      </c>
    </row>
    <row r="150" spans="1:5" x14ac:dyDescent="0.3">
      <c r="A150">
        <v>351</v>
      </c>
      <c r="B150" s="3">
        <f>100-'Cumulative, %'!B150</f>
        <v>5.2803900000000397</v>
      </c>
      <c r="C150" s="3">
        <f>'Cumulative, %'!C150</f>
        <v>83.498519999999942</v>
      </c>
      <c r="D150" s="3">
        <f>'Cumulative, %'!D150</f>
        <v>63.861479999999979</v>
      </c>
      <c r="E150" s="3">
        <f>100-'Cumulative, %'!E150</f>
        <v>0.65997000000004391</v>
      </c>
    </row>
    <row r="151" spans="1:5" x14ac:dyDescent="0.3">
      <c r="A151">
        <v>355</v>
      </c>
      <c r="B151" s="3">
        <f>100-'Cumulative, %'!B151</f>
        <v>5.2803900000000397</v>
      </c>
      <c r="C151" s="3">
        <f>'Cumulative, %'!C151</f>
        <v>83.498519999999942</v>
      </c>
      <c r="D151" s="3">
        <f>'Cumulative, %'!D151</f>
        <v>64.19150999999998</v>
      </c>
      <c r="E151" s="3">
        <f>100-'Cumulative, %'!E151</f>
        <v>0.65997000000004391</v>
      </c>
    </row>
    <row r="152" spans="1:5" x14ac:dyDescent="0.3">
      <c r="A152">
        <v>360</v>
      </c>
      <c r="B152" s="3">
        <f>100-'Cumulative, %'!B152</f>
        <v>5.1153700000000413</v>
      </c>
      <c r="C152" s="3">
        <f>'Cumulative, %'!C152</f>
        <v>84.488619999999941</v>
      </c>
      <c r="D152" s="3">
        <f>'Cumulative, %'!D152</f>
        <v>64.686559999999986</v>
      </c>
      <c r="E152" s="3">
        <f>100-'Cumulative, %'!E152</f>
        <v>0.49495000000004552</v>
      </c>
    </row>
    <row r="153" spans="1:5" x14ac:dyDescent="0.3">
      <c r="A153">
        <v>365</v>
      </c>
      <c r="B153" s="3">
        <f>100-'Cumulative, %'!B153</f>
        <v>5.1153700000000413</v>
      </c>
      <c r="C153" s="3">
        <f>'Cumulative, %'!C153</f>
        <v>84.653639999999939</v>
      </c>
      <c r="D153" s="3">
        <f>'Cumulative, %'!D153</f>
        <v>64.686559999999986</v>
      </c>
      <c r="E153" s="3">
        <f>100-'Cumulative, %'!E153</f>
        <v>0.49495000000004552</v>
      </c>
    </row>
    <row r="154" spans="1:5" x14ac:dyDescent="0.3">
      <c r="A154">
        <v>369</v>
      </c>
      <c r="B154" s="3">
        <f>100-'Cumulative, %'!B154</f>
        <v>5.1153700000000413</v>
      </c>
      <c r="C154" s="3">
        <f>'Cumulative, %'!C154</f>
        <v>84.818659999999937</v>
      </c>
      <c r="D154" s="3">
        <f>'Cumulative, %'!D154</f>
        <v>64.686559999999986</v>
      </c>
      <c r="E154" s="3">
        <f>100-'Cumulative, %'!E154</f>
        <v>0.49495000000004552</v>
      </c>
    </row>
    <row r="155" spans="1:5" x14ac:dyDescent="0.3">
      <c r="A155">
        <v>370</v>
      </c>
      <c r="B155" s="3">
        <f>100-'Cumulative, %'!B155</f>
        <v>4.9503500000000429</v>
      </c>
      <c r="C155" s="3">
        <f>'Cumulative, %'!C155</f>
        <v>84.983679999999936</v>
      </c>
      <c r="D155" s="3">
        <f>'Cumulative, %'!D155</f>
        <v>65.34662999999999</v>
      </c>
      <c r="E155" s="3">
        <f>100-'Cumulative, %'!E155</f>
        <v>0.49495000000004552</v>
      </c>
    </row>
    <row r="156" spans="1:5" x14ac:dyDescent="0.3">
      <c r="A156">
        <v>375</v>
      </c>
      <c r="B156" s="3">
        <f>100-'Cumulative, %'!B156</f>
        <v>4.9503500000000429</v>
      </c>
      <c r="C156" s="3">
        <f>'Cumulative, %'!C156</f>
        <v>85.148699999999934</v>
      </c>
      <c r="D156" s="3">
        <f>'Cumulative, %'!D156</f>
        <v>65.34662999999999</v>
      </c>
      <c r="E156" s="3">
        <f>100-'Cumulative, %'!E156</f>
        <v>0.49495000000004552</v>
      </c>
    </row>
    <row r="157" spans="1:5" x14ac:dyDescent="0.3">
      <c r="A157">
        <v>380</v>
      </c>
      <c r="B157" s="3">
        <f>100-'Cumulative, %'!B157</f>
        <v>4.9503500000000429</v>
      </c>
      <c r="C157" s="3">
        <f>'Cumulative, %'!C157</f>
        <v>86.633849999999939</v>
      </c>
      <c r="D157" s="3">
        <f>'Cumulative, %'!D157</f>
        <v>66.17170999999999</v>
      </c>
      <c r="E157" s="3">
        <f>100-'Cumulative, %'!E157</f>
        <v>0.49495000000004552</v>
      </c>
    </row>
    <row r="158" spans="1:5" x14ac:dyDescent="0.3">
      <c r="A158">
        <v>390</v>
      </c>
      <c r="B158" s="3">
        <f>100-'Cumulative, %'!B158</f>
        <v>4.9503500000000429</v>
      </c>
      <c r="C158" s="3">
        <f>'Cumulative, %'!C158</f>
        <v>86.798869999999937</v>
      </c>
      <c r="D158" s="3">
        <f>'Cumulative, %'!D158</f>
        <v>66.336729999999989</v>
      </c>
      <c r="E158" s="3">
        <f>100-'Cumulative, %'!E158</f>
        <v>0.49495000000004552</v>
      </c>
    </row>
    <row r="159" spans="1:5" x14ac:dyDescent="0.3">
      <c r="A159">
        <v>398</v>
      </c>
      <c r="B159" s="3">
        <f>100-'Cumulative, %'!B159</f>
        <v>4.9503500000000429</v>
      </c>
      <c r="C159" s="3">
        <f>'Cumulative, %'!C159</f>
        <v>86.963889999999935</v>
      </c>
      <c r="D159" s="3">
        <f>'Cumulative, %'!D159</f>
        <v>66.336729999999989</v>
      </c>
      <c r="E159" s="3">
        <f>100-'Cumulative, %'!E159</f>
        <v>0.49495000000004552</v>
      </c>
    </row>
    <row r="160" spans="1:5" x14ac:dyDescent="0.3">
      <c r="A160">
        <v>399</v>
      </c>
      <c r="B160" s="3">
        <f>100-'Cumulative, %'!B160</f>
        <v>4.6203200000000493</v>
      </c>
      <c r="C160" s="3">
        <f>'Cumulative, %'!C160</f>
        <v>87.128909999999934</v>
      </c>
      <c r="D160" s="3">
        <f>'Cumulative, %'!D160</f>
        <v>67.326829999999987</v>
      </c>
      <c r="E160" s="3">
        <f>100-'Cumulative, %'!E160</f>
        <v>0.49495000000004552</v>
      </c>
    </row>
    <row r="161" spans="1:5" x14ac:dyDescent="0.3">
      <c r="A161">
        <v>400</v>
      </c>
      <c r="B161" s="3">
        <f>100-'Cumulative, %'!B161</f>
        <v>2.3100900000000451</v>
      </c>
      <c r="C161" s="3">
        <f>'Cumulative, %'!C161</f>
        <v>91.584359999999933</v>
      </c>
      <c r="D161" s="3">
        <f>'Cumulative, %'!D161</f>
        <v>77.722869999999986</v>
      </c>
      <c r="E161" s="3">
        <f>100-'Cumulative, %'!E161</f>
        <v>-9.9999999960687092E-5</v>
      </c>
    </row>
    <row r="162" spans="1:5" x14ac:dyDescent="0.3">
      <c r="A162">
        <v>410</v>
      </c>
      <c r="B162" s="3">
        <f>100-'Cumulative, %'!B162</f>
        <v>2.1450700000000467</v>
      </c>
      <c r="C162" s="3">
        <f>'Cumulative, %'!C162</f>
        <v>91.584359999999933</v>
      </c>
      <c r="D162" s="3">
        <f>'Cumulative, %'!D162</f>
        <v>77.887889999999985</v>
      </c>
      <c r="E162" s="3">
        <f>100-'Cumulative, %'!E162</f>
        <v>-9.9999999960687092E-5</v>
      </c>
    </row>
    <row r="163" spans="1:5" x14ac:dyDescent="0.3">
      <c r="A163">
        <v>415</v>
      </c>
      <c r="B163" s="3">
        <f>100-'Cumulative, %'!B163</f>
        <v>2.1450700000000467</v>
      </c>
      <c r="C163" s="3">
        <f>'Cumulative, %'!C163</f>
        <v>91.749379999999931</v>
      </c>
      <c r="D163" s="3">
        <f>'Cumulative, %'!D163</f>
        <v>77.887889999999985</v>
      </c>
      <c r="E163" s="3">
        <f>100-'Cumulative, %'!E163</f>
        <v>-9.9999999960687092E-5</v>
      </c>
    </row>
    <row r="164" spans="1:5" x14ac:dyDescent="0.3">
      <c r="A164">
        <v>420</v>
      </c>
      <c r="B164" s="3">
        <f>100-'Cumulative, %'!B164</f>
        <v>1.9800500000000483</v>
      </c>
      <c r="C164" s="3">
        <f>'Cumulative, %'!C164</f>
        <v>91.914399999999929</v>
      </c>
      <c r="D164" s="3">
        <f>'Cumulative, %'!D164</f>
        <v>78.052909999999983</v>
      </c>
      <c r="E164" s="3">
        <f>100-'Cumulative, %'!E164</f>
        <v>-9.9999999960687092E-5</v>
      </c>
    </row>
    <row r="165" spans="1:5" x14ac:dyDescent="0.3">
      <c r="A165">
        <v>425</v>
      </c>
      <c r="B165" s="3">
        <f>100-'Cumulative, %'!B165</f>
        <v>1.9800500000000483</v>
      </c>
      <c r="C165" s="3">
        <f>'Cumulative, %'!C165</f>
        <v>91.914399999999929</v>
      </c>
      <c r="D165" s="3">
        <f>'Cumulative, %'!D165</f>
        <v>78.217929999999981</v>
      </c>
      <c r="E165" s="3">
        <f>100-'Cumulative, %'!E165</f>
        <v>-9.9999999960687092E-5</v>
      </c>
    </row>
    <row r="166" spans="1:5" x14ac:dyDescent="0.3">
      <c r="A166">
        <v>430</v>
      </c>
      <c r="B166" s="3">
        <f>100-'Cumulative, %'!B166</f>
        <v>1.8150300000000499</v>
      </c>
      <c r="C166" s="3">
        <f>'Cumulative, %'!C166</f>
        <v>92.409449999999936</v>
      </c>
      <c r="D166" s="3">
        <f>'Cumulative, %'!D166</f>
        <v>78.38294999999998</v>
      </c>
      <c r="E166" s="3">
        <f>100-'Cumulative, %'!E166</f>
        <v>-9.9999999960687092E-5</v>
      </c>
    </row>
    <row r="167" spans="1:5" x14ac:dyDescent="0.3">
      <c r="A167">
        <v>440</v>
      </c>
      <c r="B167" s="3">
        <f>100-'Cumulative, %'!B167</f>
        <v>1.8150300000000499</v>
      </c>
      <c r="C167" s="3">
        <f>'Cumulative, %'!C167</f>
        <v>92.739479999999929</v>
      </c>
      <c r="D167" s="3">
        <f>'Cumulative, %'!D167</f>
        <v>78.547969999999978</v>
      </c>
      <c r="E167" s="3">
        <f>100-'Cumulative, %'!E167</f>
        <v>-9.9999999960687092E-5</v>
      </c>
    </row>
    <row r="168" spans="1:5" x14ac:dyDescent="0.3">
      <c r="A168">
        <v>449</v>
      </c>
      <c r="B168" s="3">
        <f>100-'Cumulative, %'!B168</f>
        <v>1.8150300000000499</v>
      </c>
      <c r="C168" s="3">
        <f>'Cumulative, %'!C168</f>
        <v>92.904499999999928</v>
      </c>
      <c r="D168" s="3">
        <f>'Cumulative, %'!D168</f>
        <v>78.547969999999978</v>
      </c>
      <c r="E168" s="3">
        <f>100-'Cumulative, %'!E168</f>
        <v>-9.9999999960687092E-5</v>
      </c>
    </row>
    <row r="169" spans="1:5" x14ac:dyDescent="0.3">
      <c r="A169">
        <v>450</v>
      </c>
      <c r="B169" s="3">
        <f>100-'Cumulative, %'!B169</f>
        <v>1.3199800000000437</v>
      </c>
      <c r="C169" s="3">
        <f>'Cumulative, %'!C169</f>
        <v>95.049709999999934</v>
      </c>
      <c r="D169" s="3">
        <f>'Cumulative, %'!D169</f>
        <v>82.508369999999985</v>
      </c>
      <c r="E169" s="3">
        <f>100-'Cumulative, %'!E169</f>
        <v>-9.9999999960687092E-5</v>
      </c>
    </row>
    <row r="170" spans="1:5" x14ac:dyDescent="0.3">
      <c r="A170">
        <v>458</v>
      </c>
      <c r="B170" s="3">
        <f>100-'Cumulative, %'!B170</f>
        <v>1.3199800000000437</v>
      </c>
      <c r="C170" s="3">
        <f>'Cumulative, %'!C170</f>
        <v>95.049709999999934</v>
      </c>
      <c r="D170" s="3">
        <f>'Cumulative, %'!D170</f>
        <v>82.673389999999984</v>
      </c>
      <c r="E170" s="3">
        <f>100-'Cumulative, %'!E170</f>
        <v>-9.9999999960687092E-5</v>
      </c>
    </row>
    <row r="171" spans="1:5" x14ac:dyDescent="0.3">
      <c r="A171">
        <v>460</v>
      </c>
      <c r="B171" s="3">
        <f>100-'Cumulative, %'!B171</f>
        <v>1.3199800000000437</v>
      </c>
      <c r="C171" s="3">
        <f>'Cumulative, %'!C171</f>
        <v>95.049709999999934</v>
      </c>
      <c r="D171" s="3">
        <f>'Cumulative, %'!D171</f>
        <v>82.838409999999982</v>
      </c>
      <c r="E171" s="3">
        <f>100-'Cumulative, %'!E171</f>
        <v>-9.9999999960687092E-5</v>
      </c>
    </row>
    <row r="172" spans="1:5" x14ac:dyDescent="0.3">
      <c r="A172">
        <v>470</v>
      </c>
      <c r="B172" s="3">
        <f>100-'Cumulative, %'!B172</f>
        <v>1.3199800000000437</v>
      </c>
      <c r="C172" s="3">
        <f>'Cumulative, %'!C172</f>
        <v>95.214729999999932</v>
      </c>
      <c r="D172" s="3">
        <f>'Cumulative, %'!D172</f>
        <v>83.168439999999975</v>
      </c>
      <c r="E172" s="3">
        <f>100-'Cumulative, %'!E172</f>
        <v>-9.9999999960687092E-5</v>
      </c>
    </row>
    <row r="173" spans="1:5" x14ac:dyDescent="0.3">
      <c r="A173">
        <v>480</v>
      </c>
      <c r="B173" s="3">
        <f>100-'Cumulative, %'!B173</f>
        <v>1.3199800000000437</v>
      </c>
      <c r="C173" s="3">
        <f>'Cumulative, %'!C173</f>
        <v>95.214729999999932</v>
      </c>
      <c r="D173" s="3">
        <f>'Cumulative, %'!D173</f>
        <v>83.498469999999969</v>
      </c>
      <c r="E173" s="3">
        <f>100-'Cumulative, %'!E173</f>
        <v>-9.9999999960687092E-5</v>
      </c>
    </row>
    <row r="174" spans="1:5" x14ac:dyDescent="0.3">
      <c r="A174">
        <v>499</v>
      </c>
      <c r="B174" s="3">
        <f>100-'Cumulative, %'!B174</f>
        <v>1.3199800000000437</v>
      </c>
      <c r="C174" s="3">
        <f>'Cumulative, %'!C174</f>
        <v>95.544759999999926</v>
      </c>
      <c r="D174" s="3">
        <f>'Cumulative, %'!D174</f>
        <v>83.993519999999975</v>
      </c>
      <c r="E174" s="3">
        <f>100-'Cumulative, %'!E174</f>
        <v>-9.9999999960687092E-5</v>
      </c>
    </row>
    <row r="175" spans="1:5" x14ac:dyDescent="0.3">
      <c r="A175">
        <v>500</v>
      </c>
      <c r="B175" s="3">
        <f>100-'Cumulative, %'!B175</f>
        <v>0.49490000000004386</v>
      </c>
      <c r="C175" s="3">
        <f>'Cumulative, %'!C175</f>
        <v>97.02990999999993</v>
      </c>
      <c r="D175" s="3">
        <f>'Cumulative, %'!D175</f>
        <v>92.07932999999997</v>
      </c>
      <c r="E175" s="3">
        <f>100-'Cumulative, %'!E175</f>
        <v>-9.9999999960687092E-5</v>
      </c>
    </row>
    <row r="176" spans="1:5" x14ac:dyDescent="0.3">
      <c r="A176">
        <v>550</v>
      </c>
      <c r="B176" s="3">
        <f>100-'Cumulative, %'!B176</f>
        <v>0.32988000000004547</v>
      </c>
      <c r="C176" s="3">
        <f>'Cumulative, %'!C176</f>
        <v>97.524959999999936</v>
      </c>
      <c r="D176" s="3">
        <f>'Cumulative, %'!D176</f>
        <v>92.574379999999977</v>
      </c>
      <c r="E176" s="3">
        <f>100-'Cumulative, %'!E176</f>
        <v>-9.9999999960687092E-5</v>
      </c>
    </row>
    <row r="177" spans="1:5" x14ac:dyDescent="0.3">
      <c r="A177">
        <v>570</v>
      </c>
      <c r="B177" s="3">
        <f>100-'Cumulative, %'!B177</f>
        <v>0.32988000000004547</v>
      </c>
      <c r="C177" s="3">
        <f>'Cumulative, %'!C177</f>
        <v>97.689979999999935</v>
      </c>
      <c r="D177" s="3">
        <f>'Cumulative, %'!D177</f>
        <v>92.739399999999975</v>
      </c>
      <c r="E177" s="3">
        <f>100-'Cumulative, %'!E177</f>
        <v>-9.9999999960687092E-5</v>
      </c>
    </row>
    <row r="178" spans="1:5" x14ac:dyDescent="0.3">
      <c r="A178">
        <v>575</v>
      </c>
      <c r="B178" s="3">
        <f>100-'Cumulative, %'!B178</f>
        <v>0.32988000000004547</v>
      </c>
      <c r="C178" s="3">
        <f>'Cumulative, %'!C178</f>
        <v>97.854999999999933</v>
      </c>
      <c r="D178" s="3">
        <f>'Cumulative, %'!D178</f>
        <v>92.739399999999975</v>
      </c>
      <c r="E178" s="3">
        <f>100-'Cumulative, %'!E178</f>
        <v>-9.9999999960687092E-5</v>
      </c>
    </row>
    <row r="179" spans="1:5" x14ac:dyDescent="0.3">
      <c r="A179">
        <v>579</v>
      </c>
      <c r="B179" s="3">
        <f>100-'Cumulative, %'!B179</f>
        <v>0.32988000000004547</v>
      </c>
      <c r="C179" s="3">
        <f>'Cumulative, %'!C179</f>
        <v>97.854999999999933</v>
      </c>
      <c r="D179" s="3">
        <f>'Cumulative, %'!D179</f>
        <v>92.904419999999973</v>
      </c>
      <c r="E179" s="3">
        <f>100-'Cumulative, %'!E179</f>
        <v>-9.9999999960687092E-5</v>
      </c>
    </row>
    <row r="180" spans="1:5" x14ac:dyDescent="0.3">
      <c r="A180">
        <v>600</v>
      </c>
      <c r="B180" s="3">
        <f>100-'Cumulative, %'!B180</f>
        <v>-1.4999999994813606E-4</v>
      </c>
      <c r="C180" s="3">
        <f>'Cumulative, %'!C180</f>
        <v>99.340149999999937</v>
      </c>
      <c r="D180" s="3">
        <f>'Cumulative, %'!D180</f>
        <v>95.874719999999968</v>
      </c>
      <c r="E180" s="3">
        <f>100-'Cumulative, %'!E180</f>
        <v>-9.9999999960687092E-5</v>
      </c>
    </row>
    <row r="181" spans="1:5" x14ac:dyDescent="0.3">
      <c r="A181">
        <v>630</v>
      </c>
      <c r="B181" s="3">
        <f>100-'Cumulative, %'!B181</f>
        <v>-1.4999999994813606E-4</v>
      </c>
      <c r="C181" s="3">
        <f>'Cumulative, %'!C181</f>
        <v>99.340149999999937</v>
      </c>
      <c r="D181" s="3">
        <f>'Cumulative, %'!D181</f>
        <v>96.039739999999966</v>
      </c>
      <c r="E181" s="3">
        <f>100-'Cumulative, %'!E181</f>
        <v>-9.9999999960687092E-5</v>
      </c>
    </row>
    <row r="182" spans="1:5" x14ac:dyDescent="0.3">
      <c r="A182">
        <v>650</v>
      </c>
      <c r="B182" s="3">
        <f>100-'Cumulative, %'!B182</f>
        <v>-1.4999999994813606E-4</v>
      </c>
      <c r="C182" s="3">
        <f>'Cumulative, %'!C182</f>
        <v>99.505169999999936</v>
      </c>
      <c r="D182" s="3">
        <f>'Cumulative, %'!D182</f>
        <v>96.699809999999971</v>
      </c>
      <c r="E182" s="3">
        <f>100-'Cumulative, %'!E182</f>
        <v>-9.9999999960687092E-5</v>
      </c>
    </row>
    <row r="183" spans="1:5" x14ac:dyDescent="0.3">
      <c r="A183">
        <v>670</v>
      </c>
      <c r="B183" s="3">
        <f>100-'Cumulative, %'!B183</f>
        <v>-1.4999999994813606E-4</v>
      </c>
      <c r="C183" s="3">
        <f>'Cumulative, %'!C183</f>
        <v>99.505169999999936</v>
      </c>
      <c r="D183" s="3">
        <f>'Cumulative, %'!D183</f>
        <v>96.864829999999969</v>
      </c>
      <c r="E183" s="3">
        <f>100-'Cumulative, %'!E183</f>
        <v>-9.9999999960687092E-5</v>
      </c>
    </row>
    <row r="184" spans="1:5" x14ac:dyDescent="0.3">
      <c r="A184">
        <v>679</v>
      </c>
      <c r="B184" s="3">
        <f>100-'Cumulative, %'!B184</f>
        <v>-1.4999999994813606E-4</v>
      </c>
      <c r="C184" s="3">
        <f>'Cumulative, %'!C184</f>
        <v>99.505169999999936</v>
      </c>
      <c r="D184" s="3">
        <f>'Cumulative, %'!D184</f>
        <v>97.029849999999968</v>
      </c>
      <c r="E184" s="3">
        <f>100-'Cumulative, %'!E184</f>
        <v>-9.9999999960687092E-5</v>
      </c>
    </row>
    <row r="185" spans="1:5" x14ac:dyDescent="0.3">
      <c r="A185">
        <v>699</v>
      </c>
      <c r="B185" s="3">
        <f>100-'Cumulative, %'!B185</f>
        <v>-1.4999999994813606E-4</v>
      </c>
      <c r="C185" s="3">
        <f>'Cumulative, %'!C185</f>
        <v>99.505169999999936</v>
      </c>
      <c r="D185" s="3">
        <f>'Cumulative, %'!D185</f>
        <v>97.194869999999966</v>
      </c>
      <c r="E185" s="3">
        <f>100-'Cumulative, %'!E185</f>
        <v>-9.9999999960687092E-5</v>
      </c>
    </row>
    <row r="186" spans="1:5" x14ac:dyDescent="0.3">
      <c r="A186">
        <v>700</v>
      </c>
      <c r="B186" s="3">
        <f>100-'Cumulative, %'!B186</f>
        <v>-1.4999999994813606E-4</v>
      </c>
      <c r="C186" s="3">
        <f>'Cumulative, %'!C186</f>
        <v>99.835199999999929</v>
      </c>
      <c r="D186" s="3">
        <f>'Cumulative, %'!D186</f>
        <v>98.184969999999964</v>
      </c>
      <c r="E186" s="3">
        <f>100-'Cumulative, %'!E186</f>
        <v>-9.9999999960687092E-5</v>
      </c>
    </row>
    <row r="187" spans="1:5" x14ac:dyDescent="0.3">
      <c r="A187">
        <v>750</v>
      </c>
      <c r="B187" s="3">
        <f>100-'Cumulative, %'!B187</f>
        <v>-1.4999999994813606E-4</v>
      </c>
      <c r="C187" s="3">
        <f>'Cumulative, %'!C187</f>
        <v>100.00021999999993</v>
      </c>
      <c r="D187" s="3">
        <f>'Cumulative, %'!D187</f>
        <v>98.349989999999963</v>
      </c>
      <c r="E187" s="3">
        <f>100-'Cumulative, %'!E187</f>
        <v>-9.9999999960687092E-5</v>
      </c>
    </row>
    <row r="188" spans="1:5" x14ac:dyDescent="0.3">
      <c r="A188">
        <v>800</v>
      </c>
      <c r="B188" s="3">
        <f>100-'Cumulative, %'!B188</f>
        <v>-1.4999999994813606E-4</v>
      </c>
      <c r="C188" s="3">
        <f>'Cumulative, %'!C188</f>
        <v>100.00021999999993</v>
      </c>
      <c r="D188" s="3">
        <f>'Cumulative, %'!D188</f>
        <v>98.680019999999956</v>
      </c>
      <c r="E188" s="3">
        <f>100-'Cumulative, %'!E188</f>
        <v>-9.9999999960687092E-5</v>
      </c>
    </row>
    <row r="189" spans="1:5" x14ac:dyDescent="0.3">
      <c r="A189">
        <v>900</v>
      </c>
      <c r="B189" s="3">
        <f>100-'Cumulative, %'!B189</f>
        <v>-1.4999999994813606E-4</v>
      </c>
      <c r="C189" s="3">
        <f>'Cumulative, %'!C189</f>
        <v>100.00021999999993</v>
      </c>
      <c r="D189" s="3">
        <f>'Cumulative, %'!D189</f>
        <v>99.175069999999963</v>
      </c>
      <c r="E189" s="3">
        <f>100-'Cumulative, %'!E189</f>
        <v>-9.9999999960687092E-5</v>
      </c>
    </row>
    <row r="190" spans="1:5" x14ac:dyDescent="0.3">
      <c r="A190">
        <v>1000</v>
      </c>
      <c r="B190" s="3">
        <f>100-'Cumulative, %'!B190</f>
        <v>-1.4999999994813606E-4</v>
      </c>
      <c r="C190" s="3">
        <f>'Cumulative, %'!C190</f>
        <v>100.00021999999993</v>
      </c>
      <c r="D190" s="3">
        <f>'Cumulative, %'!D190</f>
        <v>99.835139999999967</v>
      </c>
      <c r="E190" s="3">
        <f>100-'Cumulative, %'!E190</f>
        <v>-9.9999999960687092E-5</v>
      </c>
    </row>
    <row r="191" spans="1:5" x14ac:dyDescent="0.3">
      <c r="A191">
        <v>3000</v>
      </c>
      <c r="B191" s="3">
        <f>100-'Cumulative, %'!B191</f>
        <v>-1.4999999994813606E-4</v>
      </c>
      <c r="C191" s="3">
        <f>'Cumulative, %'!C191</f>
        <v>100.00021999999993</v>
      </c>
      <c r="D191" s="3">
        <f>'Cumulative, %'!D191</f>
        <v>100.00015999999997</v>
      </c>
      <c r="E191" s="3">
        <f>100-'Cumulative, %'!E191</f>
        <v>-9.9999999960687092E-5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216F5-5240-D346-B2E5-40640ABE00E2}">
  <dimension ref="A1:E607"/>
  <sheetViews>
    <sheetView workbookViewId="0">
      <selection activeCell="A607" sqref="A607"/>
    </sheetView>
  </sheetViews>
  <sheetFormatPr defaultColWidth="11.19921875" defaultRowHeight="15.6" x14ac:dyDescent="0.3"/>
  <cols>
    <col min="4" max="4" width="36.296875" bestFit="1" customWidth="1"/>
    <col min="5" max="5" width="39.796875" bestFit="1" customWidth="1"/>
  </cols>
  <sheetData>
    <row r="1" spans="1:5" x14ac:dyDescent="0.3">
      <c r="A1" t="s">
        <v>9</v>
      </c>
      <c r="B1" s="1" t="s">
        <v>6</v>
      </c>
      <c r="C1" s="1" t="s">
        <v>1</v>
      </c>
      <c r="D1" s="1" t="s">
        <v>10</v>
      </c>
      <c r="E1" s="1" t="s">
        <v>11</v>
      </c>
    </row>
    <row r="2" spans="1:5" x14ac:dyDescent="0.3">
      <c r="A2">
        <v>1</v>
      </c>
      <c r="B2">
        <v>250</v>
      </c>
      <c r="C2">
        <v>400</v>
      </c>
      <c r="D2">
        <v>1</v>
      </c>
      <c r="E2">
        <v>3</v>
      </c>
    </row>
    <row r="3" spans="1:5" x14ac:dyDescent="0.3">
      <c r="A3">
        <v>2</v>
      </c>
      <c r="B3">
        <v>150</v>
      </c>
      <c r="C3">
        <v>200</v>
      </c>
      <c r="D3">
        <v>2</v>
      </c>
      <c r="E3">
        <v>2</v>
      </c>
    </row>
    <row r="4" spans="1:5" x14ac:dyDescent="0.3">
      <c r="A4">
        <v>3</v>
      </c>
      <c r="B4">
        <v>400</v>
      </c>
      <c r="C4">
        <v>450</v>
      </c>
      <c r="D4">
        <v>2</v>
      </c>
      <c r="E4">
        <v>3</v>
      </c>
    </row>
    <row r="5" spans="1:5" x14ac:dyDescent="0.3">
      <c r="A5">
        <v>4</v>
      </c>
      <c r="B5">
        <v>420</v>
      </c>
      <c r="C5">
        <v>440</v>
      </c>
      <c r="D5">
        <v>2</v>
      </c>
      <c r="E5">
        <v>2</v>
      </c>
    </row>
    <row r="6" spans="1:5" x14ac:dyDescent="0.3">
      <c r="A6">
        <v>5</v>
      </c>
      <c r="B6">
        <v>90</v>
      </c>
      <c r="C6">
        <v>100</v>
      </c>
      <c r="D6">
        <v>1</v>
      </c>
      <c r="E6">
        <v>1</v>
      </c>
    </row>
    <row r="7" spans="1:5" x14ac:dyDescent="0.3">
      <c r="A7">
        <v>6</v>
      </c>
      <c r="B7">
        <v>19</v>
      </c>
      <c r="C7">
        <v>20</v>
      </c>
      <c r="D7">
        <v>4</v>
      </c>
      <c r="E7">
        <v>4</v>
      </c>
    </row>
    <row r="8" spans="1:5" x14ac:dyDescent="0.3">
      <c r="A8">
        <v>7</v>
      </c>
      <c r="B8">
        <v>50</v>
      </c>
      <c r="C8">
        <v>60</v>
      </c>
      <c r="D8">
        <v>5</v>
      </c>
      <c r="E8">
        <v>5</v>
      </c>
    </row>
    <row r="9" spans="1:5" x14ac:dyDescent="0.3">
      <c r="A9">
        <v>8</v>
      </c>
      <c r="B9">
        <v>160</v>
      </c>
      <c r="C9">
        <v>200</v>
      </c>
      <c r="D9">
        <v>1</v>
      </c>
      <c r="E9">
        <v>3</v>
      </c>
    </row>
    <row r="10" spans="1:5" x14ac:dyDescent="0.3">
      <c r="A10">
        <v>9</v>
      </c>
      <c r="B10">
        <v>200</v>
      </c>
      <c r="C10">
        <v>250</v>
      </c>
      <c r="D10">
        <v>1</v>
      </c>
      <c r="E10">
        <v>1</v>
      </c>
    </row>
    <row r="11" spans="1:5" x14ac:dyDescent="0.3">
      <c r="A11">
        <v>10</v>
      </c>
      <c r="B11">
        <v>410</v>
      </c>
      <c r="C11">
        <v>430</v>
      </c>
      <c r="D11">
        <v>2</v>
      </c>
      <c r="E11">
        <v>2</v>
      </c>
    </row>
    <row r="12" spans="1:5" x14ac:dyDescent="0.3">
      <c r="A12">
        <v>11</v>
      </c>
      <c r="B12">
        <v>150</v>
      </c>
      <c r="C12">
        <v>190</v>
      </c>
      <c r="D12">
        <v>1</v>
      </c>
      <c r="E12">
        <v>2</v>
      </c>
    </row>
    <row r="13" spans="1:5" x14ac:dyDescent="0.3">
      <c r="A13">
        <v>12</v>
      </c>
      <c r="B13">
        <v>200</v>
      </c>
      <c r="C13">
        <v>300</v>
      </c>
      <c r="D13">
        <v>1</v>
      </c>
      <c r="E13">
        <v>3</v>
      </c>
    </row>
    <row r="14" spans="1:5" x14ac:dyDescent="0.3">
      <c r="A14">
        <v>13</v>
      </c>
      <c r="B14">
        <v>199</v>
      </c>
      <c r="C14">
        <v>299</v>
      </c>
      <c r="D14">
        <v>2</v>
      </c>
      <c r="E14">
        <v>3</v>
      </c>
    </row>
    <row r="15" spans="1:5" x14ac:dyDescent="0.3">
      <c r="A15">
        <v>14</v>
      </c>
      <c r="B15">
        <v>600</v>
      </c>
      <c r="C15">
        <v>700</v>
      </c>
      <c r="D15">
        <v>1</v>
      </c>
      <c r="E15">
        <v>2</v>
      </c>
    </row>
    <row r="16" spans="1:5" x14ac:dyDescent="0.3">
      <c r="A16">
        <v>15</v>
      </c>
      <c r="B16">
        <v>70</v>
      </c>
      <c r="C16">
        <v>90</v>
      </c>
      <c r="D16">
        <v>1</v>
      </c>
      <c r="E16">
        <v>2</v>
      </c>
    </row>
    <row r="17" spans="1:5" x14ac:dyDescent="0.3">
      <c r="A17">
        <v>16</v>
      </c>
      <c r="B17">
        <v>300</v>
      </c>
      <c r="C17">
        <v>400</v>
      </c>
      <c r="D17">
        <v>1</v>
      </c>
      <c r="E17">
        <v>4</v>
      </c>
    </row>
    <row r="18" spans="1:5" x14ac:dyDescent="0.3">
      <c r="A18">
        <v>17</v>
      </c>
      <c r="B18">
        <v>250</v>
      </c>
      <c r="C18">
        <v>300</v>
      </c>
      <c r="D18">
        <v>3</v>
      </c>
      <c r="E18">
        <v>3</v>
      </c>
    </row>
    <row r="19" spans="1:5" x14ac:dyDescent="0.3">
      <c r="A19">
        <v>18</v>
      </c>
      <c r="B19">
        <v>300</v>
      </c>
      <c r="C19">
        <v>350</v>
      </c>
      <c r="D19">
        <v>1</v>
      </c>
      <c r="E19">
        <v>1</v>
      </c>
    </row>
    <row r="20" spans="1:5" x14ac:dyDescent="0.3">
      <c r="A20">
        <v>19</v>
      </c>
      <c r="B20">
        <v>280</v>
      </c>
      <c r="C20">
        <v>290</v>
      </c>
      <c r="D20">
        <v>1</v>
      </c>
      <c r="E20">
        <v>1</v>
      </c>
    </row>
    <row r="21" spans="1:5" x14ac:dyDescent="0.3">
      <c r="A21">
        <v>20</v>
      </c>
      <c r="B21">
        <v>250</v>
      </c>
      <c r="C21">
        <v>350</v>
      </c>
      <c r="D21">
        <v>1</v>
      </c>
      <c r="E21">
        <v>1</v>
      </c>
    </row>
    <row r="22" spans="1:5" x14ac:dyDescent="0.3">
      <c r="A22">
        <v>21</v>
      </c>
      <c r="B22">
        <v>200</v>
      </c>
      <c r="C22">
        <v>220</v>
      </c>
      <c r="D22">
        <v>2</v>
      </c>
      <c r="E22">
        <v>3</v>
      </c>
    </row>
    <row r="23" spans="1:5" x14ac:dyDescent="0.3">
      <c r="A23">
        <v>22</v>
      </c>
      <c r="B23">
        <v>150</v>
      </c>
      <c r="C23">
        <v>160</v>
      </c>
      <c r="D23">
        <v>2</v>
      </c>
      <c r="E23">
        <v>3</v>
      </c>
    </row>
    <row r="24" spans="1:5" x14ac:dyDescent="0.3">
      <c r="A24">
        <v>23</v>
      </c>
      <c r="B24">
        <v>300</v>
      </c>
      <c r="C24">
        <v>350</v>
      </c>
      <c r="D24">
        <v>1</v>
      </c>
      <c r="E24">
        <v>1</v>
      </c>
    </row>
    <row r="25" spans="1:5" x14ac:dyDescent="0.3">
      <c r="A25">
        <v>24</v>
      </c>
      <c r="B25">
        <v>180</v>
      </c>
      <c r="C25">
        <v>200</v>
      </c>
      <c r="D25">
        <v>1</v>
      </c>
      <c r="E25">
        <v>2</v>
      </c>
    </row>
    <row r="26" spans="1:5" x14ac:dyDescent="0.3">
      <c r="A26">
        <v>25</v>
      </c>
      <c r="B26">
        <v>100</v>
      </c>
      <c r="C26">
        <v>150</v>
      </c>
      <c r="D26">
        <v>1</v>
      </c>
      <c r="E26">
        <v>3</v>
      </c>
    </row>
    <row r="27" spans="1:5" x14ac:dyDescent="0.3">
      <c r="A27">
        <v>26</v>
      </c>
      <c r="B27">
        <v>312</v>
      </c>
      <c r="C27">
        <v>325</v>
      </c>
      <c r="D27">
        <v>1</v>
      </c>
      <c r="E27">
        <v>2</v>
      </c>
    </row>
    <row r="28" spans="1:5" x14ac:dyDescent="0.3">
      <c r="A28">
        <v>27</v>
      </c>
      <c r="B28">
        <v>300</v>
      </c>
      <c r="C28">
        <v>350</v>
      </c>
      <c r="D28">
        <v>1</v>
      </c>
      <c r="E28">
        <v>2</v>
      </c>
    </row>
    <row r="29" spans="1:5" x14ac:dyDescent="0.3">
      <c r="A29">
        <v>28</v>
      </c>
      <c r="B29">
        <v>199</v>
      </c>
      <c r="C29">
        <v>255</v>
      </c>
      <c r="D29">
        <v>1</v>
      </c>
      <c r="E29">
        <v>2</v>
      </c>
    </row>
    <row r="30" spans="1:5" x14ac:dyDescent="0.3">
      <c r="A30">
        <v>29</v>
      </c>
      <c r="B30">
        <v>60</v>
      </c>
      <c r="C30">
        <v>90</v>
      </c>
      <c r="D30">
        <v>1</v>
      </c>
      <c r="E30">
        <v>2</v>
      </c>
    </row>
    <row r="31" spans="1:5" x14ac:dyDescent="0.3">
      <c r="A31">
        <v>30</v>
      </c>
      <c r="B31">
        <v>180</v>
      </c>
      <c r="C31">
        <v>220</v>
      </c>
      <c r="D31">
        <v>2</v>
      </c>
      <c r="E31">
        <v>3</v>
      </c>
    </row>
    <row r="32" spans="1:5" x14ac:dyDescent="0.3">
      <c r="A32">
        <v>31</v>
      </c>
      <c r="B32">
        <v>290</v>
      </c>
      <c r="C32">
        <v>300</v>
      </c>
      <c r="D32">
        <v>2</v>
      </c>
      <c r="E32">
        <v>3</v>
      </c>
    </row>
    <row r="33" spans="1:5" x14ac:dyDescent="0.3">
      <c r="A33">
        <v>32</v>
      </c>
      <c r="B33">
        <v>99</v>
      </c>
      <c r="C33">
        <v>105</v>
      </c>
      <c r="D33">
        <v>1</v>
      </c>
      <c r="E33">
        <v>2</v>
      </c>
    </row>
    <row r="34" spans="1:5" x14ac:dyDescent="0.3">
      <c r="A34">
        <v>33</v>
      </c>
      <c r="B34">
        <v>360</v>
      </c>
      <c r="C34">
        <v>415</v>
      </c>
      <c r="D34">
        <v>2</v>
      </c>
      <c r="E34">
        <v>3</v>
      </c>
    </row>
    <row r="35" spans="1:5" x14ac:dyDescent="0.3">
      <c r="A35">
        <v>34</v>
      </c>
      <c r="B35">
        <v>139</v>
      </c>
      <c r="C35">
        <v>140</v>
      </c>
      <c r="D35">
        <v>2</v>
      </c>
      <c r="E35">
        <v>2</v>
      </c>
    </row>
    <row r="36" spans="1:5" x14ac:dyDescent="0.3">
      <c r="A36">
        <v>35</v>
      </c>
      <c r="B36">
        <v>250</v>
      </c>
      <c r="C36">
        <v>300</v>
      </c>
      <c r="D36">
        <v>1</v>
      </c>
      <c r="E36">
        <v>2</v>
      </c>
    </row>
    <row r="37" spans="1:5" x14ac:dyDescent="0.3">
      <c r="A37">
        <v>36</v>
      </c>
      <c r="B37">
        <v>150</v>
      </c>
      <c r="C37">
        <v>300</v>
      </c>
      <c r="D37">
        <v>1</v>
      </c>
      <c r="E37">
        <v>1</v>
      </c>
    </row>
    <row r="38" spans="1:5" x14ac:dyDescent="0.3">
      <c r="A38">
        <v>37</v>
      </c>
      <c r="B38">
        <v>250</v>
      </c>
      <c r="C38">
        <v>400</v>
      </c>
      <c r="D38">
        <v>3</v>
      </c>
      <c r="E38">
        <v>3</v>
      </c>
    </row>
    <row r="39" spans="1:5" x14ac:dyDescent="0.3">
      <c r="A39">
        <v>38</v>
      </c>
      <c r="B39">
        <v>300</v>
      </c>
      <c r="C39">
        <v>350</v>
      </c>
      <c r="D39">
        <v>1</v>
      </c>
      <c r="E39">
        <v>2</v>
      </c>
    </row>
    <row r="40" spans="1:5" x14ac:dyDescent="0.3">
      <c r="A40">
        <v>39</v>
      </c>
      <c r="B40">
        <v>110</v>
      </c>
      <c r="C40">
        <v>150</v>
      </c>
      <c r="D40">
        <v>1</v>
      </c>
      <c r="E40">
        <v>1</v>
      </c>
    </row>
    <row r="41" spans="1:5" x14ac:dyDescent="0.3">
      <c r="A41">
        <v>40</v>
      </c>
      <c r="B41">
        <v>150</v>
      </c>
      <c r="C41">
        <v>200</v>
      </c>
      <c r="D41">
        <v>1</v>
      </c>
      <c r="E41">
        <v>2</v>
      </c>
    </row>
    <row r="42" spans="1:5" x14ac:dyDescent="0.3">
      <c r="A42">
        <v>41</v>
      </c>
      <c r="B42">
        <v>155</v>
      </c>
      <c r="C42">
        <v>170</v>
      </c>
      <c r="D42">
        <v>2</v>
      </c>
      <c r="E42">
        <v>2</v>
      </c>
    </row>
    <row r="43" spans="1:5" x14ac:dyDescent="0.3">
      <c r="A43">
        <v>42</v>
      </c>
      <c r="B43">
        <v>125</v>
      </c>
      <c r="C43">
        <v>200</v>
      </c>
      <c r="D43">
        <v>1</v>
      </c>
      <c r="E43">
        <v>4</v>
      </c>
    </row>
    <row r="44" spans="1:5" x14ac:dyDescent="0.3">
      <c r="A44">
        <v>43</v>
      </c>
      <c r="B44">
        <v>100</v>
      </c>
      <c r="C44">
        <v>120</v>
      </c>
      <c r="D44">
        <v>2</v>
      </c>
      <c r="E44">
        <v>3</v>
      </c>
    </row>
    <row r="45" spans="1:5" x14ac:dyDescent="0.3">
      <c r="A45">
        <v>44</v>
      </c>
      <c r="B45">
        <v>100</v>
      </c>
      <c r="C45">
        <v>200</v>
      </c>
      <c r="D45">
        <v>1</v>
      </c>
      <c r="E45">
        <v>4</v>
      </c>
    </row>
    <row r="46" spans="1:5" x14ac:dyDescent="0.3">
      <c r="A46">
        <v>45</v>
      </c>
      <c r="B46">
        <v>150</v>
      </c>
      <c r="C46">
        <v>200</v>
      </c>
      <c r="D46">
        <v>2</v>
      </c>
      <c r="E46">
        <v>3</v>
      </c>
    </row>
    <row r="47" spans="1:5" x14ac:dyDescent="0.3">
      <c r="A47">
        <v>46</v>
      </c>
      <c r="B47">
        <v>150</v>
      </c>
      <c r="C47">
        <v>180</v>
      </c>
      <c r="D47">
        <v>1</v>
      </c>
      <c r="E47">
        <v>1</v>
      </c>
    </row>
    <row r="48" spans="1:5" x14ac:dyDescent="0.3">
      <c r="A48">
        <v>47</v>
      </c>
      <c r="B48">
        <v>200</v>
      </c>
      <c r="C48">
        <v>250</v>
      </c>
      <c r="D48">
        <v>1</v>
      </c>
      <c r="E48">
        <v>2</v>
      </c>
    </row>
    <row r="49" spans="1:5" x14ac:dyDescent="0.3">
      <c r="A49">
        <v>48</v>
      </c>
      <c r="B49">
        <v>400</v>
      </c>
      <c r="C49">
        <v>430</v>
      </c>
      <c r="D49">
        <v>3</v>
      </c>
      <c r="E49">
        <v>3</v>
      </c>
    </row>
    <row r="50" spans="1:5" x14ac:dyDescent="0.3">
      <c r="A50">
        <v>49</v>
      </c>
      <c r="B50">
        <v>50</v>
      </c>
      <c r="C50">
        <v>100</v>
      </c>
      <c r="D50">
        <v>3</v>
      </c>
      <c r="E50">
        <v>3</v>
      </c>
    </row>
    <row r="51" spans="1:5" x14ac:dyDescent="0.3">
      <c r="A51">
        <v>50</v>
      </c>
      <c r="B51">
        <v>150</v>
      </c>
      <c r="C51">
        <v>200</v>
      </c>
      <c r="D51">
        <v>1</v>
      </c>
      <c r="E51">
        <v>1</v>
      </c>
    </row>
    <row r="52" spans="1:5" x14ac:dyDescent="0.3">
      <c r="A52">
        <v>51</v>
      </c>
      <c r="B52">
        <v>200</v>
      </c>
      <c r="C52">
        <v>280</v>
      </c>
      <c r="D52">
        <v>1</v>
      </c>
      <c r="E52">
        <v>3</v>
      </c>
    </row>
    <row r="53" spans="1:5" x14ac:dyDescent="0.3">
      <c r="A53">
        <v>52</v>
      </c>
      <c r="B53">
        <v>400</v>
      </c>
      <c r="C53">
        <v>450</v>
      </c>
      <c r="D53">
        <v>2</v>
      </c>
      <c r="E53">
        <v>2</v>
      </c>
    </row>
    <row r="54" spans="1:5" x14ac:dyDescent="0.3">
      <c r="A54">
        <v>53</v>
      </c>
      <c r="B54">
        <v>400</v>
      </c>
      <c r="C54">
        <v>440</v>
      </c>
      <c r="D54">
        <v>2</v>
      </c>
      <c r="E54">
        <v>2</v>
      </c>
    </row>
    <row r="55" spans="1:5" x14ac:dyDescent="0.3">
      <c r="A55">
        <v>54</v>
      </c>
      <c r="B55">
        <v>200</v>
      </c>
      <c r="C55">
        <v>300</v>
      </c>
      <c r="D55">
        <v>1</v>
      </c>
      <c r="E55">
        <v>3</v>
      </c>
    </row>
    <row r="56" spans="1:5" x14ac:dyDescent="0.3">
      <c r="A56">
        <v>55</v>
      </c>
      <c r="B56">
        <v>180</v>
      </c>
      <c r="C56">
        <v>200</v>
      </c>
      <c r="D56">
        <v>2</v>
      </c>
      <c r="E56">
        <v>3</v>
      </c>
    </row>
    <row r="57" spans="1:5" x14ac:dyDescent="0.3">
      <c r="A57">
        <v>56</v>
      </c>
      <c r="B57">
        <v>200</v>
      </c>
      <c r="C57">
        <v>300</v>
      </c>
      <c r="D57">
        <v>1</v>
      </c>
      <c r="E57">
        <v>2</v>
      </c>
    </row>
    <row r="58" spans="1:5" x14ac:dyDescent="0.3">
      <c r="A58">
        <v>57</v>
      </c>
      <c r="B58">
        <v>99</v>
      </c>
      <c r="C58">
        <v>120</v>
      </c>
      <c r="D58">
        <v>1</v>
      </c>
      <c r="E58">
        <v>2</v>
      </c>
    </row>
    <row r="59" spans="1:5" x14ac:dyDescent="0.3">
      <c r="A59">
        <v>58</v>
      </c>
      <c r="B59">
        <v>300</v>
      </c>
      <c r="C59">
        <v>600</v>
      </c>
      <c r="D59">
        <v>1</v>
      </c>
      <c r="E59">
        <v>3</v>
      </c>
    </row>
    <row r="60" spans="1:5" x14ac:dyDescent="0.3">
      <c r="A60">
        <v>59</v>
      </c>
      <c r="B60">
        <v>90</v>
      </c>
      <c r="C60">
        <v>120</v>
      </c>
      <c r="D60">
        <v>2</v>
      </c>
      <c r="E60">
        <v>3</v>
      </c>
    </row>
    <row r="61" spans="1:5" x14ac:dyDescent="0.3">
      <c r="A61">
        <v>60</v>
      </c>
      <c r="B61">
        <v>97</v>
      </c>
      <c r="C61">
        <v>98</v>
      </c>
      <c r="D61">
        <v>1</v>
      </c>
      <c r="E61">
        <v>1</v>
      </c>
    </row>
    <row r="62" spans="1:5" x14ac:dyDescent="0.3">
      <c r="A62">
        <v>61</v>
      </c>
      <c r="B62">
        <v>100</v>
      </c>
      <c r="C62">
        <v>200</v>
      </c>
      <c r="D62">
        <v>1</v>
      </c>
      <c r="E62">
        <v>2</v>
      </c>
    </row>
    <row r="63" spans="1:5" x14ac:dyDescent="0.3">
      <c r="A63">
        <v>62</v>
      </c>
      <c r="B63">
        <v>250</v>
      </c>
      <c r="C63">
        <v>300</v>
      </c>
      <c r="D63">
        <v>2</v>
      </c>
      <c r="E63">
        <v>2</v>
      </c>
    </row>
    <row r="64" spans="1:5" x14ac:dyDescent="0.3">
      <c r="A64">
        <v>63</v>
      </c>
      <c r="B64">
        <v>100</v>
      </c>
      <c r="C64">
        <v>120</v>
      </c>
      <c r="D64">
        <v>2</v>
      </c>
      <c r="E64">
        <v>4</v>
      </c>
    </row>
    <row r="65" spans="1:5" x14ac:dyDescent="0.3">
      <c r="A65">
        <v>64</v>
      </c>
      <c r="B65">
        <v>300</v>
      </c>
      <c r="C65">
        <v>350</v>
      </c>
      <c r="D65">
        <v>1</v>
      </c>
      <c r="E65">
        <v>3</v>
      </c>
    </row>
    <row r="66" spans="1:5" x14ac:dyDescent="0.3">
      <c r="A66">
        <v>65</v>
      </c>
      <c r="B66">
        <v>300</v>
      </c>
      <c r="C66">
        <v>360</v>
      </c>
      <c r="D66">
        <v>2</v>
      </c>
      <c r="E66">
        <v>2</v>
      </c>
    </row>
    <row r="67" spans="1:5" x14ac:dyDescent="0.3">
      <c r="A67">
        <v>66</v>
      </c>
      <c r="B67">
        <v>300</v>
      </c>
      <c r="C67">
        <v>380</v>
      </c>
      <c r="D67">
        <v>1</v>
      </c>
      <c r="E67">
        <v>2</v>
      </c>
    </row>
    <row r="68" spans="1:5" x14ac:dyDescent="0.3">
      <c r="A68">
        <v>67</v>
      </c>
      <c r="B68">
        <v>199</v>
      </c>
      <c r="C68">
        <v>299</v>
      </c>
      <c r="D68">
        <v>2</v>
      </c>
      <c r="E68">
        <v>3</v>
      </c>
    </row>
    <row r="69" spans="1:5" x14ac:dyDescent="0.3">
      <c r="A69">
        <v>68</v>
      </c>
      <c r="B69">
        <v>150</v>
      </c>
      <c r="C69">
        <v>200</v>
      </c>
      <c r="D69">
        <v>1</v>
      </c>
      <c r="E69">
        <v>3</v>
      </c>
    </row>
    <row r="70" spans="1:5" x14ac:dyDescent="0.3">
      <c r="A70">
        <v>69</v>
      </c>
      <c r="B70">
        <v>200</v>
      </c>
      <c r="C70">
        <v>250</v>
      </c>
      <c r="D70">
        <v>2</v>
      </c>
      <c r="E70">
        <v>3</v>
      </c>
    </row>
    <row r="71" spans="1:5" x14ac:dyDescent="0.3">
      <c r="A71">
        <v>70</v>
      </c>
      <c r="B71">
        <v>400</v>
      </c>
      <c r="C71">
        <v>450</v>
      </c>
      <c r="D71">
        <v>2</v>
      </c>
      <c r="E71">
        <v>3</v>
      </c>
    </row>
    <row r="72" spans="1:5" x14ac:dyDescent="0.3">
      <c r="A72">
        <v>71</v>
      </c>
      <c r="B72">
        <v>200</v>
      </c>
      <c r="C72">
        <v>230</v>
      </c>
      <c r="D72">
        <v>3</v>
      </c>
      <c r="E72">
        <v>4</v>
      </c>
    </row>
    <row r="73" spans="1:5" x14ac:dyDescent="0.3">
      <c r="A73">
        <v>72</v>
      </c>
      <c r="B73">
        <v>320</v>
      </c>
      <c r="C73">
        <v>380</v>
      </c>
      <c r="D73">
        <v>1</v>
      </c>
      <c r="E73">
        <v>2</v>
      </c>
    </row>
    <row r="74" spans="1:5" x14ac:dyDescent="0.3">
      <c r="A74">
        <v>73</v>
      </c>
      <c r="B74">
        <v>300</v>
      </c>
      <c r="C74">
        <v>350</v>
      </c>
      <c r="D74">
        <v>1</v>
      </c>
      <c r="E74">
        <v>1</v>
      </c>
    </row>
    <row r="75" spans="1:5" x14ac:dyDescent="0.3">
      <c r="A75">
        <v>74</v>
      </c>
      <c r="B75">
        <v>150</v>
      </c>
      <c r="C75">
        <v>200</v>
      </c>
      <c r="D75">
        <v>2</v>
      </c>
      <c r="E75">
        <v>2</v>
      </c>
    </row>
    <row r="76" spans="1:5" x14ac:dyDescent="0.3">
      <c r="A76">
        <v>75</v>
      </c>
      <c r="B76">
        <v>29</v>
      </c>
      <c r="C76">
        <v>30</v>
      </c>
      <c r="D76">
        <v>1</v>
      </c>
      <c r="E76">
        <v>1</v>
      </c>
    </row>
    <row r="77" spans="1:5" x14ac:dyDescent="0.3">
      <c r="A77">
        <v>76</v>
      </c>
      <c r="B77">
        <v>250</v>
      </c>
      <c r="C77">
        <v>350</v>
      </c>
      <c r="D77">
        <v>1</v>
      </c>
      <c r="E77">
        <v>2</v>
      </c>
    </row>
    <row r="78" spans="1:5" x14ac:dyDescent="0.3">
      <c r="A78">
        <v>77</v>
      </c>
      <c r="B78">
        <v>150</v>
      </c>
      <c r="C78">
        <v>155</v>
      </c>
      <c r="D78">
        <v>2</v>
      </c>
      <c r="E78">
        <v>3</v>
      </c>
    </row>
    <row r="79" spans="1:5" x14ac:dyDescent="0.3">
      <c r="A79">
        <v>78</v>
      </c>
      <c r="B79">
        <v>200</v>
      </c>
      <c r="C79">
        <v>250</v>
      </c>
      <c r="D79">
        <v>1</v>
      </c>
      <c r="E79">
        <v>3</v>
      </c>
    </row>
    <row r="80" spans="1:5" x14ac:dyDescent="0.3">
      <c r="A80">
        <v>79</v>
      </c>
      <c r="B80">
        <v>170</v>
      </c>
      <c r="C80">
        <v>174</v>
      </c>
      <c r="D80">
        <v>2</v>
      </c>
      <c r="E80">
        <v>2</v>
      </c>
    </row>
    <row r="81" spans="1:5" x14ac:dyDescent="0.3">
      <c r="A81">
        <v>80</v>
      </c>
      <c r="B81">
        <v>399</v>
      </c>
      <c r="C81">
        <v>420</v>
      </c>
      <c r="D81">
        <v>1</v>
      </c>
      <c r="E81">
        <v>2</v>
      </c>
    </row>
    <row r="82" spans="1:5" x14ac:dyDescent="0.3">
      <c r="A82">
        <v>81</v>
      </c>
      <c r="B82">
        <v>200</v>
      </c>
      <c r="C82">
        <v>250</v>
      </c>
      <c r="D82">
        <v>1</v>
      </c>
      <c r="E82">
        <v>1</v>
      </c>
    </row>
    <row r="83" spans="1:5" x14ac:dyDescent="0.3">
      <c r="A83">
        <v>82</v>
      </c>
      <c r="B83">
        <v>150</v>
      </c>
      <c r="C83">
        <v>160</v>
      </c>
      <c r="D83">
        <v>2</v>
      </c>
      <c r="E83">
        <v>2</v>
      </c>
    </row>
    <row r="84" spans="1:5" x14ac:dyDescent="0.3">
      <c r="A84">
        <v>83</v>
      </c>
      <c r="B84">
        <v>300</v>
      </c>
      <c r="C84">
        <v>350</v>
      </c>
      <c r="D84">
        <v>2</v>
      </c>
      <c r="E84">
        <v>4</v>
      </c>
    </row>
    <row r="85" spans="1:5" x14ac:dyDescent="0.3">
      <c r="A85">
        <v>84</v>
      </c>
      <c r="B85">
        <v>140</v>
      </c>
      <c r="C85">
        <v>180</v>
      </c>
      <c r="D85">
        <v>1</v>
      </c>
      <c r="E85">
        <v>2</v>
      </c>
    </row>
    <row r="86" spans="1:5" x14ac:dyDescent="0.3">
      <c r="A86">
        <v>85</v>
      </c>
      <c r="B86">
        <v>190</v>
      </c>
      <c r="C86">
        <v>200</v>
      </c>
      <c r="D86">
        <v>2</v>
      </c>
      <c r="E86">
        <v>2</v>
      </c>
    </row>
    <row r="87" spans="1:5" x14ac:dyDescent="0.3">
      <c r="A87">
        <v>86</v>
      </c>
      <c r="B87">
        <v>150</v>
      </c>
      <c r="C87">
        <v>200</v>
      </c>
      <c r="D87">
        <v>2</v>
      </c>
      <c r="E87">
        <v>3</v>
      </c>
    </row>
    <row r="88" spans="1:5" x14ac:dyDescent="0.3">
      <c r="A88">
        <v>87</v>
      </c>
      <c r="B88">
        <v>200</v>
      </c>
      <c r="C88">
        <v>250</v>
      </c>
      <c r="D88">
        <v>2</v>
      </c>
      <c r="E88">
        <v>3</v>
      </c>
    </row>
    <row r="89" spans="1:5" x14ac:dyDescent="0.3">
      <c r="A89">
        <v>88</v>
      </c>
      <c r="B89">
        <v>100</v>
      </c>
      <c r="C89">
        <v>150</v>
      </c>
      <c r="D89">
        <v>1</v>
      </c>
      <c r="E89">
        <v>1</v>
      </c>
    </row>
    <row r="90" spans="1:5" x14ac:dyDescent="0.3">
      <c r="A90">
        <v>89</v>
      </c>
      <c r="B90">
        <v>300</v>
      </c>
      <c r="C90">
        <v>350</v>
      </c>
      <c r="D90">
        <v>1</v>
      </c>
      <c r="E90">
        <v>1</v>
      </c>
    </row>
    <row r="91" spans="1:5" x14ac:dyDescent="0.3">
      <c r="A91">
        <v>90</v>
      </c>
      <c r="B91">
        <v>100</v>
      </c>
      <c r="C91">
        <v>150</v>
      </c>
      <c r="D91">
        <v>1</v>
      </c>
      <c r="E91">
        <v>3</v>
      </c>
    </row>
    <row r="92" spans="1:5" x14ac:dyDescent="0.3">
      <c r="A92">
        <v>91</v>
      </c>
      <c r="B92">
        <v>200</v>
      </c>
      <c r="C92">
        <v>230</v>
      </c>
      <c r="D92">
        <v>1</v>
      </c>
      <c r="E92">
        <v>3</v>
      </c>
    </row>
    <row r="93" spans="1:5" x14ac:dyDescent="0.3">
      <c r="A93">
        <v>92</v>
      </c>
      <c r="B93">
        <v>300</v>
      </c>
      <c r="C93">
        <v>500</v>
      </c>
      <c r="D93">
        <v>2</v>
      </c>
      <c r="E93">
        <v>2</v>
      </c>
    </row>
    <row r="94" spans="1:5" x14ac:dyDescent="0.3">
      <c r="A94">
        <v>93</v>
      </c>
      <c r="B94">
        <v>300</v>
      </c>
      <c r="C94">
        <v>400</v>
      </c>
      <c r="D94">
        <v>1</v>
      </c>
      <c r="E94">
        <v>2</v>
      </c>
    </row>
    <row r="95" spans="1:5" x14ac:dyDescent="0.3">
      <c r="A95">
        <v>94</v>
      </c>
      <c r="B95">
        <v>200</v>
      </c>
      <c r="C95">
        <v>250</v>
      </c>
      <c r="D95">
        <v>1</v>
      </c>
      <c r="E95">
        <v>2</v>
      </c>
    </row>
    <row r="96" spans="1:5" x14ac:dyDescent="0.3">
      <c r="A96">
        <v>95</v>
      </c>
      <c r="B96">
        <v>280</v>
      </c>
      <c r="C96">
        <v>380</v>
      </c>
      <c r="D96">
        <v>1</v>
      </c>
      <c r="E96">
        <v>2</v>
      </c>
    </row>
    <row r="97" spans="1:5" x14ac:dyDescent="0.3">
      <c r="A97">
        <v>96</v>
      </c>
      <c r="B97">
        <v>150</v>
      </c>
      <c r="C97">
        <v>200</v>
      </c>
      <c r="D97">
        <v>1</v>
      </c>
      <c r="E97">
        <v>2</v>
      </c>
    </row>
    <row r="98" spans="1:5" x14ac:dyDescent="0.3">
      <c r="A98">
        <v>97</v>
      </c>
      <c r="B98">
        <v>50</v>
      </c>
      <c r="C98">
        <v>200</v>
      </c>
      <c r="D98">
        <v>2</v>
      </c>
      <c r="E98">
        <v>2</v>
      </c>
    </row>
    <row r="99" spans="1:5" x14ac:dyDescent="0.3">
      <c r="A99">
        <v>98</v>
      </c>
      <c r="B99">
        <v>100</v>
      </c>
      <c r="C99">
        <v>120</v>
      </c>
      <c r="D99">
        <v>1</v>
      </c>
      <c r="E99">
        <v>2</v>
      </c>
    </row>
    <row r="100" spans="1:5" x14ac:dyDescent="0.3">
      <c r="A100">
        <v>99</v>
      </c>
      <c r="B100">
        <v>250</v>
      </c>
      <c r="C100">
        <v>300</v>
      </c>
      <c r="D100">
        <v>2</v>
      </c>
      <c r="E100">
        <v>4</v>
      </c>
    </row>
    <row r="101" spans="1:5" x14ac:dyDescent="0.3">
      <c r="A101">
        <v>100</v>
      </c>
      <c r="B101">
        <v>250</v>
      </c>
      <c r="C101">
        <v>280</v>
      </c>
      <c r="D101">
        <v>3</v>
      </c>
      <c r="E101">
        <v>3</v>
      </c>
    </row>
    <row r="102" spans="1:5" x14ac:dyDescent="0.3">
      <c r="A102">
        <v>101</v>
      </c>
      <c r="B102">
        <v>199</v>
      </c>
      <c r="C102">
        <v>250</v>
      </c>
      <c r="D102">
        <v>1</v>
      </c>
      <c r="E102">
        <v>2</v>
      </c>
    </row>
    <row r="103" spans="1:5" x14ac:dyDescent="0.3">
      <c r="A103">
        <v>102</v>
      </c>
      <c r="B103">
        <v>150</v>
      </c>
      <c r="C103">
        <v>250</v>
      </c>
      <c r="D103">
        <v>2</v>
      </c>
      <c r="E103">
        <v>3</v>
      </c>
    </row>
    <row r="104" spans="1:5" x14ac:dyDescent="0.3">
      <c r="A104">
        <v>103</v>
      </c>
      <c r="B104">
        <v>200</v>
      </c>
      <c r="C104">
        <v>400</v>
      </c>
      <c r="D104">
        <v>1</v>
      </c>
      <c r="E104">
        <v>3</v>
      </c>
    </row>
    <row r="105" spans="1:5" x14ac:dyDescent="0.3">
      <c r="A105">
        <v>104</v>
      </c>
      <c r="B105">
        <v>100</v>
      </c>
      <c r="C105">
        <v>130</v>
      </c>
      <c r="D105">
        <v>2</v>
      </c>
      <c r="E105">
        <v>2</v>
      </c>
    </row>
    <row r="106" spans="1:5" x14ac:dyDescent="0.3">
      <c r="A106">
        <v>105</v>
      </c>
      <c r="B106">
        <v>150</v>
      </c>
      <c r="C106">
        <v>198</v>
      </c>
      <c r="D106">
        <v>1</v>
      </c>
      <c r="E106">
        <v>2</v>
      </c>
    </row>
    <row r="107" spans="1:5" x14ac:dyDescent="0.3">
      <c r="A107">
        <v>106</v>
      </c>
      <c r="B107">
        <v>250</v>
      </c>
      <c r="C107">
        <v>280</v>
      </c>
      <c r="D107">
        <v>1</v>
      </c>
      <c r="E107">
        <v>3</v>
      </c>
    </row>
    <row r="108" spans="1:5" x14ac:dyDescent="0.3">
      <c r="A108">
        <v>107</v>
      </c>
      <c r="B108">
        <v>120</v>
      </c>
      <c r="C108">
        <v>180</v>
      </c>
      <c r="D108">
        <v>2</v>
      </c>
      <c r="E108">
        <v>2</v>
      </c>
    </row>
    <row r="109" spans="1:5" x14ac:dyDescent="0.3">
      <c r="A109">
        <v>108</v>
      </c>
      <c r="B109">
        <v>200</v>
      </c>
      <c r="C109">
        <v>230</v>
      </c>
      <c r="D109">
        <v>1</v>
      </c>
      <c r="E109">
        <v>1</v>
      </c>
    </row>
    <row r="110" spans="1:5" x14ac:dyDescent="0.3">
      <c r="A110">
        <v>109</v>
      </c>
      <c r="B110">
        <v>150</v>
      </c>
      <c r="C110">
        <v>200</v>
      </c>
      <c r="D110">
        <v>2</v>
      </c>
      <c r="E110">
        <v>3</v>
      </c>
    </row>
    <row r="111" spans="1:5" x14ac:dyDescent="0.3">
      <c r="A111">
        <v>110</v>
      </c>
      <c r="B111">
        <v>200</v>
      </c>
      <c r="C111">
        <v>240</v>
      </c>
      <c r="D111">
        <v>1</v>
      </c>
      <c r="E111">
        <v>2</v>
      </c>
    </row>
    <row r="112" spans="1:5" x14ac:dyDescent="0.3">
      <c r="A112">
        <v>111</v>
      </c>
      <c r="B112">
        <v>250</v>
      </c>
      <c r="C112">
        <v>300</v>
      </c>
      <c r="D112">
        <v>1</v>
      </c>
      <c r="E112">
        <v>2</v>
      </c>
    </row>
    <row r="113" spans="1:5" x14ac:dyDescent="0.3">
      <c r="A113">
        <v>112</v>
      </c>
      <c r="B113">
        <v>250</v>
      </c>
      <c r="C113">
        <v>300</v>
      </c>
      <c r="D113">
        <v>1</v>
      </c>
      <c r="E113">
        <v>2</v>
      </c>
    </row>
    <row r="114" spans="1:5" x14ac:dyDescent="0.3">
      <c r="A114">
        <v>113</v>
      </c>
      <c r="B114">
        <v>115</v>
      </c>
      <c r="C114">
        <v>130</v>
      </c>
      <c r="D114">
        <v>1</v>
      </c>
      <c r="E114">
        <v>2</v>
      </c>
    </row>
    <row r="115" spans="1:5" x14ac:dyDescent="0.3">
      <c r="A115">
        <v>114</v>
      </c>
      <c r="B115">
        <v>200</v>
      </c>
      <c r="C115">
        <v>250</v>
      </c>
      <c r="D115">
        <v>2</v>
      </c>
      <c r="E115">
        <v>3</v>
      </c>
    </row>
    <row r="116" spans="1:5" x14ac:dyDescent="0.3">
      <c r="A116">
        <v>115</v>
      </c>
      <c r="B116">
        <v>21</v>
      </c>
      <c r="C116">
        <v>25</v>
      </c>
      <c r="D116">
        <v>5</v>
      </c>
      <c r="E116">
        <v>5</v>
      </c>
    </row>
    <row r="117" spans="1:5" x14ac:dyDescent="0.3">
      <c r="A117">
        <v>116</v>
      </c>
      <c r="B117">
        <v>250</v>
      </c>
      <c r="C117">
        <v>400</v>
      </c>
      <c r="D117">
        <v>1</v>
      </c>
      <c r="E117">
        <v>3</v>
      </c>
    </row>
    <row r="118" spans="1:5" x14ac:dyDescent="0.3">
      <c r="A118">
        <v>117</v>
      </c>
      <c r="B118">
        <v>250</v>
      </c>
      <c r="C118">
        <v>260</v>
      </c>
      <c r="D118">
        <v>1</v>
      </c>
      <c r="E118">
        <v>2</v>
      </c>
    </row>
    <row r="119" spans="1:5" x14ac:dyDescent="0.3">
      <c r="A119">
        <v>118</v>
      </c>
      <c r="B119">
        <v>300</v>
      </c>
      <c r="C119">
        <v>350</v>
      </c>
      <c r="D119">
        <v>1</v>
      </c>
      <c r="E119">
        <v>1</v>
      </c>
    </row>
    <row r="120" spans="1:5" x14ac:dyDescent="0.3">
      <c r="A120">
        <v>119</v>
      </c>
      <c r="B120">
        <v>150</v>
      </c>
      <c r="C120">
        <v>160</v>
      </c>
      <c r="D120">
        <v>1</v>
      </c>
      <c r="E120">
        <v>2</v>
      </c>
    </row>
    <row r="121" spans="1:5" x14ac:dyDescent="0.3">
      <c r="A121">
        <v>120</v>
      </c>
      <c r="B121">
        <v>450</v>
      </c>
      <c r="C121">
        <v>550</v>
      </c>
      <c r="D121">
        <v>1</v>
      </c>
      <c r="E121">
        <v>2</v>
      </c>
    </row>
    <row r="122" spans="1:5" x14ac:dyDescent="0.3">
      <c r="A122">
        <v>121</v>
      </c>
      <c r="B122">
        <v>110</v>
      </c>
      <c r="C122">
        <v>190</v>
      </c>
      <c r="D122">
        <v>2</v>
      </c>
      <c r="E122">
        <v>4</v>
      </c>
    </row>
    <row r="123" spans="1:5" x14ac:dyDescent="0.3">
      <c r="A123">
        <v>122</v>
      </c>
      <c r="B123">
        <v>180</v>
      </c>
      <c r="C123">
        <v>249</v>
      </c>
      <c r="D123">
        <v>1</v>
      </c>
      <c r="E123">
        <v>1</v>
      </c>
    </row>
    <row r="124" spans="1:5" x14ac:dyDescent="0.3">
      <c r="A124">
        <v>123</v>
      </c>
      <c r="B124">
        <v>100</v>
      </c>
      <c r="C124">
        <v>150</v>
      </c>
      <c r="D124">
        <v>1</v>
      </c>
      <c r="E124">
        <v>1</v>
      </c>
    </row>
    <row r="125" spans="1:5" x14ac:dyDescent="0.3">
      <c r="A125">
        <v>124</v>
      </c>
      <c r="B125">
        <v>280</v>
      </c>
      <c r="C125">
        <v>330</v>
      </c>
      <c r="D125">
        <v>1</v>
      </c>
      <c r="E125">
        <v>2</v>
      </c>
    </row>
    <row r="126" spans="1:5" x14ac:dyDescent="0.3">
      <c r="A126">
        <v>125</v>
      </c>
      <c r="B126">
        <v>100</v>
      </c>
      <c r="C126">
        <v>300</v>
      </c>
      <c r="D126">
        <v>1</v>
      </c>
      <c r="E126">
        <v>4</v>
      </c>
    </row>
    <row r="127" spans="1:5" x14ac:dyDescent="0.3">
      <c r="A127">
        <v>126</v>
      </c>
      <c r="B127">
        <v>250</v>
      </c>
      <c r="C127">
        <v>350</v>
      </c>
      <c r="D127">
        <v>2</v>
      </c>
      <c r="E127">
        <v>2</v>
      </c>
    </row>
    <row r="128" spans="1:5" x14ac:dyDescent="0.3">
      <c r="A128">
        <v>127</v>
      </c>
      <c r="B128">
        <v>300</v>
      </c>
      <c r="C128">
        <v>400</v>
      </c>
      <c r="D128">
        <v>1</v>
      </c>
      <c r="E128">
        <v>3</v>
      </c>
    </row>
    <row r="129" spans="1:5" x14ac:dyDescent="0.3">
      <c r="A129">
        <v>128</v>
      </c>
      <c r="B129">
        <v>400</v>
      </c>
      <c r="C129">
        <v>600</v>
      </c>
      <c r="D129">
        <v>1</v>
      </c>
      <c r="E129">
        <v>3</v>
      </c>
    </row>
    <row r="130" spans="1:5" x14ac:dyDescent="0.3">
      <c r="A130">
        <v>129</v>
      </c>
      <c r="B130">
        <v>200</v>
      </c>
      <c r="C130">
        <v>300</v>
      </c>
      <c r="D130">
        <v>1</v>
      </c>
      <c r="E130">
        <v>3</v>
      </c>
    </row>
    <row r="131" spans="1:5" x14ac:dyDescent="0.3">
      <c r="A131">
        <v>130</v>
      </c>
      <c r="B131">
        <v>150</v>
      </c>
      <c r="C131">
        <v>249</v>
      </c>
      <c r="D131">
        <v>1</v>
      </c>
      <c r="E131">
        <v>5</v>
      </c>
    </row>
    <row r="132" spans="1:5" x14ac:dyDescent="0.3">
      <c r="A132">
        <v>131</v>
      </c>
      <c r="B132">
        <v>350</v>
      </c>
      <c r="C132">
        <v>375</v>
      </c>
      <c r="D132">
        <v>1</v>
      </c>
      <c r="E132">
        <v>2</v>
      </c>
    </row>
    <row r="133" spans="1:5" x14ac:dyDescent="0.3">
      <c r="A133">
        <v>132</v>
      </c>
      <c r="B133">
        <v>150</v>
      </c>
      <c r="C133">
        <v>200</v>
      </c>
      <c r="D133">
        <v>2</v>
      </c>
      <c r="E133">
        <v>3</v>
      </c>
    </row>
    <row r="134" spans="1:5" x14ac:dyDescent="0.3">
      <c r="A134">
        <v>133</v>
      </c>
      <c r="B134">
        <v>150</v>
      </c>
      <c r="C134">
        <v>170</v>
      </c>
      <c r="D134">
        <v>1</v>
      </c>
      <c r="E134">
        <v>3</v>
      </c>
    </row>
    <row r="135" spans="1:5" x14ac:dyDescent="0.3">
      <c r="A135">
        <v>134</v>
      </c>
      <c r="B135">
        <v>250</v>
      </c>
      <c r="C135">
        <v>300</v>
      </c>
      <c r="D135">
        <v>3</v>
      </c>
      <c r="E135">
        <v>4</v>
      </c>
    </row>
    <row r="136" spans="1:5" x14ac:dyDescent="0.3">
      <c r="A136">
        <v>135</v>
      </c>
      <c r="B136">
        <v>171</v>
      </c>
      <c r="C136">
        <v>250</v>
      </c>
      <c r="D136">
        <v>1</v>
      </c>
      <c r="E136">
        <v>3</v>
      </c>
    </row>
    <row r="137" spans="1:5" x14ac:dyDescent="0.3">
      <c r="A137">
        <v>136</v>
      </c>
      <c r="B137">
        <v>200</v>
      </c>
      <c r="C137">
        <v>220</v>
      </c>
      <c r="D137">
        <v>1</v>
      </c>
      <c r="E137">
        <v>2</v>
      </c>
    </row>
    <row r="138" spans="1:5" x14ac:dyDescent="0.3">
      <c r="A138">
        <v>137</v>
      </c>
      <c r="B138">
        <v>65</v>
      </c>
      <c r="C138">
        <v>66</v>
      </c>
      <c r="D138">
        <v>5</v>
      </c>
      <c r="E138">
        <v>5</v>
      </c>
    </row>
    <row r="139" spans="1:5" x14ac:dyDescent="0.3">
      <c r="A139">
        <v>138</v>
      </c>
      <c r="B139">
        <v>200</v>
      </c>
      <c r="C139">
        <v>600</v>
      </c>
      <c r="D139">
        <v>1</v>
      </c>
      <c r="E139">
        <v>3</v>
      </c>
    </row>
    <row r="140" spans="1:5" x14ac:dyDescent="0.3">
      <c r="A140">
        <v>139</v>
      </c>
      <c r="B140">
        <v>33</v>
      </c>
      <c r="C140">
        <v>55</v>
      </c>
      <c r="D140">
        <v>5</v>
      </c>
      <c r="E140">
        <v>5</v>
      </c>
    </row>
    <row r="141" spans="1:5" x14ac:dyDescent="0.3">
      <c r="A141">
        <v>140</v>
      </c>
      <c r="B141">
        <v>270</v>
      </c>
      <c r="C141">
        <v>290</v>
      </c>
      <c r="D141">
        <v>2</v>
      </c>
      <c r="E141">
        <v>3</v>
      </c>
    </row>
    <row r="142" spans="1:5" x14ac:dyDescent="0.3">
      <c r="A142">
        <v>141</v>
      </c>
      <c r="B142">
        <v>200</v>
      </c>
      <c r="C142">
        <v>230</v>
      </c>
      <c r="D142">
        <v>2</v>
      </c>
      <c r="E142">
        <v>3</v>
      </c>
    </row>
    <row r="143" spans="1:5" x14ac:dyDescent="0.3">
      <c r="A143">
        <v>142</v>
      </c>
      <c r="B143">
        <v>300</v>
      </c>
      <c r="C143">
        <v>350</v>
      </c>
      <c r="D143">
        <v>2</v>
      </c>
      <c r="E143">
        <v>3</v>
      </c>
    </row>
    <row r="144" spans="1:5" x14ac:dyDescent="0.3">
      <c r="A144">
        <v>143</v>
      </c>
      <c r="B144">
        <v>300</v>
      </c>
      <c r="C144">
        <v>380</v>
      </c>
      <c r="D144">
        <v>1</v>
      </c>
      <c r="E144">
        <v>2</v>
      </c>
    </row>
    <row r="145" spans="1:5" x14ac:dyDescent="0.3">
      <c r="A145">
        <v>144</v>
      </c>
      <c r="B145">
        <v>150</v>
      </c>
      <c r="C145">
        <v>250</v>
      </c>
      <c r="D145">
        <v>1</v>
      </c>
      <c r="E145">
        <v>2</v>
      </c>
    </row>
    <row r="146" spans="1:5" x14ac:dyDescent="0.3">
      <c r="A146">
        <v>145</v>
      </c>
      <c r="B146">
        <v>200</v>
      </c>
      <c r="C146">
        <v>300</v>
      </c>
      <c r="D146">
        <v>2</v>
      </c>
      <c r="E146">
        <v>3</v>
      </c>
    </row>
    <row r="147" spans="1:5" x14ac:dyDescent="0.3">
      <c r="A147">
        <v>146</v>
      </c>
      <c r="B147">
        <v>400</v>
      </c>
      <c r="C147">
        <v>500</v>
      </c>
      <c r="D147">
        <v>1</v>
      </c>
      <c r="E147">
        <v>2</v>
      </c>
    </row>
    <row r="148" spans="1:5" x14ac:dyDescent="0.3">
      <c r="A148">
        <v>147</v>
      </c>
      <c r="B148">
        <v>250</v>
      </c>
      <c r="C148">
        <v>300</v>
      </c>
      <c r="D148">
        <v>2</v>
      </c>
      <c r="E148">
        <v>3</v>
      </c>
    </row>
    <row r="149" spans="1:5" x14ac:dyDescent="0.3">
      <c r="A149">
        <v>148</v>
      </c>
      <c r="B149">
        <v>50</v>
      </c>
      <c r="C149">
        <v>60</v>
      </c>
      <c r="D149">
        <v>1</v>
      </c>
      <c r="E149">
        <v>2</v>
      </c>
    </row>
    <row r="150" spans="1:5" x14ac:dyDescent="0.3">
      <c r="A150">
        <v>149</v>
      </c>
      <c r="B150">
        <v>300</v>
      </c>
      <c r="C150">
        <v>400</v>
      </c>
      <c r="D150">
        <v>1</v>
      </c>
      <c r="E150">
        <v>3</v>
      </c>
    </row>
    <row r="151" spans="1:5" x14ac:dyDescent="0.3">
      <c r="A151">
        <v>150</v>
      </c>
      <c r="B151">
        <v>300</v>
      </c>
      <c r="C151">
        <v>350</v>
      </c>
      <c r="D151">
        <v>2</v>
      </c>
      <c r="E151">
        <v>3</v>
      </c>
    </row>
    <row r="152" spans="1:5" x14ac:dyDescent="0.3">
      <c r="A152">
        <v>151</v>
      </c>
      <c r="B152">
        <v>300</v>
      </c>
      <c r="C152">
        <v>350</v>
      </c>
      <c r="D152">
        <v>2</v>
      </c>
      <c r="E152">
        <v>2</v>
      </c>
    </row>
    <row r="153" spans="1:5" x14ac:dyDescent="0.3">
      <c r="A153">
        <v>152</v>
      </c>
      <c r="B153">
        <v>150</v>
      </c>
      <c r="C153">
        <v>200</v>
      </c>
      <c r="D153">
        <v>2</v>
      </c>
      <c r="E153">
        <v>3</v>
      </c>
    </row>
    <row r="154" spans="1:5" x14ac:dyDescent="0.3">
      <c r="A154">
        <v>153</v>
      </c>
      <c r="B154">
        <v>120</v>
      </c>
      <c r="C154">
        <v>149</v>
      </c>
      <c r="D154">
        <v>2</v>
      </c>
      <c r="E154">
        <v>3</v>
      </c>
    </row>
    <row r="155" spans="1:5" x14ac:dyDescent="0.3">
      <c r="A155">
        <v>154</v>
      </c>
      <c r="B155">
        <v>190</v>
      </c>
      <c r="C155">
        <v>220</v>
      </c>
      <c r="D155">
        <v>1</v>
      </c>
      <c r="E155">
        <v>2</v>
      </c>
    </row>
    <row r="156" spans="1:5" x14ac:dyDescent="0.3">
      <c r="A156">
        <v>155</v>
      </c>
      <c r="B156">
        <v>200</v>
      </c>
      <c r="C156">
        <v>350</v>
      </c>
      <c r="D156">
        <v>1</v>
      </c>
      <c r="E156">
        <v>3</v>
      </c>
    </row>
    <row r="157" spans="1:5" x14ac:dyDescent="0.3">
      <c r="A157">
        <v>156</v>
      </c>
      <c r="B157">
        <v>100</v>
      </c>
      <c r="C157">
        <v>198</v>
      </c>
      <c r="D157">
        <v>1</v>
      </c>
      <c r="E157">
        <v>2</v>
      </c>
    </row>
    <row r="158" spans="1:5" x14ac:dyDescent="0.3">
      <c r="A158">
        <v>157</v>
      </c>
      <c r="B158">
        <v>249</v>
      </c>
      <c r="C158">
        <v>299</v>
      </c>
      <c r="D158">
        <v>1</v>
      </c>
      <c r="E158">
        <v>2</v>
      </c>
    </row>
    <row r="159" spans="1:5" x14ac:dyDescent="0.3">
      <c r="A159">
        <v>158</v>
      </c>
      <c r="B159">
        <v>250</v>
      </c>
      <c r="C159">
        <v>300</v>
      </c>
      <c r="D159">
        <v>1</v>
      </c>
      <c r="E159">
        <v>3</v>
      </c>
    </row>
    <row r="160" spans="1:5" x14ac:dyDescent="0.3">
      <c r="A160">
        <v>159</v>
      </c>
      <c r="B160">
        <v>250</v>
      </c>
      <c r="C160">
        <v>280</v>
      </c>
      <c r="D160">
        <v>3</v>
      </c>
      <c r="E160">
        <v>2</v>
      </c>
    </row>
    <row r="161" spans="1:5" x14ac:dyDescent="0.3">
      <c r="A161">
        <v>160</v>
      </c>
      <c r="B161">
        <v>79</v>
      </c>
      <c r="C161">
        <v>180</v>
      </c>
      <c r="D161">
        <v>1</v>
      </c>
      <c r="E161">
        <v>3</v>
      </c>
    </row>
    <row r="162" spans="1:5" x14ac:dyDescent="0.3">
      <c r="A162">
        <v>161</v>
      </c>
      <c r="B162">
        <v>180</v>
      </c>
      <c r="C162">
        <v>240</v>
      </c>
      <c r="D162">
        <v>1</v>
      </c>
      <c r="E162">
        <v>2</v>
      </c>
    </row>
    <row r="163" spans="1:5" x14ac:dyDescent="0.3">
      <c r="A163">
        <v>162</v>
      </c>
      <c r="B163">
        <v>300</v>
      </c>
      <c r="C163">
        <v>360</v>
      </c>
      <c r="D163">
        <v>2</v>
      </c>
      <c r="E163">
        <v>2</v>
      </c>
    </row>
    <row r="164" spans="1:5" x14ac:dyDescent="0.3">
      <c r="A164">
        <v>163</v>
      </c>
      <c r="B164">
        <v>200</v>
      </c>
      <c r="C164">
        <v>250</v>
      </c>
      <c r="D164">
        <v>2</v>
      </c>
      <c r="E164">
        <v>2</v>
      </c>
    </row>
    <row r="165" spans="1:5" x14ac:dyDescent="0.3">
      <c r="A165">
        <v>164</v>
      </c>
      <c r="B165">
        <v>70</v>
      </c>
      <c r="C165">
        <v>90</v>
      </c>
      <c r="D165">
        <v>2</v>
      </c>
      <c r="E165">
        <v>2</v>
      </c>
    </row>
    <row r="166" spans="1:5" x14ac:dyDescent="0.3">
      <c r="A166">
        <v>165</v>
      </c>
      <c r="B166">
        <v>250</v>
      </c>
      <c r="C166">
        <v>280</v>
      </c>
      <c r="D166">
        <v>3</v>
      </c>
      <c r="E166">
        <v>4</v>
      </c>
    </row>
    <row r="167" spans="1:5" x14ac:dyDescent="0.3">
      <c r="A167">
        <v>166</v>
      </c>
      <c r="B167">
        <v>200</v>
      </c>
      <c r="C167">
        <v>250</v>
      </c>
      <c r="D167">
        <v>2</v>
      </c>
      <c r="E167">
        <v>3</v>
      </c>
    </row>
    <row r="168" spans="1:5" x14ac:dyDescent="0.3">
      <c r="A168">
        <v>167</v>
      </c>
      <c r="B168">
        <v>90</v>
      </c>
      <c r="C168">
        <v>100</v>
      </c>
      <c r="D168">
        <v>2</v>
      </c>
      <c r="E168">
        <v>2</v>
      </c>
    </row>
    <row r="169" spans="1:5" x14ac:dyDescent="0.3">
      <c r="A169">
        <v>168</v>
      </c>
      <c r="B169">
        <v>80</v>
      </c>
      <c r="C169">
        <v>120</v>
      </c>
      <c r="D169">
        <v>3</v>
      </c>
      <c r="E169">
        <v>2</v>
      </c>
    </row>
    <row r="170" spans="1:5" x14ac:dyDescent="0.3">
      <c r="A170">
        <v>169</v>
      </c>
      <c r="B170">
        <v>320</v>
      </c>
      <c r="C170">
        <v>380</v>
      </c>
      <c r="D170">
        <v>1</v>
      </c>
      <c r="E170">
        <v>1</v>
      </c>
    </row>
    <row r="171" spans="1:5" x14ac:dyDescent="0.3">
      <c r="A171">
        <v>170</v>
      </c>
      <c r="B171">
        <v>250</v>
      </c>
      <c r="C171">
        <v>300</v>
      </c>
      <c r="D171">
        <v>1</v>
      </c>
      <c r="E171">
        <v>2</v>
      </c>
    </row>
    <row r="172" spans="1:5" x14ac:dyDescent="0.3">
      <c r="A172">
        <v>171</v>
      </c>
      <c r="B172">
        <v>110</v>
      </c>
      <c r="C172">
        <v>120</v>
      </c>
      <c r="D172">
        <v>1</v>
      </c>
      <c r="E172">
        <v>2</v>
      </c>
    </row>
    <row r="173" spans="1:5" x14ac:dyDescent="0.3">
      <c r="A173">
        <v>172</v>
      </c>
      <c r="B173">
        <v>250</v>
      </c>
      <c r="C173">
        <v>299</v>
      </c>
      <c r="D173">
        <v>3</v>
      </c>
      <c r="E173">
        <v>5</v>
      </c>
    </row>
    <row r="174" spans="1:5" x14ac:dyDescent="0.3">
      <c r="A174">
        <v>173</v>
      </c>
      <c r="B174">
        <v>300</v>
      </c>
      <c r="C174">
        <v>350</v>
      </c>
      <c r="D174">
        <v>2</v>
      </c>
      <c r="E174">
        <v>4</v>
      </c>
    </row>
    <row r="175" spans="1:5" x14ac:dyDescent="0.3">
      <c r="A175">
        <v>174</v>
      </c>
      <c r="B175">
        <v>350</v>
      </c>
      <c r="C175">
        <v>400</v>
      </c>
      <c r="D175">
        <v>5</v>
      </c>
      <c r="E175">
        <v>5</v>
      </c>
    </row>
    <row r="176" spans="1:5" x14ac:dyDescent="0.3">
      <c r="A176">
        <v>175</v>
      </c>
      <c r="B176">
        <v>20</v>
      </c>
      <c r="C176">
        <v>21</v>
      </c>
      <c r="D176">
        <v>5</v>
      </c>
      <c r="E176">
        <v>5</v>
      </c>
    </row>
    <row r="177" spans="1:5" x14ac:dyDescent="0.3">
      <c r="A177">
        <v>176</v>
      </c>
      <c r="B177">
        <v>150</v>
      </c>
      <c r="C177">
        <v>200</v>
      </c>
      <c r="D177">
        <v>2</v>
      </c>
      <c r="E177">
        <v>3</v>
      </c>
    </row>
    <row r="178" spans="1:5" x14ac:dyDescent="0.3">
      <c r="A178">
        <v>177</v>
      </c>
      <c r="B178">
        <v>70</v>
      </c>
      <c r="C178">
        <v>95</v>
      </c>
      <c r="D178">
        <v>2</v>
      </c>
      <c r="E178">
        <v>3</v>
      </c>
    </row>
    <row r="179" spans="1:5" x14ac:dyDescent="0.3">
      <c r="A179">
        <v>178</v>
      </c>
      <c r="B179">
        <v>250</v>
      </c>
      <c r="C179">
        <v>300</v>
      </c>
      <c r="D179">
        <v>2</v>
      </c>
      <c r="E179">
        <v>3</v>
      </c>
    </row>
    <row r="180" spans="1:5" x14ac:dyDescent="0.3">
      <c r="A180">
        <v>179</v>
      </c>
      <c r="B180">
        <v>150</v>
      </c>
      <c r="C180">
        <v>200</v>
      </c>
      <c r="D180">
        <v>1</v>
      </c>
      <c r="E180">
        <v>2</v>
      </c>
    </row>
    <row r="181" spans="1:5" x14ac:dyDescent="0.3">
      <c r="A181">
        <v>180</v>
      </c>
      <c r="B181">
        <v>200</v>
      </c>
      <c r="C181">
        <v>280</v>
      </c>
      <c r="D181">
        <v>1</v>
      </c>
      <c r="E181">
        <v>2</v>
      </c>
    </row>
    <row r="182" spans="1:5" x14ac:dyDescent="0.3">
      <c r="A182">
        <v>181</v>
      </c>
      <c r="B182">
        <v>250</v>
      </c>
      <c r="C182">
        <v>350</v>
      </c>
      <c r="D182">
        <v>1</v>
      </c>
      <c r="E182">
        <v>3</v>
      </c>
    </row>
    <row r="183" spans="1:5" x14ac:dyDescent="0.3">
      <c r="A183">
        <v>182</v>
      </c>
      <c r="B183">
        <v>220</v>
      </c>
      <c r="C183">
        <v>280</v>
      </c>
      <c r="D183">
        <v>3</v>
      </c>
      <c r="E183">
        <v>3</v>
      </c>
    </row>
    <row r="184" spans="1:5" x14ac:dyDescent="0.3">
      <c r="A184">
        <v>183</v>
      </c>
      <c r="B184">
        <v>170</v>
      </c>
      <c r="C184">
        <v>180</v>
      </c>
      <c r="D184">
        <v>2</v>
      </c>
      <c r="E184">
        <v>4</v>
      </c>
    </row>
    <row r="185" spans="1:5" x14ac:dyDescent="0.3">
      <c r="A185">
        <v>184</v>
      </c>
      <c r="B185">
        <v>200</v>
      </c>
      <c r="C185">
        <v>300</v>
      </c>
      <c r="D185">
        <v>2</v>
      </c>
      <c r="E185">
        <v>5</v>
      </c>
    </row>
    <row r="186" spans="1:5" x14ac:dyDescent="0.3">
      <c r="A186">
        <v>185</v>
      </c>
      <c r="B186">
        <v>350</v>
      </c>
      <c r="C186">
        <v>400</v>
      </c>
      <c r="D186">
        <v>1</v>
      </c>
      <c r="E186">
        <v>2</v>
      </c>
    </row>
    <row r="187" spans="1:5" x14ac:dyDescent="0.3">
      <c r="A187">
        <v>186</v>
      </c>
      <c r="B187">
        <v>250</v>
      </c>
      <c r="C187">
        <v>280</v>
      </c>
      <c r="D187">
        <v>3</v>
      </c>
      <c r="E187">
        <v>4</v>
      </c>
    </row>
    <row r="188" spans="1:5" x14ac:dyDescent="0.3">
      <c r="A188">
        <v>187</v>
      </c>
      <c r="B188">
        <v>219</v>
      </c>
      <c r="C188">
        <v>250</v>
      </c>
      <c r="D188">
        <v>1</v>
      </c>
      <c r="E188">
        <v>3</v>
      </c>
    </row>
    <row r="189" spans="1:5" x14ac:dyDescent="0.3">
      <c r="A189">
        <v>188</v>
      </c>
      <c r="B189">
        <v>50</v>
      </c>
      <c r="C189">
        <v>79</v>
      </c>
      <c r="D189">
        <v>2</v>
      </c>
      <c r="E189">
        <v>3</v>
      </c>
    </row>
    <row r="190" spans="1:5" x14ac:dyDescent="0.3">
      <c r="A190">
        <v>189</v>
      </c>
      <c r="B190">
        <v>140</v>
      </c>
      <c r="C190">
        <v>190</v>
      </c>
      <c r="D190">
        <v>1</v>
      </c>
      <c r="E190">
        <v>1</v>
      </c>
    </row>
    <row r="191" spans="1:5" x14ac:dyDescent="0.3">
      <c r="A191">
        <v>190</v>
      </c>
      <c r="B191">
        <v>200</v>
      </c>
      <c r="C191">
        <v>250</v>
      </c>
      <c r="D191">
        <v>1</v>
      </c>
      <c r="E191">
        <v>2</v>
      </c>
    </row>
    <row r="192" spans="1:5" x14ac:dyDescent="0.3">
      <c r="A192">
        <v>191</v>
      </c>
      <c r="B192">
        <v>250</v>
      </c>
      <c r="C192">
        <v>350</v>
      </c>
      <c r="D192">
        <v>1</v>
      </c>
      <c r="E192">
        <v>3</v>
      </c>
    </row>
    <row r="193" spans="1:5" x14ac:dyDescent="0.3">
      <c r="A193">
        <v>192</v>
      </c>
      <c r="B193">
        <v>229</v>
      </c>
      <c r="C193">
        <v>249</v>
      </c>
      <c r="D193">
        <v>3</v>
      </c>
      <c r="E193">
        <v>3</v>
      </c>
    </row>
    <row r="194" spans="1:5" x14ac:dyDescent="0.3">
      <c r="A194">
        <v>193</v>
      </c>
      <c r="B194">
        <v>240</v>
      </c>
      <c r="C194">
        <v>280</v>
      </c>
      <c r="D194">
        <v>2</v>
      </c>
      <c r="E194">
        <v>3</v>
      </c>
    </row>
    <row r="195" spans="1:5" x14ac:dyDescent="0.3">
      <c r="A195">
        <v>194</v>
      </c>
      <c r="B195">
        <v>50</v>
      </c>
      <c r="C195">
        <v>60</v>
      </c>
      <c r="D195">
        <v>1</v>
      </c>
      <c r="E195">
        <v>1</v>
      </c>
    </row>
    <row r="196" spans="1:5" x14ac:dyDescent="0.3">
      <c r="A196">
        <v>195</v>
      </c>
      <c r="B196">
        <v>150</v>
      </c>
      <c r="C196">
        <v>250</v>
      </c>
      <c r="D196">
        <v>2</v>
      </c>
      <c r="E196">
        <v>3</v>
      </c>
    </row>
    <row r="197" spans="1:5" x14ac:dyDescent="0.3">
      <c r="A197">
        <v>196</v>
      </c>
      <c r="B197">
        <v>247</v>
      </c>
      <c r="C197">
        <v>249</v>
      </c>
      <c r="D197">
        <v>1</v>
      </c>
      <c r="E197">
        <v>1</v>
      </c>
    </row>
    <row r="198" spans="1:5" x14ac:dyDescent="0.3">
      <c r="A198">
        <v>197</v>
      </c>
      <c r="B198">
        <v>200</v>
      </c>
      <c r="C198">
        <v>300</v>
      </c>
      <c r="D198">
        <v>1</v>
      </c>
      <c r="E198">
        <v>2</v>
      </c>
    </row>
    <row r="199" spans="1:5" x14ac:dyDescent="0.3">
      <c r="A199">
        <v>198</v>
      </c>
      <c r="B199">
        <v>100</v>
      </c>
      <c r="C199">
        <v>120</v>
      </c>
      <c r="D199">
        <v>3</v>
      </c>
      <c r="E199">
        <v>2</v>
      </c>
    </row>
    <row r="200" spans="1:5" x14ac:dyDescent="0.3">
      <c r="A200">
        <v>199</v>
      </c>
      <c r="B200">
        <v>200</v>
      </c>
      <c r="C200">
        <v>300</v>
      </c>
      <c r="D200">
        <v>1</v>
      </c>
      <c r="E200">
        <v>2</v>
      </c>
    </row>
    <row r="201" spans="1:5" x14ac:dyDescent="0.3">
      <c r="A201">
        <v>200</v>
      </c>
      <c r="B201">
        <v>180</v>
      </c>
      <c r="C201">
        <v>190</v>
      </c>
      <c r="D201">
        <v>1</v>
      </c>
      <c r="E201">
        <v>1</v>
      </c>
    </row>
    <row r="202" spans="1:5" x14ac:dyDescent="0.3">
      <c r="A202">
        <v>201</v>
      </c>
      <c r="B202">
        <v>50</v>
      </c>
      <c r="C202">
        <v>90</v>
      </c>
      <c r="D202">
        <v>3</v>
      </c>
      <c r="E202">
        <v>3</v>
      </c>
    </row>
    <row r="203" spans="1:5" x14ac:dyDescent="0.3">
      <c r="A203">
        <v>202</v>
      </c>
      <c r="B203">
        <v>150</v>
      </c>
      <c r="C203">
        <v>190</v>
      </c>
      <c r="D203">
        <v>1</v>
      </c>
      <c r="E203">
        <v>1</v>
      </c>
    </row>
    <row r="204" spans="1:5" x14ac:dyDescent="0.3">
      <c r="A204">
        <v>203</v>
      </c>
      <c r="B204">
        <v>150</v>
      </c>
      <c r="C204">
        <v>200</v>
      </c>
      <c r="D204">
        <v>4</v>
      </c>
      <c r="E204">
        <v>5</v>
      </c>
    </row>
    <row r="205" spans="1:5" x14ac:dyDescent="0.3">
      <c r="A205">
        <v>204</v>
      </c>
      <c r="B205">
        <v>350</v>
      </c>
      <c r="C205">
        <v>400</v>
      </c>
      <c r="D205">
        <v>2</v>
      </c>
      <c r="E205">
        <v>2</v>
      </c>
    </row>
    <row r="206" spans="1:5" x14ac:dyDescent="0.3">
      <c r="A206">
        <v>205</v>
      </c>
      <c r="B206">
        <v>280</v>
      </c>
      <c r="C206">
        <v>350</v>
      </c>
      <c r="D206">
        <v>2</v>
      </c>
      <c r="E206">
        <v>3</v>
      </c>
    </row>
    <row r="207" spans="1:5" x14ac:dyDescent="0.3">
      <c r="A207">
        <v>206</v>
      </c>
      <c r="B207">
        <v>250</v>
      </c>
      <c r="C207">
        <v>270</v>
      </c>
      <c r="D207">
        <v>3</v>
      </c>
      <c r="E207">
        <v>4</v>
      </c>
    </row>
    <row r="208" spans="1:5" x14ac:dyDescent="0.3">
      <c r="A208">
        <v>207</v>
      </c>
      <c r="B208">
        <v>150</v>
      </c>
      <c r="C208">
        <v>165</v>
      </c>
      <c r="D208">
        <v>2</v>
      </c>
      <c r="E208">
        <v>2</v>
      </c>
    </row>
    <row r="209" spans="1:5" x14ac:dyDescent="0.3">
      <c r="A209">
        <v>208</v>
      </c>
      <c r="B209">
        <v>150</v>
      </c>
      <c r="C209">
        <v>200</v>
      </c>
      <c r="D209">
        <v>2</v>
      </c>
      <c r="E209">
        <v>2</v>
      </c>
    </row>
    <row r="210" spans="1:5" x14ac:dyDescent="0.3">
      <c r="A210">
        <v>209</v>
      </c>
      <c r="B210">
        <v>300</v>
      </c>
      <c r="C210">
        <v>400</v>
      </c>
      <c r="D210">
        <v>1</v>
      </c>
      <c r="E210">
        <v>3</v>
      </c>
    </row>
    <row r="211" spans="1:5" x14ac:dyDescent="0.3">
      <c r="A211">
        <v>210</v>
      </c>
      <c r="B211">
        <v>300</v>
      </c>
      <c r="C211">
        <v>350</v>
      </c>
      <c r="D211">
        <v>1</v>
      </c>
      <c r="E211">
        <v>1</v>
      </c>
    </row>
    <row r="212" spans="1:5" x14ac:dyDescent="0.3">
      <c r="A212">
        <v>211</v>
      </c>
      <c r="B212">
        <v>300</v>
      </c>
      <c r="C212">
        <v>398</v>
      </c>
      <c r="D212">
        <v>1</v>
      </c>
      <c r="E212">
        <v>1</v>
      </c>
    </row>
    <row r="213" spans="1:5" x14ac:dyDescent="0.3">
      <c r="A213">
        <v>212</v>
      </c>
      <c r="B213">
        <v>100</v>
      </c>
      <c r="C213">
        <v>200</v>
      </c>
      <c r="D213">
        <v>4</v>
      </c>
      <c r="E213">
        <v>5</v>
      </c>
    </row>
    <row r="214" spans="1:5" x14ac:dyDescent="0.3">
      <c r="A214">
        <v>213</v>
      </c>
      <c r="B214">
        <v>30</v>
      </c>
      <c r="C214">
        <v>50</v>
      </c>
      <c r="D214">
        <v>1</v>
      </c>
      <c r="E214">
        <v>3</v>
      </c>
    </row>
    <row r="215" spans="1:5" x14ac:dyDescent="0.3">
      <c r="A215">
        <v>214</v>
      </c>
      <c r="B215">
        <v>250</v>
      </c>
      <c r="C215">
        <v>280</v>
      </c>
      <c r="D215">
        <v>1</v>
      </c>
      <c r="E215">
        <v>1</v>
      </c>
    </row>
    <row r="216" spans="1:5" x14ac:dyDescent="0.3">
      <c r="A216">
        <v>215</v>
      </c>
      <c r="B216">
        <v>180</v>
      </c>
      <c r="C216">
        <v>280</v>
      </c>
      <c r="D216">
        <v>1</v>
      </c>
      <c r="E216">
        <v>2</v>
      </c>
    </row>
    <row r="217" spans="1:5" x14ac:dyDescent="0.3">
      <c r="A217">
        <v>216</v>
      </c>
      <c r="B217">
        <v>200</v>
      </c>
      <c r="C217">
        <v>300</v>
      </c>
      <c r="D217">
        <v>1</v>
      </c>
      <c r="E217">
        <v>2</v>
      </c>
    </row>
    <row r="218" spans="1:5" x14ac:dyDescent="0.3">
      <c r="A218">
        <v>217</v>
      </c>
      <c r="B218">
        <v>100</v>
      </c>
      <c r="C218">
        <v>200</v>
      </c>
      <c r="D218">
        <v>1</v>
      </c>
      <c r="E218">
        <v>2</v>
      </c>
    </row>
    <row r="219" spans="1:5" x14ac:dyDescent="0.3">
      <c r="A219">
        <v>218</v>
      </c>
      <c r="B219">
        <v>130</v>
      </c>
      <c r="C219">
        <v>160</v>
      </c>
      <c r="D219">
        <v>1</v>
      </c>
      <c r="E219">
        <v>3</v>
      </c>
    </row>
    <row r="220" spans="1:5" x14ac:dyDescent="0.3">
      <c r="A220">
        <v>219</v>
      </c>
      <c r="B220">
        <v>30</v>
      </c>
      <c r="C220">
        <v>80</v>
      </c>
      <c r="D220">
        <v>1</v>
      </c>
      <c r="E220">
        <v>3</v>
      </c>
    </row>
    <row r="221" spans="1:5" x14ac:dyDescent="0.3">
      <c r="A221">
        <v>220</v>
      </c>
      <c r="B221">
        <v>199</v>
      </c>
      <c r="C221">
        <v>249</v>
      </c>
      <c r="D221">
        <v>2</v>
      </c>
      <c r="E221">
        <v>3</v>
      </c>
    </row>
    <row r="222" spans="1:5" x14ac:dyDescent="0.3">
      <c r="A222">
        <v>221</v>
      </c>
      <c r="B222">
        <v>350</v>
      </c>
      <c r="C222">
        <v>360</v>
      </c>
      <c r="D222">
        <v>3</v>
      </c>
      <c r="E222">
        <v>3</v>
      </c>
    </row>
    <row r="223" spans="1:5" x14ac:dyDescent="0.3">
      <c r="A223">
        <v>222</v>
      </c>
      <c r="B223">
        <v>270</v>
      </c>
      <c r="C223">
        <v>350</v>
      </c>
      <c r="D223">
        <v>3</v>
      </c>
      <c r="E223">
        <v>3</v>
      </c>
    </row>
    <row r="224" spans="1:5" x14ac:dyDescent="0.3">
      <c r="A224">
        <v>223</v>
      </c>
      <c r="B224">
        <v>199</v>
      </c>
      <c r="C224">
        <v>299</v>
      </c>
      <c r="D224">
        <v>3</v>
      </c>
      <c r="E224">
        <v>4</v>
      </c>
    </row>
    <row r="225" spans="1:5" x14ac:dyDescent="0.3">
      <c r="A225">
        <v>224</v>
      </c>
      <c r="B225">
        <v>270</v>
      </c>
      <c r="C225">
        <v>280</v>
      </c>
      <c r="D225">
        <v>2</v>
      </c>
      <c r="E225">
        <v>2</v>
      </c>
    </row>
    <row r="226" spans="1:5" x14ac:dyDescent="0.3">
      <c r="A226">
        <v>225</v>
      </c>
      <c r="B226">
        <v>300</v>
      </c>
      <c r="C226">
        <v>350</v>
      </c>
      <c r="D226">
        <v>2</v>
      </c>
      <c r="E226">
        <v>2</v>
      </c>
    </row>
    <row r="227" spans="1:5" x14ac:dyDescent="0.3">
      <c r="A227">
        <v>226</v>
      </c>
      <c r="B227">
        <v>200</v>
      </c>
      <c r="C227">
        <v>275</v>
      </c>
      <c r="D227">
        <v>2</v>
      </c>
      <c r="E227">
        <v>3</v>
      </c>
    </row>
    <row r="228" spans="1:5" x14ac:dyDescent="0.3">
      <c r="A228">
        <v>227</v>
      </c>
      <c r="B228">
        <v>150</v>
      </c>
      <c r="C228">
        <v>199</v>
      </c>
      <c r="D228">
        <v>2</v>
      </c>
      <c r="E228">
        <v>3</v>
      </c>
    </row>
    <row r="229" spans="1:5" x14ac:dyDescent="0.3">
      <c r="A229">
        <v>228</v>
      </c>
      <c r="B229">
        <v>300</v>
      </c>
      <c r="C229">
        <v>500</v>
      </c>
      <c r="D229">
        <v>2</v>
      </c>
      <c r="E229">
        <v>3</v>
      </c>
    </row>
    <row r="230" spans="1:5" x14ac:dyDescent="0.3">
      <c r="A230">
        <v>229</v>
      </c>
      <c r="B230">
        <v>89</v>
      </c>
      <c r="C230">
        <v>100</v>
      </c>
      <c r="D230">
        <v>2</v>
      </c>
      <c r="E230">
        <v>2</v>
      </c>
    </row>
    <row r="231" spans="1:5" x14ac:dyDescent="0.3">
      <c r="A231">
        <v>230</v>
      </c>
      <c r="B231">
        <v>150</v>
      </c>
      <c r="C231">
        <v>180</v>
      </c>
      <c r="D231">
        <v>2</v>
      </c>
      <c r="E231">
        <v>2</v>
      </c>
    </row>
    <row r="232" spans="1:5" x14ac:dyDescent="0.3">
      <c r="A232">
        <v>231</v>
      </c>
      <c r="B232">
        <v>238</v>
      </c>
      <c r="C232">
        <v>239</v>
      </c>
      <c r="D232">
        <v>2</v>
      </c>
      <c r="E232">
        <v>2</v>
      </c>
    </row>
    <row r="233" spans="1:5" x14ac:dyDescent="0.3">
      <c r="A233">
        <v>232</v>
      </c>
      <c r="B233">
        <v>350</v>
      </c>
      <c r="C233">
        <v>500</v>
      </c>
      <c r="D233">
        <v>1</v>
      </c>
      <c r="E233">
        <v>3</v>
      </c>
    </row>
    <row r="234" spans="1:5" x14ac:dyDescent="0.3">
      <c r="A234">
        <v>233</v>
      </c>
      <c r="B234">
        <v>400</v>
      </c>
      <c r="C234">
        <v>500</v>
      </c>
      <c r="D234">
        <v>1</v>
      </c>
      <c r="E234">
        <v>2</v>
      </c>
    </row>
    <row r="235" spans="1:5" x14ac:dyDescent="0.3">
      <c r="A235">
        <v>234</v>
      </c>
      <c r="B235">
        <v>300</v>
      </c>
      <c r="C235">
        <v>350</v>
      </c>
      <c r="D235">
        <v>3</v>
      </c>
      <c r="E235">
        <v>3</v>
      </c>
    </row>
    <row r="236" spans="1:5" x14ac:dyDescent="0.3">
      <c r="A236">
        <v>235</v>
      </c>
      <c r="B236">
        <v>200</v>
      </c>
      <c r="C236">
        <v>250</v>
      </c>
      <c r="D236">
        <v>2</v>
      </c>
      <c r="E236">
        <v>3</v>
      </c>
    </row>
    <row r="237" spans="1:5" x14ac:dyDescent="0.3">
      <c r="A237">
        <v>236</v>
      </c>
      <c r="B237">
        <v>200</v>
      </c>
      <c r="C237">
        <v>250</v>
      </c>
      <c r="D237">
        <v>3</v>
      </c>
      <c r="E237">
        <v>2</v>
      </c>
    </row>
    <row r="238" spans="1:5" x14ac:dyDescent="0.3">
      <c r="A238">
        <v>237</v>
      </c>
      <c r="B238">
        <v>150</v>
      </c>
      <c r="C238">
        <v>155</v>
      </c>
      <c r="D238">
        <v>2</v>
      </c>
      <c r="E238">
        <v>3</v>
      </c>
    </row>
    <row r="239" spans="1:5" x14ac:dyDescent="0.3">
      <c r="A239">
        <v>238</v>
      </c>
      <c r="B239">
        <v>200</v>
      </c>
      <c r="C239">
        <v>250</v>
      </c>
      <c r="D239">
        <v>3</v>
      </c>
      <c r="E239">
        <v>3</v>
      </c>
    </row>
    <row r="240" spans="1:5" x14ac:dyDescent="0.3">
      <c r="A240">
        <v>239</v>
      </c>
      <c r="B240">
        <v>100</v>
      </c>
      <c r="C240">
        <v>101</v>
      </c>
      <c r="D240">
        <v>3</v>
      </c>
      <c r="E240">
        <v>4</v>
      </c>
    </row>
    <row r="241" spans="1:5" x14ac:dyDescent="0.3">
      <c r="A241">
        <v>240</v>
      </c>
      <c r="B241">
        <v>50</v>
      </c>
      <c r="C241">
        <v>70</v>
      </c>
      <c r="D241">
        <v>5</v>
      </c>
      <c r="E241">
        <v>5</v>
      </c>
    </row>
    <row r="242" spans="1:5" x14ac:dyDescent="0.3">
      <c r="A242">
        <v>241</v>
      </c>
      <c r="B242">
        <v>120</v>
      </c>
      <c r="C242">
        <v>150</v>
      </c>
      <c r="D242">
        <v>1</v>
      </c>
      <c r="E242">
        <v>2</v>
      </c>
    </row>
    <row r="243" spans="1:5" x14ac:dyDescent="0.3">
      <c r="A243">
        <v>242</v>
      </c>
      <c r="B243">
        <v>150</v>
      </c>
      <c r="C243">
        <v>309</v>
      </c>
      <c r="D243">
        <v>1</v>
      </c>
      <c r="E243">
        <v>3</v>
      </c>
    </row>
    <row r="244" spans="1:5" x14ac:dyDescent="0.3">
      <c r="A244">
        <v>243</v>
      </c>
      <c r="B244">
        <v>200</v>
      </c>
      <c r="C244">
        <v>400</v>
      </c>
      <c r="D244">
        <v>1</v>
      </c>
      <c r="E244">
        <v>2</v>
      </c>
    </row>
    <row r="245" spans="1:5" x14ac:dyDescent="0.3">
      <c r="A245">
        <v>244</v>
      </c>
      <c r="B245">
        <v>500</v>
      </c>
      <c r="C245">
        <v>575</v>
      </c>
      <c r="D245">
        <v>2</v>
      </c>
      <c r="E245">
        <v>3</v>
      </c>
    </row>
    <row r="246" spans="1:5" x14ac:dyDescent="0.3">
      <c r="A246">
        <v>245</v>
      </c>
      <c r="B246">
        <v>250</v>
      </c>
      <c r="C246">
        <v>280</v>
      </c>
      <c r="D246">
        <v>2</v>
      </c>
      <c r="E246">
        <v>2</v>
      </c>
    </row>
    <row r="247" spans="1:5" x14ac:dyDescent="0.3">
      <c r="A247">
        <v>246</v>
      </c>
      <c r="B247">
        <v>200</v>
      </c>
      <c r="C247">
        <v>250</v>
      </c>
      <c r="D247">
        <v>1</v>
      </c>
      <c r="E247">
        <v>1</v>
      </c>
    </row>
    <row r="248" spans="1:5" x14ac:dyDescent="0.3">
      <c r="A248">
        <v>247</v>
      </c>
      <c r="B248">
        <v>170</v>
      </c>
      <c r="C248">
        <v>200</v>
      </c>
      <c r="D248">
        <v>1</v>
      </c>
      <c r="E248">
        <v>1</v>
      </c>
    </row>
    <row r="249" spans="1:5" x14ac:dyDescent="0.3">
      <c r="A249">
        <v>248</v>
      </c>
      <c r="B249">
        <v>150</v>
      </c>
      <c r="C249">
        <v>200</v>
      </c>
      <c r="D249">
        <v>2</v>
      </c>
      <c r="E249">
        <v>3</v>
      </c>
    </row>
    <row r="250" spans="1:5" x14ac:dyDescent="0.3">
      <c r="A250">
        <v>249</v>
      </c>
      <c r="B250">
        <v>126</v>
      </c>
      <c r="C250">
        <v>127</v>
      </c>
      <c r="D250">
        <v>2</v>
      </c>
      <c r="E250">
        <v>1</v>
      </c>
    </row>
    <row r="251" spans="1:5" x14ac:dyDescent="0.3">
      <c r="A251">
        <v>250</v>
      </c>
      <c r="B251">
        <v>250</v>
      </c>
      <c r="C251">
        <v>300</v>
      </c>
      <c r="D251">
        <v>1</v>
      </c>
      <c r="E251">
        <v>1</v>
      </c>
    </row>
    <row r="252" spans="1:5" x14ac:dyDescent="0.3">
      <c r="A252">
        <v>251</v>
      </c>
      <c r="B252">
        <v>100</v>
      </c>
      <c r="C252">
        <v>120</v>
      </c>
      <c r="D252">
        <v>2</v>
      </c>
      <c r="E252">
        <v>3</v>
      </c>
    </row>
    <row r="253" spans="1:5" x14ac:dyDescent="0.3">
      <c r="A253">
        <v>252</v>
      </c>
      <c r="B253">
        <v>250</v>
      </c>
      <c r="C253">
        <v>270</v>
      </c>
      <c r="D253">
        <v>2</v>
      </c>
      <c r="E253">
        <v>2</v>
      </c>
    </row>
    <row r="254" spans="1:5" x14ac:dyDescent="0.3">
      <c r="A254">
        <v>253</v>
      </c>
      <c r="B254">
        <v>100</v>
      </c>
      <c r="C254">
        <v>120</v>
      </c>
      <c r="D254">
        <v>1</v>
      </c>
      <c r="E254">
        <v>1</v>
      </c>
    </row>
    <row r="255" spans="1:5" x14ac:dyDescent="0.3">
      <c r="A255">
        <v>254</v>
      </c>
      <c r="B255">
        <v>189</v>
      </c>
      <c r="C255">
        <v>220</v>
      </c>
      <c r="D255">
        <v>3</v>
      </c>
      <c r="E255">
        <v>3</v>
      </c>
    </row>
    <row r="256" spans="1:5" x14ac:dyDescent="0.3">
      <c r="A256">
        <v>255</v>
      </c>
      <c r="B256">
        <v>40</v>
      </c>
      <c r="C256">
        <v>50</v>
      </c>
      <c r="D256">
        <v>2</v>
      </c>
      <c r="E256">
        <v>3</v>
      </c>
    </row>
    <row r="257" spans="1:5" x14ac:dyDescent="0.3">
      <c r="A257">
        <v>256</v>
      </c>
      <c r="B257">
        <v>30</v>
      </c>
      <c r="C257">
        <v>35</v>
      </c>
      <c r="D257">
        <v>1</v>
      </c>
      <c r="E257">
        <v>1</v>
      </c>
    </row>
    <row r="258" spans="1:5" x14ac:dyDescent="0.3">
      <c r="A258">
        <v>257</v>
      </c>
      <c r="B258">
        <v>249</v>
      </c>
      <c r="C258">
        <v>300</v>
      </c>
      <c r="D258">
        <v>3</v>
      </c>
      <c r="E258">
        <v>4</v>
      </c>
    </row>
    <row r="259" spans="1:5" x14ac:dyDescent="0.3">
      <c r="A259">
        <v>258</v>
      </c>
      <c r="B259">
        <v>300</v>
      </c>
      <c r="C259">
        <v>380</v>
      </c>
      <c r="D259">
        <v>1</v>
      </c>
      <c r="E259">
        <v>1</v>
      </c>
    </row>
    <row r="260" spans="1:5" x14ac:dyDescent="0.3">
      <c r="A260">
        <v>259</v>
      </c>
      <c r="B260">
        <v>260</v>
      </c>
      <c r="C260">
        <v>360</v>
      </c>
      <c r="D260">
        <v>1</v>
      </c>
      <c r="E260">
        <v>2</v>
      </c>
    </row>
    <row r="261" spans="1:5" x14ac:dyDescent="0.3">
      <c r="A261">
        <v>260</v>
      </c>
      <c r="B261">
        <v>350</v>
      </c>
      <c r="C261">
        <v>400</v>
      </c>
      <c r="D261">
        <v>3</v>
      </c>
      <c r="E261">
        <v>3</v>
      </c>
    </row>
    <row r="262" spans="1:5" x14ac:dyDescent="0.3">
      <c r="A262">
        <v>261</v>
      </c>
      <c r="B262">
        <v>210</v>
      </c>
      <c r="C262">
        <v>350</v>
      </c>
      <c r="D262">
        <v>1</v>
      </c>
      <c r="E262">
        <v>2</v>
      </c>
    </row>
    <row r="263" spans="1:5" x14ac:dyDescent="0.3">
      <c r="A263">
        <v>262</v>
      </c>
      <c r="B263">
        <v>90</v>
      </c>
      <c r="C263">
        <v>130</v>
      </c>
      <c r="D263">
        <v>2</v>
      </c>
      <c r="E263">
        <v>3</v>
      </c>
    </row>
    <row r="264" spans="1:5" x14ac:dyDescent="0.3">
      <c r="A264">
        <v>263</v>
      </c>
      <c r="B264">
        <v>200</v>
      </c>
      <c r="C264">
        <v>250</v>
      </c>
      <c r="D264">
        <v>1</v>
      </c>
      <c r="E264">
        <v>1</v>
      </c>
    </row>
    <row r="265" spans="1:5" x14ac:dyDescent="0.3">
      <c r="A265">
        <v>264</v>
      </c>
      <c r="B265">
        <v>100</v>
      </c>
      <c r="C265">
        <v>150</v>
      </c>
      <c r="D265">
        <v>1</v>
      </c>
      <c r="E265">
        <v>1</v>
      </c>
    </row>
    <row r="266" spans="1:5" x14ac:dyDescent="0.3">
      <c r="A266">
        <v>265</v>
      </c>
      <c r="B266">
        <v>250</v>
      </c>
      <c r="C266">
        <v>300</v>
      </c>
      <c r="D266">
        <v>1</v>
      </c>
      <c r="E266">
        <v>2</v>
      </c>
    </row>
    <row r="267" spans="1:5" x14ac:dyDescent="0.3">
      <c r="A267">
        <v>266</v>
      </c>
      <c r="B267">
        <v>150</v>
      </c>
      <c r="C267">
        <v>170</v>
      </c>
      <c r="D267">
        <v>2</v>
      </c>
      <c r="E267">
        <v>2</v>
      </c>
    </row>
    <row r="268" spans="1:5" x14ac:dyDescent="0.3">
      <c r="A268">
        <v>267</v>
      </c>
      <c r="B268">
        <v>200</v>
      </c>
      <c r="C268">
        <v>250</v>
      </c>
      <c r="D268">
        <v>2</v>
      </c>
      <c r="E268">
        <v>3</v>
      </c>
    </row>
    <row r="269" spans="1:5" x14ac:dyDescent="0.3">
      <c r="A269">
        <v>268</v>
      </c>
      <c r="B269">
        <v>70</v>
      </c>
      <c r="C269">
        <v>120</v>
      </c>
      <c r="D269">
        <v>1</v>
      </c>
      <c r="E269">
        <v>3</v>
      </c>
    </row>
    <row r="270" spans="1:5" x14ac:dyDescent="0.3">
      <c r="A270">
        <v>269</v>
      </c>
      <c r="B270">
        <v>50</v>
      </c>
      <c r="C270">
        <v>60</v>
      </c>
      <c r="D270">
        <v>3</v>
      </c>
      <c r="E270">
        <v>2</v>
      </c>
    </row>
    <row r="271" spans="1:5" x14ac:dyDescent="0.3">
      <c r="A271">
        <v>270</v>
      </c>
      <c r="B271">
        <v>188</v>
      </c>
      <c r="C271">
        <v>288</v>
      </c>
      <c r="D271">
        <v>3</v>
      </c>
      <c r="E271">
        <v>4</v>
      </c>
    </row>
    <row r="272" spans="1:5" x14ac:dyDescent="0.3">
      <c r="A272">
        <v>271</v>
      </c>
      <c r="B272">
        <v>135</v>
      </c>
      <c r="C272">
        <v>140</v>
      </c>
      <c r="D272">
        <v>1</v>
      </c>
      <c r="E272">
        <v>1</v>
      </c>
    </row>
    <row r="273" spans="1:5" x14ac:dyDescent="0.3">
      <c r="A273">
        <v>272</v>
      </c>
      <c r="B273">
        <v>200</v>
      </c>
      <c r="C273">
        <v>225</v>
      </c>
      <c r="D273">
        <v>2</v>
      </c>
      <c r="E273">
        <v>5</v>
      </c>
    </row>
    <row r="274" spans="1:5" x14ac:dyDescent="0.3">
      <c r="A274">
        <v>273</v>
      </c>
      <c r="B274">
        <v>200</v>
      </c>
      <c r="C274">
        <v>400</v>
      </c>
      <c r="D274">
        <v>2</v>
      </c>
      <c r="E274">
        <v>3</v>
      </c>
    </row>
    <row r="275" spans="1:5" x14ac:dyDescent="0.3">
      <c r="A275">
        <v>274</v>
      </c>
      <c r="B275">
        <v>130</v>
      </c>
      <c r="C275">
        <v>200</v>
      </c>
      <c r="D275">
        <v>2</v>
      </c>
      <c r="E275">
        <v>3</v>
      </c>
    </row>
    <row r="276" spans="1:5" x14ac:dyDescent="0.3">
      <c r="A276">
        <v>275</v>
      </c>
      <c r="B276">
        <v>100</v>
      </c>
      <c r="C276">
        <v>150</v>
      </c>
      <c r="D276">
        <v>2</v>
      </c>
      <c r="E276">
        <v>3</v>
      </c>
    </row>
    <row r="277" spans="1:5" x14ac:dyDescent="0.3">
      <c r="A277">
        <v>276</v>
      </c>
      <c r="B277">
        <v>350</v>
      </c>
      <c r="C277">
        <v>380</v>
      </c>
      <c r="D277">
        <v>2</v>
      </c>
      <c r="E277">
        <v>3</v>
      </c>
    </row>
    <row r="278" spans="1:5" x14ac:dyDescent="0.3">
      <c r="A278">
        <v>277</v>
      </c>
      <c r="B278">
        <v>180</v>
      </c>
      <c r="C278">
        <v>250</v>
      </c>
      <c r="D278">
        <v>5</v>
      </c>
      <c r="E278">
        <v>5</v>
      </c>
    </row>
    <row r="279" spans="1:5" x14ac:dyDescent="0.3">
      <c r="A279">
        <v>278</v>
      </c>
      <c r="B279">
        <v>100</v>
      </c>
      <c r="C279">
        <v>150</v>
      </c>
      <c r="D279">
        <v>1</v>
      </c>
      <c r="E279">
        <v>2</v>
      </c>
    </row>
    <row r="280" spans="1:5" x14ac:dyDescent="0.3">
      <c r="A280">
        <v>279</v>
      </c>
      <c r="B280">
        <v>100</v>
      </c>
      <c r="C280">
        <v>140</v>
      </c>
      <c r="D280">
        <v>1</v>
      </c>
      <c r="E280">
        <v>2</v>
      </c>
    </row>
    <row r="281" spans="1:5" x14ac:dyDescent="0.3">
      <c r="A281">
        <v>280</v>
      </c>
      <c r="B281">
        <v>350</v>
      </c>
      <c r="C281">
        <v>750</v>
      </c>
      <c r="D281">
        <v>2</v>
      </c>
      <c r="E281">
        <v>4</v>
      </c>
    </row>
    <row r="282" spans="1:5" x14ac:dyDescent="0.3">
      <c r="A282">
        <v>281</v>
      </c>
      <c r="B282">
        <v>20</v>
      </c>
      <c r="C282">
        <v>22</v>
      </c>
      <c r="D282">
        <v>2</v>
      </c>
      <c r="E282">
        <v>3</v>
      </c>
    </row>
    <row r="283" spans="1:5" x14ac:dyDescent="0.3">
      <c r="A283">
        <v>282</v>
      </c>
      <c r="B283">
        <v>140</v>
      </c>
      <c r="C283">
        <v>150</v>
      </c>
      <c r="D283">
        <v>2</v>
      </c>
      <c r="E283">
        <v>3</v>
      </c>
    </row>
    <row r="284" spans="1:5" x14ac:dyDescent="0.3">
      <c r="A284">
        <v>283</v>
      </c>
      <c r="B284">
        <v>300</v>
      </c>
      <c r="C284">
        <v>400</v>
      </c>
      <c r="D284">
        <v>1</v>
      </c>
      <c r="E284">
        <v>3</v>
      </c>
    </row>
    <row r="285" spans="1:5" x14ac:dyDescent="0.3">
      <c r="A285">
        <v>284</v>
      </c>
      <c r="B285">
        <v>399</v>
      </c>
      <c r="C285">
        <v>400</v>
      </c>
      <c r="D285">
        <v>3</v>
      </c>
      <c r="E285">
        <v>4</v>
      </c>
    </row>
    <row r="286" spans="1:5" x14ac:dyDescent="0.3">
      <c r="A286">
        <v>285</v>
      </c>
      <c r="B286">
        <v>150</v>
      </c>
      <c r="C286">
        <v>200</v>
      </c>
      <c r="D286">
        <v>2</v>
      </c>
      <c r="E286">
        <v>3</v>
      </c>
    </row>
    <row r="287" spans="1:5" x14ac:dyDescent="0.3">
      <c r="A287">
        <v>286</v>
      </c>
      <c r="B287">
        <v>72</v>
      </c>
      <c r="C287">
        <v>73</v>
      </c>
      <c r="D287">
        <v>1</v>
      </c>
      <c r="E287">
        <v>1</v>
      </c>
    </row>
    <row r="288" spans="1:5" x14ac:dyDescent="0.3">
      <c r="A288">
        <v>287</v>
      </c>
      <c r="B288">
        <v>250</v>
      </c>
      <c r="C288">
        <v>300</v>
      </c>
      <c r="D288">
        <v>1</v>
      </c>
      <c r="E288">
        <v>1</v>
      </c>
    </row>
    <row r="289" spans="1:5" x14ac:dyDescent="0.3">
      <c r="A289">
        <v>288</v>
      </c>
      <c r="B289">
        <v>160</v>
      </c>
      <c r="C289">
        <v>190</v>
      </c>
      <c r="D289">
        <v>2</v>
      </c>
      <c r="E289">
        <v>3</v>
      </c>
    </row>
    <row r="290" spans="1:5" x14ac:dyDescent="0.3">
      <c r="A290">
        <v>289</v>
      </c>
      <c r="B290">
        <v>160</v>
      </c>
      <c r="C290">
        <v>180</v>
      </c>
      <c r="D290">
        <v>3</v>
      </c>
      <c r="E290">
        <v>3</v>
      </c>
    </row>
    <row r="291" spans="1:5" x14ac:dyDescent="0.3">
      <c r="A291">
        <v>290</v>
      </c>
      <c r="B291">
        <v>200</v>
      </c>
      <c r="C291">
        <v>270</v>
      </c>
      <c r="D291">
        <v>1</v>
      </c>
      <c r="E291">
        <v>4</v>
      </c>
    </row>
    <row r="292" spans="1:5" x14ac:dyDescent="0.3">
      <c r="A292">
        <v>291</v>
      </c>
      <c r="B292">
        <v>250</v>
      </c>
      <c r="C292">
        <v>300</v>
      </c>
      <c r="D292">
        <v>1</v>
      </c>
      <c r="E292">
        <v>2</v>
      </c>
    </row>
    <row r="293" spans="1:5" x14ac:dyDescent="0.3">
      <c r="A293">
        <v>292</v>
      </c>
      <c r="B293">
        <v>200</v>
      </c>
      <c r="C293">
        <v>350</v>
      </c>
      <c r="D293">
        <v>5</v>
      </c>
      <c r="E293">
        <v>5</v>
      </c>
    </row>
    <row r="294" spans="1:5" x14ac:dyDescent="0.3">
      <c r="A294">
        <v>293</v>
      </c>
      <c r="B294">
        <v>279</v>
      </c>
      <c r="C294">
        <v>300</v>
      </c>
      <c r="D294">
        <v>1</v>
      </c>
      <c r="E294">
        <v>2</v>
      </c>
    </row>
    <row r="295" spans="1:5" x14ac:dyDescent="0.3">
      <c r="A295">
        <v>294</v>
      </c>
      <c r="B295">
        <v>100</v>
      </c>
      <c r="C295">
        <v>149</v>
      </c>
      <c r="D295">
        <v>3</v>
      </c>
      <c r="E295">
        <v>3</v>
      </c>
    </row>
    <row r="296" spans="1:5" x14ac:dyDescent="0.3">
      <c r="A296">
        <v>295</v>
      </c>
      <c r="B296">
        <v>200</v>
      </c>
      <c r="C296">
        <v>300</v>
      </c>
      <c r="D296">
        <v>2</v>
      </c>
      <c r="E296">
        <v>2</v>
      </c>
    </row>
    <row r="297" spans="1:5" x14ac:dyDescent="0.3">
      <c r="A297">
        <v>296</v>
      </c>
      <c r="B297">
        <v>300</v>
      </c>
      <c r="C297">
        <v>306</v>
      </c>
      <c r="D297">
        <v>1</v>
      </c>
      <c r="E297">
        <v>3</v>
      </c>
    </row>
    <row r="298" spans="1:5" x14ac:dyDescent="0.3">
      <c r="A298">
        <v>297</v>
      </c>
      <c r="B298">
        <v>600</v>
      </c>
      <c r="C298">
        <v>700</v>
      </c>
      <c r="D298">
        <v>1</v>
      </c>
      <c r="E298">
        <v>2</v>
      </c>
    </row>
    <row r="299" spans="1:5" x14ac:dyDescent="0.3">
      <c r="A299">
        <v>298</v>
      </c>
      <c r="B299">
        <v>100</v>
      </c>
      <c r="C299">
        <v>150</v>
      </c>
      <c r="D299">
        <v>1</v>
      </c>
      <c r="E299">
        <v>3</v>
      </c>
    </row>
    <row r="300" spans="1:5" x14ac:dyDescent="0.3">
      <c r="A300">
        <v>299</v>
      </c>
      <c r="B300">
        <v>142</v>
      </c>
      <c r="C300">
        <v>146</v>
      </c>
      <c r="D300">
        <v>1</v>
      </c>
      <c r="E300">
        <v>1</v>
      </c>
    </row>
    <row r="301" spans="1:5" x14ac:dyDescent="0.3">
      <c r="A301">
        <v>300</v>
      </c>
      <c r="B301">
        <v>150</v>
      </c>
      <c r="C301">
        <v>170</v>
      </c>
      <c r="D301">
        <v>1</v>
      </c>
      <c r="E301">
        <v>2</v>
      </c>
    </row>
    <row r="302" spans="1:5" x14ac:dyDescent="0.3">
      <c r="A302">
        <v>301</v>
      </c>
      <c r="B302">
        <v>150</v>
      </c>
      <c r="C302">
        <v>200</v>
      </c>
      <c r="D302">
        <v>1</v>
      </c>
      <c r="E302">
        <v>1</v>
      </c>
    </row>
    <row r="303" spans="1:5" x14ac:dyDescent="0.3">
      <c r="A303">
        <v>302</v>
      </c>
      <c r="B303">
        <v>500</v>
      </c>
      <c r="C303">
        <v>550</v>
      </c>
      <c r="D303">
        <v>1</v>
      </c>
      <c r="E303">
        <v>2</v>
      </c>
    </row>
    <row r="304" spans="1:5" x14ac:dyDescent="0.3">
      <c r="A304">
        <v>303</v>
      </c>
      <c r="B304">
        <v>260</v>
      </c>
      <c r="C304">
        <v>280</v>
      </c>
      <c r="D304">
        <v>1</v>
      </c>
      <c r="E304">
        <v>2</v>
      </c>
    </row>
    <row r="305" spans="1:5" x14ac:dyDescent="0.3">
      <c r="A305">
        <v>304</v>
      </c>
      <c r="B305">
        <v>300</v>
      </c>
      <c r="C305">
        <v>390</v>
      </c>
      <c r="D305">
        <v>1</v>
      </c>
      <c r="E305">
        <v>1</v>
      </c>
    </row>
    <row r="306" spans="1:5" x14ac:dyDescent="0.3">
      <c r="A306">
        <v>305</v>
      </c>
      <c r="B306">
        <v>200</v>
      </c>
      <c r="C306">
        <v>250</v>
      </c>
      <c r="D306">
        <v>1</v>
      </c>
      <c r="E306">
        <v>3</v>
      </c>
    </row>
    <row r="307" spans="1:5" x14ac:dyDescent="0.3">
      <c r="A307">
        <v>306</v>
      </c>
      <c r="B307">
        <v>120</v>
      </c>
      <c r="C307">
        <v>125</v>
      </c>
      <c r="D307">
        <v>1</v>
      </c>
      <c r="E307">
        <v>1</v>
      </c>
    </row>
    <row r="308" spans="1:5" x14ac:dyDescent="0.3">
      <c r="A308">
        <v>307</v>
      </c>
      <c r="B308">
        <v>200</v>
      </c>
      <c r="C308">
        <v>270</v>
      </c>
      <c r="D308">
        <v>2</v>
      </c>
      <c r="E308">
        <v>3</v>
      </c>
    </row>
    <row r="309" spans="1:5" x14ac:dyDescent="0.3">
      <c r="A309">
        <v>308</v>
      </c>
      <c r="B309">
        <v>250</v>
      </c>
      <c r="C309">
        <v>300</v>
      </c>
      <c r="D309">
        <v>2</v>
      </c>
      <c r="E309">
        <v>3</v>
      </c>
    </row>
    <row r="310" spans="1:5" x14ac:dyDescent="0.3">
      <c r="A310">
        <v>309</v>
      </c>
      <c r="B310">
        <v>200</v>
      </c>
      <c r="C310">
        <v>250</v>
      </c>
      <c r="D310">
        <v>1</v>
      </c>
      <c r="E310">
        <v>1</v>
      </c>
    </row>
    <row r="311" spans="1:5" x14ac:dyDescent="0.3">
      <c r="A311">
        <v>310</v>
      </c>
      <c r="B311">
        <v>200</v>
      </c>
      <c r="C311">
        <v>300</v>
      </c>
      <c r="D311">
        <v>2</v>
      </c>
      <c r="E311">
        <v>3</v>
      </c>
    </row>
    <row r="312" spans="1:5" x14ac:dyDescent="0.3">
      <c r="A312">
        <v>311</v>
      </c>
      <c r="B312">
        <v>140</v>
      </c>
      <c r="C312">
        <v>148</v>
      </c>
      <c r="D312">
        <v>2</v>
      </c>
      <c r="E312">
        <v>3</v>
      </c>
    </row>
    <row r="313" spans="1:5" x14ac:dyDescent="0.3">
      <c r="A313">
        <v>312</v>
      </c>
      <c r="B313">
        <v>200</v>
      </c>
      <c r="C313">
        <v>250</v>
      </c>
      <c r="D313">
        <v>3</v>
      </c>
      <c r="E313">
        <v>3</v>
      </c>
    </row>
    <row r="314" spans="1:5" x14ac:dyDescent="0.3">
      <c r="A314">
        <v>313</v>
      </c>
      <c r="B314">
        <v>300</v>
      </c>
      <c r="C314">
        <v>350</v>
      </c>
      <c r="D314">
        <v>2</v>
      </c>
      <c r="E314">
        <v>2</v>
      </c>
    </row>
    <row r="315" spans="1:5" x14ac:dyDescent="0.3">
      <c r="A315">
        <v>314</v>
      </c>
      <c r="B315">
        <v>100</v>
      </c>
      <c r="C315">
        <v>120</v>
      </c>
      <c r="D315">
        <v>1</v>
      </c>
      <c r="E315">
        <v>1</v>
      </c>
    </row>
    <row r="316" spans="1:5" x14ac:dyDescent="0.3">
      <c r="A316">
        <v>315</v>
      </c>
      <c r="B316">
        <v>245</v>
      </c>
      <c r="C316">
        <v>246</v>
      </c>
      <c r="D316">
        <v>2</v>
      </c>
      <c r="E316">
        <v>2</v>
      </c>
    </row>
    <row r="317" spans="1:5" x14ac:dyDescent="0.3">
      <c r="A317">
        <v>316</v>
      </c>
      <c r="B317">
        <v>40</v>
      </c>
      <c r="C317">
        <v>50</v>
      </c>
      <c r="D317">
        <v>1</v>
      </c>
      <c r="E317">
        <v>1</v>
      </c>
    </row>
    <row r="318" spans="1:5" x14ac:dyDescent="0.3">
      <c r="A318">
        <v>317</v>
      </c>
      <c r="B318">
        <v>250</v>
      </c>
      <c r="C318">
        <v>350</v>
      </c>
      <c r="D318">
        <v>1</v>
      </c>
      <c r="E318">
        <v>3</v>
      </c>
    </row>
    <row r="319" spans="1:5" x14ac:dyDescent="0.3">
      <c r="A319">
        <v>318</v>
      </c>
      <c r="B319">
        <v>150</v>
      </c>
      <c r="C319">
        <v>170</v>
      </c>
      <c r="D319">
        <v>2</v>
      </c>
      <c r="E319">
        <v>3</v>
      </c>
    </row>
    <row r="320" spans="1:5" x14ac:dyDescent="0.3">
      <c r="A320">
        <v>319</v>
      </c>
      <c r="B320">
        <v>350</v>
      </c>
      <c r="C320">
        <v>400</v>
      </c>
      <c r="D320">
        <v>1</v>
      </c>
      <c r="E320">
        <v>3</v>
      </c>
    </row>
    <row r="321" spans="1:5" x14ac:dyDescent="0.3">
      <c r="A321">
        <v>320</v>
      </c>
      <c r="B321">
        <v>70</v>
      </c>
      <c r="C321">
        <v>120</v>
      </c>
      <c r="D321">
        <v>2</v>
      </c>
      <c r="E321">
        <v>3</v>
      </c>
    </row>
    <row r="322" spans="1:5" x14ac:dyDescent="0.3">
      <c r="A322">
        <v>321</v>
      </c>
      <c r="B322">
        <v>150</v>
      </c>
      <c r="C322">
        <v>200</v>
      </c>
      <c r="D322">
        <v>1</v>
      </c>
      <c r="E322">
        <v>2</v>
      </c>
    </row>
    <row r="323" spans="1:5" x14ac:dyDescent="0.3">
      <c r="A323">
        <v>322</v>
      </c>
      <c r="B323">
        <v>250</v>
      </c>
      <c r="C323">
        <v>280</v>
      </c>
      <c r="D323">
        <v>1</v>
      </c>
      <c r="E323">
        <v>3</v>
      </c>
    </row>
    <row r="324" spans="1:5" x14ac:dyDescent="0.3">
      <c r="A324">
        <v>323</v>
      </c>
      <c r="B324">
        <v>150</v>
      </c>
      <c r="C324">
        <v>200</v>
      </c>
      <c r="D324">
        <v>1</v>
      </c>
      <c r="E324">
        <v>3</v>
      </c>
    </row>
    <row r="325" spans="1:5" x14ac:dyDescent="0.3">
      <c r="A325">
        <v>324</v>
      </c>
      <c r="B325">
        <v>300</v>
      </c>
      <c r="C325">
        <v>320</v>
      </c>
      <c r="D325">
        <v>3</v>
      </c>
      <c r="E325">
        <v>4</v>
      </c>
    </row>
    <row r="326" spans="1:5" x14ac:dyDescent="0.3">
      <c r="A326">
        <v>325</v>
      </c>
      <c r="B326">
        <v>80</v>
      </c>
      <c r="C326">
        <v>90</v>
      </c>
      <c r="D326">
        <v>3</v>
      </c>
      <c r="E326">
        <v>3</v>
      </c>
    </row>
    <row r="327" spans="1:5" x14ac:dyDescent="0.3">
      <c r="A327">
        <v>326</v>
      </c>
      <c r="B327">
        <v>140</v>
      </c>
      <c r="C327">
        <v>160</v>
      </c>
      <c r="D327">
        <v>1</v>
      </c>
      <c r="E327">
        <v>3</v>
      </c>
    </row>
    <row r="328" spans="1:5" x14ac:dyDescent="0.3">
      <c r="A328">
        <v>327</v>
      </c>
      <c r="B328">
        <v>300</v>
      </c>
      <c r="C328">
        <v>499</v>
      </c>
      <c r="D328">
        <v>1</v>
      </c>
      <c r="E328">
        <v>4</v>
      </c>
    </row>
    <row r="329" spans="1:5" x14ac:dyDescent="0.3">
      <c r="A329">
        <v>328</v>
      </c>
      <c r="B329">
        <v>450</v>
      </c>
      <c r="C329">
        <v>500</v>
      </c>
      <c r="D329">
        <v>1</v>
      </c>
      <c r="E329">
        <v>1</v>
      </c>
    </row>
    <row r="330" spans="1:5" x14ac:dyDescent="0.3">
      <c r="A330">
        <v>329</v>
      </c>
      <c r="B330">
        <v>100</v>
      </c>
      <c r="C330">
        <v>150</v>
      </c>
      <c r="D330">
        <v>1</v>
      </c>
      <c r="E330">
        <v>3</v>
      </c>
    </row>
    <row r="331" spans="1:5" x14ac:dyDescent="0.3">
      <c r="A331">
        <v>330</v>
      </c>
      <c r="B331">
        <v>150</v>
      </c>
      <c r="C331">
        <v>250</v>
      </c>
      <c r="D331">
        <v>2</v>
      </c>
      <c r="E331">
        <v>3</v>
      </c>
    </row>
    <row r="332" spans="1:5" x14ac:dyDescent="0.3">
      <c r="A332">
        <v>331</v>
      </c>
      <c r="B332">
        <v>220</v>
      </c>
      <c r="C332">
        <v>290</v>
      </c>
      <c r="D332">
        <v>3</v>
      </c>
      <c r="E332">
        <v>3</v>
      </c>
    </row>
    <row r="333" spans="1:5" x14ac:dyDescent="0.3">
      <c r="A333">
        <v>332</v>
      </c>
      <c r="B333">
        <v>300</v>
      </c>
      <c r="C333">
        <v>350</v>
      </c>
      <c r="D333">
        <v>2</v>
      </c>
      <c r="E333">
        <v>2</v>
      </c>
    </row>
    <row r="334" spans="1:5" x14ac:dyDescent="0.3">
      <c r="A334">
        <v>333</v>
      </c>
      <c r="B334">
        <v>100</v>
      </c>
      <c r="C334">
        <v>200</v>
      </c>
      <c r="D334">
        <v>4</v>
      </c>
      <c r="E334">
        <v>3</v>
      </c>
    </row>
    <row r="335" spans="1:5" x14ac:dyDescent="0.3">
      <c r="A335">
        <v>334</v>
      </c>
      <c r="B335">
        <v>150</v>
      </c>
      <c r="C335">
        <v>200</v>
      </c>
      <c r="D335">
        <v>2</v>
      </c>
      <c r="E335">
        <v>3</v>
      </c>
    </row>
    <row r="336" spans="1:5" x14ac:dyDescent="0.3">
      <c r="A336">
        <v>335</v>
      </c>
      <c r="B336">
        <v>220</v>
      </c>
      <c r="C336">
        <v>350</v>
      </c>
      <c r="D336">
        <v>1</v>
      </c>
      <c r="E336">
        <v>3</v>
      </c>
    </row>
    <row r="337" spans="1:5" x14ac:dyDescent="0.3">
      <c r="A337">
        <v>336</v>
      </c>
      <c r="B337">
        <v>100</v>
      </c>
      <c r="C337">
        <v>120</v>
      </c>
      <c r="D337">
        <v>1</v>
      </c>
      <c r="E337">
        <v>1</v>
      </c>
    </row>
    <row r="338" spans="1:5" x14ac:dyDescent="0.3">
      <c r="A338">
        <v>337</v>
      </c>
      <c r="B338">
        <v>100</v>
      </c>
      <c r="C338">
        <v>120</v>
      </c>
      <c r="D338">
        <v>2</v>
      </c>
      <c r="E338">
        <v>2</v>
      </c>
    </row>
    <row r="339" spans="1:5" x14ac:dyDescent="0.3">
      <c r="A339">
        <v>338</v>
      </c>
      <c r="B339">
        <v>300</v>
      </c>
      <c r="C339">
        <v>350</v>
      </c>
      <c r="D339">
        <v>2</v>
      </c>
      <c r="E339">
        <v>3</v>
      </c>
    </row>
    <row r="340" spans="1:5" x14ac:dyDescent="0.3">
      <c r="A340">
        <v>339</v>
      </c>
      <c r="B340">
        <v>100</v>
      </c>
      <c r="C340">
        <v>130</v>
      </c>
      <c r="D340">
        <v>1</v>
      </c>
      <c r="E340">
        <v>2</v>
      </c>
    </row>
    <row r="341" spans="1:5" x14ac:dyDescent="0.3">
      <c r="A341">
        <v>340</v>
      </c>
      <c r="B341">
        <v>100</v>
      </c>
      <c r="C341">
        <v>180</v>
      </c>
      <c r="D341">
        <v>1</v>
      </c>
      <c r="E341">
        <v>2</v>
      </c>
    </row>
    <row r="342" spans="1:5" x14ac:dyDescent="0.3">
      <c r="A342">
        <v>341</v>
      </c>
      <c r="B342">
        <v>300</v>
      </c>
      <c r="C342">
        <v>350</v>
      </c>
      <c r="D342">
        <v>3</v>
      </c>
      <c r="E342">
        <v>3</v>
      </c>
    </row>
    <row r="343" spans="1:5" x14ac:dyDescent="0.3">
      <c r="A343">
        <v>342</v>
      </c>
      <c r="B343">
        <v>400</v>
      </c>
      <c r="C343">
        <v>450</v>
      </c>
      <c r="D343">
        <v>1</v>
      </c>
      <c r="E343">
        <v>1</v>
      </c>
    </row>
    <row r="344" spans="1:5" x14ac:dyDescent="0.3">
      <c r="A344">
        <v>343</v>
      </c>
      <c r="B344">
        <v>190</v>
      </c>
      <c r="C344">
        <v>230</v>
      </c>
      <c r="D344">
        <v>4</v>
      </c>
      <c r="E344">
        <v>4</v>
      </c>
    </row>
    <row r="345" spans="1:5" x14ac:dyDescent="0.3">
      <c r="A345">
        <v>344</v>
      </c>
      <c r="B345">
        <v>300</v>
      </c>
      <c r="C345">
        <v>350</v>
      </c>
      <c r="D345">
        <v>5</v>
      </c>
      <c r="E345">
        <v>5</v>
      </c>
    </row>
    <row r="346" spans="1:5" x14ac:dyDescent="0.3">
      <c r="A346">
        <v>345</v>
      </c>
      <c r="B346">
        <v>90</v>
      </c>
      <c r="C346">
        <v>110</v>
      </c>
      <c r="D346">
        <v>1</v>
      </c>
      <c r="E346">
        <v>3</v>
      </c>
    </row>
    <row r="347" spans="1:5" x14ac:dyDescent="0.3">
      <c r="A347">
        <v>346</v>
      </c>
      <c r="B347">
        <v>100</v>
      </c>
      <c r="C347">
        <v>150</v>
      </c>
      <c r="D347">
        <v>2</v>
      </c>
      <c r="E347">
        <v>2</v>
      </c>
    </row>
    <row r="348" spans="1:5" x14ac:dyDescent="0.3">
      <c r="A348">
        <v>347</v>
      </c>
      <c r="B348">
        <v>240</v>
      </c>
      <c r="C348">
        <v>340</v>
      </c>
      <c r="D348">
        <v>1</v>
      </c>
      <c r="E348">
        <v>2</v>
      </c>
    </row>
    <row r="349" spans="1:5" x14ac:dyDescent="0.3">
      <c r="A349">
        <v>348</v>
      </c>
      <c r="B349">
        <v>100</v>
      </c>
      <c r="C349">
        <v>150</v>
      </c>
      <c r="D349">
        <v>1</v>
      </c>
      <c r="E349">
        <v>2</v>
      </c>
    </row>
    <row r="350" spans="1:5" x14ac:dyDescent="0.3">
      <c r="A350">
        <v>349</v>
      </c>
      <c r="B350">
        <v>200</v>
      </c>
      <c r="C350">
        <v>205</v>
      </c>
      <c r="D350">
        <v>4</v>
      </c>
      <c r="E350">
        <v>5</v>
      </c>
    </row>
    <row r="351" spans="1:5" x14ac:dyDescent="0.3">
      <c r="A351">
        <v>350</v>
      </c>
      <c r="B351">
        <v>180</v>
      </c>
      <c r="C351">
        <v>200</v>
      </c>
      <c r="D351">
        <v>3</v>
      </c>
      <c r="E351">
        <v>4</v>
      </c>
    </row>
    <row r="352" spans="1:5" x14ac:dyDescent="0.3">
      <c r="A352">
        <v>351</v>
      </c>
      <c r="B352">
        <v>120</v>
      </c>
      <c r="C352">
        <v>150</v>
      </c>
      <c r="D352">
        <v>1</v>
      </c>
      <c r="E352">
        <v>1</v>
      </c>
    </row>
    <row r="353" spans="1:5" x14ac:dyDescent="0.3">
      <c r="A353">
        <v>352</v>
      </c>
      <c r="B353">
        <v>250</v>
      </c>
      <c r="C353">
        <v>350</v>
      </c>
      <c r="D353">
        <v>1</v>
      </c>
      <c r="E353">
        <v>3</v>
      </c>
    </row>
    <row r="354" spans="1:5" x14ac:dyDescent="0.3">
      <c r="A354">
        <v>353</v>
      </c>
      <c r="B354">
        <v>250</v>
      </c>
      <c r="C354">
        <v>300</v>
      </c>
      <c r="D354">
        <v>1</v>
      </c>
      <c r="E354">
        <v>3</v>
      </c>
    </row>
    <row r="355" spans="1:5" x14ac:dyDescent="0.3">
      <c r="A355">
        <v>354</v>
      </c>
      <c r="B355">
        <v>350</v>
      </c>
      <c r="C355">
        <v>600</v>
      </c>
      <c r="D355">
        <v>1</v>
      </c>
      <c r="E355">
        <v>4</v>
      </c>
    </row>
    <row r="356" spans="1:5" x14ac:dyDescent="0.3">
      <c r="A356">
        <v>355</v>
      </c>
      <c r="B356">
        <v>300</v>
      </c>
      <c r="C356">
        <v>350</v>
      </c>
      <c r="D356">
        <v>1</v>
      </c>
      <c r="E356">
        <v>2</v>
      </c>
    </row>
    <row r="357" spans="1:5" x14ac:dyDescent="0.3">
      <c r="A357">
        <v>356</v>
      </c>
      <c r="B357">
        <v>200</v>
      </c>
      <c r="C357">
        <v>249</v>
      </c>
      <c r="D357">
        <v>1</v>
      </c>
      <c r="E357">
        <v>2</v>
      </c>
    </row>
    <row r="358" spans="1:5" x14ac:dyDescent="0.3">
      <c r="A358">
        <v>357</v>
      </c>
      <c r="B358">
        <v>221</v>
      </c>
      <c r="C358">
        <v>279</v>
      </c>
      <c r="D358">
        <v>2</v>
      </c>
      <c r="E358">
        <v>5</v>
      </c>
    </row>
    <row r="359" spans="1:5" x14ac:dyDescent="0.3">
      <c r="A359">
        <v>358</v>
      </c>
      <c r="B359">
        <v>150</v>
      </c>
      <c r="C359">
        <v>180</v>
      </c>
      <c r="D359">
        <v>3</v>
      </c>
      <c r="E359">
        <v>3</v>
      </c>
    </row>
    <row r="360" spans="1:5" x14ac:dyDescent="0.3">
      <c r="A360">
        <v>359</v>
      </c>
      <c r="B360">
        <v>320</v>
      </c>
      <c r="C360">
        <v>430</v>
      </c>
      <c r="D360">
        <v>2</v>
      </c>
      <c r="E360">
        <v>4</v>
      </c>
    </row>
    <row r="361" spans="1:5" x14ac:dyDescent="0.3">
      <c r="A361">
        <v>360</v>
      </c>
      <c r="B361">
        <v>300</v>
      </c>
      <c r="C361">
        <v>350</v>
      </c>
      <c r="D361">
        <v>3</v>
      </c>
      <c r="E361">
        <v>5</v>
      </c>
    </row>
    <row r="362" spans="1:5" x14ac:dyDescent="0.3">
      <c r="A362">
        <v>361</v>
      </c>
      <c r="B362">
        <v>299</v>
      </c>
      <c r="C362">
        <v>399</v>
      </c>
      <c r="D362">
        <v>2</v>
      </c>
      <c r="E362">
        <v>3</v>
      </c>
    </row>
    <row r="363" spans="1:5" x14ac:dyDescent="0.3">
      <c r="A363">
        <v>362</v>
      </c>
      <c r="B363">
        <v>150</v>
      </c>
      <c r="C363">
        <v>159</v>
      </c>
      <c r="D363">
        <v>1</v>
      </c>
      <c r="E363">
        <v>2</v>
      </c>
    </row>
    <row r="364" spans="1:5" x14ac:dyDescent="0.3">
      <c r="A364">
        <v>363</v>
      </c>
      <c r="B364">
        <v>300</v>
      </c>
      <c r="C364">
        <v>400</v>
      </c>
      <c r="D364">
        <v>1</v>
      </c>
      <c r="E364">
        <v>2</v>
      </c>
    </row>
    <row r="365" spans="1:5" x14ac:dyDescent="0.3">
      <c r="A365">
        <v>364</v>
      </c>
      <c r="B365">
        <v>259</v>
      </c>
      <c r="C365">
        <v>449</v>
      </c>
      <c r="D365">
        <v>4</v>
      </c>
      <c r="E365">
        <v>5</v>
      </c>
    </row>
    <row r="366" spans="1:5" x14ac:dyDescent="0.3">
      <c r="A366">
        <v>365</v>
      </c>
      <c r="B366">
        <v>130</v>
      </c>
      <c r="C366">
        <v>170</v>
      </c>
      <c r="D366">
        <v>1</v>
      </c>
      <c r="E366">
        <v>3</v>
      </c>
    </row>
    <row r="367" spans="1:5" x14ac:dyDescent="0.3">
      <c r="A367">
        <v>366</v>
      </c>
      <c r="B367">
        <v>200</v>
      </c>
      <c r="C367">
        <v>300</v>
      </c>
      <c r="D367">
        <v>1</v>
      </c>
      <c r="E367">
        <v>3</v>
      </c>
    </row>
    <row r="368" spans="1:5" x14ac:dyDescent="0.3">
      <c r="A368">
        <v>367</v>
      </c>
      <c r="B368">
        <v>250</v>
      </c>
      <c r="C368">
        <v>280</v>
      </c>
      <c r="D368">
        <v>1</v>
      </c>
      <c r="E368">
        <v>1</v>
      </c>
    </row>
    <row r="369" spans="1:5" x14ac:dyDescent="0.3">
      <c r="A369">
        <v>368</v>
      </c>
      <c r="B369">
        <v>200</v>
      </c>
      <c r="C369">
        <v>255</v>
      </c>
      <c r="D369">
        <v>1</v>
      </c>
      <c r="E369">
        <v>2</v>
      </c>
    </row>
    <row r="370" spans="1:5" x14ac:dyDescent="0.3">
      <c r="A370">
        <v>369</v>
      </c>
      <c r="B370">
        <v>265</v>
      </c>
      <c r="C370">
        <v>365</v>
      </c>
      <c r="D370">
        <v>1</v>
      </c>
      <c r="E370">
        <v>3</v>
      </c>
    </row>
    <row r="371" spans="1:5" x14ac:dyDescent="0.3">
      <c r="A371">
        <v>370</v>
      </c>
      <c r="B371">
        <v>100</v>
      </c>
      <c r="C371">
        <v>130</v>
      </c>
      <c r="D371">
        <v>3</v>
      </c>
      <c r="E371">
        <v>3</v>
      </c>
    </row>
    <row r="372" spans="1:5" x14ac:dyDescent="0.3">
      <c r="A372">
        <v>371</v>
      </c>
      <c r="B372">
        <v>300</v>
      </c>
      <c r="C372">
        <v>350</v>
      </c>
      <c r="D372">
        <v>1</v>
      </c>
      <c r="E372">
        <v>2</v>
      </c>
    </row>
    <row r="373" spans="1:5" x14ac:dyDescent="0.3">
      <c r="A373">
        <v>372</v>
      </c>
      <c r="B373">
        <v>300</v>
      </c>
      <c r="C373">
        <v>400</v>
      </c>
      <c r="D373">
        <v>1</v>
      </c>
      <c r="E373">
        <v>2</v>
      </c>
    </row>
    <row r="374" spans="1:5" x14ac:dyDescent="0.3">
      <c r="A374">
        <v>373</v>
      </c>
      <c r="B374">
        <v>200</v>
      </c>
      <c r="C374">
        <v>400</v>
      </c>
      <c r="D374">
        <v>3</v>
      </c>
      <c r="E374">
        <v>4</v>
      </c>
    </row>
    <row r="375" spans="1:5" x14ac:dyDescent="0.3">
      <c r="A375">
        <v>374</v>
      </c>
      <c r="B375">
        <v>60</v>
      </c>
      <c r="C375">
        <v>69</v>
      </c>
      <c r="D375">
        <v>3</v>
      </c>
      <c r="E375">
        <v>2</v>
      </c>
    </row>
    <row r="376" spans="1:5" x14ac:dyDescent="0.3">
      <c r="A376">
        <v>375</v>
      </c>
      <c r="B376">
        <v>200</v>
      </c>
      <c r="C376">
        <v>270</v>
      </c>
      <c r="D376">
        <v>1</v>
      </c>
      <c r="E376">
        <v>2</v>
      </c>
    </row>
    <row r="377" spans="1:5" x14ac:dyDescent="0.3">
      <c r="A377">
        <v>376</v>
      </c>
      <c r="B377">
        <v>280</v>
      </c>
      <c r="C377">
        <v>300</v>
      </c>
      <c r="D377">
        <v>3</v>
      </c>
      <c r="E377">
        <v>3</v>
      </c>
    </row>
    <row r="378" spans="1:5" x14ac:dyDescent="0.3">
      <c r="A378">
        <v>377</v>
      </c>
      <c r="B378">
        <v>120</v>
      </c>
      <c r="C378">
        <v>170</v>
      </c>
      <c r="D378">
        <v>2</v>
      </c>
      <c r="E378">
        <v>3</v>
      </c>
    </row>
    <row r="379" spans="1:5" x14ac:dyDescent="0.3">
      <c r="A379">
        <v>378</v>
      </c>
      <c r="B379">
        <v>230</v>
      </c>
      <c r="C379">
        <v>240</v>
      </c>
      <c r="D379">
        <v>1</v>
      </c>
      <c r="E379">
        <v>1</v>
      </c>
    </row>
    <row r="380" spans="1:5" x14ac:dyDescent="0.3">
      <c r="A380">
        <v>379</v>
      </c>
      <c r="B380">
        <v>200</v>
      </c>
      <c r="C380">
        <v>230</v>
      </c>
      <c r="D380">
        <v>1</v>
      </c>
      <c r="E380">
        <v>2</v>
      </c>
    </row>
    <row r="381" spans="1:5" x14ac:dyDescent="0.3">
      <c r="A381">
        <v>380</v>
      </c>
      <c r="B381">
        <v>215</v>
      </c>
      <c r="C381">
        <v>255</v>
      </c>
      <c r="D381">
        <v>2</v>
      </c>
      <c r="E381">
        <v>3</v>
      </c>
    </row>
    <row r="382" spans="1:5" x14ac:dyDescent="0.3">
      <c r="A382">
        <v>381</v>
      </c>
      <c r="B382">
        <v>194</v>
      </c>
      <c r="C382">
        <v>273</v>
      </c>
      <c r="D382">
        <v>2</v>
      </c>
      <c r="E382">
        <v>1</v>
      </c>
    </row>
    <row r="383" spans="1:5" x14ac:dyDescent="0.3">
      <c r="A383">
        <v>382</v>
      </c>
      <c r="B383">
        <v>200</v>
      </c>
      <c r="C383">
        <v>250</v>
      </c>
      <c r="D383">
        <v>2</v>
      </c>
      <c r="E383">
        <v>2</v>
      </c>
    </row>
    <row r="384" spans="1:5" x14ac:dyDescent="0.3">
      <c r="A384">
        <v>383</v>
      </c>
      <c r="B384">
        <v>170</v>
      </c>
      <c r="C384">
        <v>200</v>
      </c>
      <c r="D384">
        <v>2</v>
      </c>
      <c r="E384">
        <v>2</v>
      </c>
    </row>
    <row r="385" spans="1:5" x14ac:dyDescent="0.3">
      <c r="A385">
        <v>384</v>
      </c>
      <c r="B385">
        <v>100</v>
      </c>
      <c r="C385">
        <v>200</v>
      </c>
      <c r="D385">
        <v>1</v>
      </c>
      <c r="E385">
        <v>1</v>
      </c>
    </row>
    <row r="386" spans="1:5" x14ac:dyDescent="0.3">
      <c r="A386">
        <v>385</v>
      </c>
      <c r="B386">
        <v>300</v>
      </c>
      <c r="C386">
        <v>320</v>
      </c>
      <c r="D386">
        <v>1</v>
      </c>
      <c r="E386">
        <v>3</v>
      </c>
    </row>
    <row r="387" spans="1:5" x14ac:dyDescent="0.3">
      <c r="A387">
        <v>386</v>
      </c>
      <c r="B387">
        <v>280</v>
      </c>
      <c r="C387">
        <v>300</v>
      </c>
      <c r="D387">
        <v>1</v>
      </c>
      <c r="E387">
        <v>1</v>
      </c>
    </row>
    <row r="388" spans="1:5" x14ac:dyDescent="0.3">
      <c r="A388">
        <v>387</v>
      </c>
      <c r="B388">
        <v>450</v>
      </c>
      <c r="C388">
        <v>470</v>
      </c>
      <c r="D388">
        <v>2</v>
      </c>
      <c r="E388">
        <v>3</v>
      </c>
    </row>
    <row r="389" spans="1:5" x14ac:dyDescent="0.3">
      <c r="A389">
        <v>388</v>
      </c>
      <c r="B389">
        <v>180</v>
      </c>
      <c r="C389">
        <v>199</v>
      </c>
      <c r="D389">
        <v>2</v>
      </c>
      <c r="E389">
        <v>4</v>
      </c>
    </row>
    <row r="390" spans="1:5" x14ac:dyDescent="0.3">
      <c r="A390">
        <v>389</v>
      </c>
      <c r="B390">
        <v>69</v>
      </c>
      <c r="C390">
        <v>120</v>
      </c>
      <c r="D390">
        <v>3</v>
      </c>
      <c r="E390">
        <v>5</v>
      </c>
    </row>
    <row r="391" spans="1:5" x14ac:dyDescent="0.3">
      <c r="A391">
        <v>390</v>
      </c>
      <c r="B391">
        <v>200</v>
      </c>
      <c r="C391">
        <v>300</v>
      </c>
      <c r="D391">
        <v>2</v>
      </c>
      <c r="E391">
        <v>3</v>
      </c>
    </row>
    <row r="392" spans="1:5" x14ac:dyDescent="0.3">
      <c r="A392">
        <v>391</v>
      </c>
      <c r="B392">
        <v>250</v>
      </c>
      <c r="C392">
        <v>349</v>
      </c>
      <c r="D392">
        <v>4</v>
      </c>
      <c r="E392">
        <v>5</v>
      </c>
    </row>
    <row r="393" spans="1:5" x14ac:dyDescent="0.3">
      <c r="A393">
        <v>392</v>
      </c>
      <c r="B393">
        <v>199</v>
      </c>
      <c r="C393">
        <v>200</v>
      </c>
      <c r="D393">
        <v>1</v>
      </c>
      <c r="E393">
        <v>1</v>
      </c>
    </row>
    <row r="394" spans="1:5" x14ac:dyDescent="0.3">
      <c r="A394">
        <v>393</v>
      </c>
      <c r="B394">
        <v>350</v>
      </c>
      <c r="C394">
        <v>500</v>
      </c>
      <c r="D394">
        <v>3</v>
      </c>
      <c r="E394">
        <v>3</v>
      </c>
    </row>
    <row r="395" spans="1:5" x14ac:dyDescent="0.3">
      <c r="A395">
        <v>394</v>
      </c>
      <c r="B395">
        <v>150</v>
      </c>
      <c r="C395">
        <v>200</v>
      </c>
      <c r="D395">
        <v>1</v>
      </c>
      <c r="E395">
        <v>3</v>
      </c>
    </row>
    <row r="396" spans="1:5" x14ac:dyDescent="0.3">
      <c r="A396">
        <v>395</v>
      </c>
      <c r="B396">
        <v>400</v>
      </c>
      <c r="C396">
        <v>600</v>
      </c>
      <c r="D396">
        <v>1</v>
      </c>
      <c r="E396">
        <v>2</v>
      </c>
    </row>
    <row r="397" spans="1:5" x14ac:dyDescent="0.3">
      <c r="A397">
        <v>396</v>
      </c>
      <c r="B397">
        <v>199</v>
      </c>
      <c r="C397">
        <v>229</v>
      </c>
      <c r="D397">
        <v>1</v>
      </c>
      <c r="E397">
        <v>3</v>
      </c>
    </row>
    <row r="398" spans="1:5" x14ac:dyDescent="0.3">
      <c r="A398">
        <v>397</v>
      </c>
      <c r="B398">
        <v>250</v>
      </c>
      <c r="C398">
        <v>350</v>
      </c>
      <c r="D398">
        <v>1</v>
      </c>
      <c r="E398">
        <v>2</v>
      </c>
    </row>
    <row r="399" spans="1:5" x14ac:dyDescent="0.3">
      <c r="A399">
        <v>398</v>
      </c>
      <c r="B399">
        <v>20</v>
      </c>
      <c r="C399">
        <v>40</v>
      </c>
      <c r="D399">
        <v>1</v>
      </c>
      <c r="E399">
        <v>1</v>
      </c>
    </row>
    <row r="400" spans="1:5" x14ac:dyDescent="0.3">
      <c r="A400">
        <v>399</v>
      </c>
      <c r="B400">
        <v>150</v>
      </c>
      <c r="C400">
        <v>250</v>
      </c>
      <c r="D400">
        <v>1</v>
      </c>
      <c r="E400">
        <v>1</v>
      </c>
    </row>
    <row r="401" spans="1:5" x14ac:dyDescent="0.3">
      <c r="A401">
        <v>400</v>
      </c>
      <c r="B401">
        <v>150</v>
      </c>
      <c r="C401">
        <v>200</v>
      </c>
      <c r="D401">
        <v>1</v>
      </c>
      <c r="E401">
        <v>3</v>
      </c>
    </row>
    <row r="402" spans="1:5" x14ac:dyDescent="0.3">
      <c r="A402">
        <v>401</v>
      </c>
      <c r="B402">
        <v>99</v>
      </c>
      <c r="C402">
        <v>150</v>
      </c>
      <c r="D402">
        <v>1</v>
      </c>
      <c r="E402">
        <v>2</v>
      </c>
    </row>
    <row r="403" spans="1:5" x14ac:dyDescent="0.3">
      <c r="A403">
        <v>402</v>
      </c>
      <c r="B403">
        <v>150</v>
      </c>
      <c r="C403">
        <v>180</v>
      </c>
      <c r="D403">
        <v>3</v>
      </c>
      <c r="E403">
        <v>5</v>
      </c>
    </row>
    <row r="404" spans="1:5" x14ac:dyDescent="0.3">
      <c r="A404">
        <v>403</v>
      </c>
      <c r="B404">
        <v>230</v>
      </c>
      <c r="C404">
        <v>330</v>
      </c>
      <c r="D404">
        <v>2</v>
      </c>
      <c r="E404">
        <v>2</v>
      </c>
    </row>
    <row r="405" spans="1:5" x14ac:dyDescent="0.3">
      <c r="A405">
        <v>404</v>
      </c>
      <c r="B405">
        <v>150</v>
      </c>
      <c r="C405">
        <v>200</v>
      </c>
      <c r="D405">
        <v>1</v>
      </c>
      <c r="E405">
        <v>1</v>
      </c>
    </row>
    <row r="406" spans="1:5" x14ac:dyDescent="0.3">
      <c r="A406">
        <v>405</v>
      </c>
      <c r="B406">
        <v>150</v>
      </c>
      <c r="C406">
        <v>175</v>
      </c>
      <c r="D406">
        <v>2</v>
      </c>
      <c r="E406">
        <v>3</v>
      </c>
    </row>
    <row r="407" spans="1:5" x14ac:dyDescent="0.3">
      <c r="A407">
        <v>406</v>
      </c>
      <c r="B407">
        <v>150</v>
      </c>
      <c r="C407">
        <v>200</v>
      </c>
      <c r="D407">
        <v>1</v>
      </c>
      <c r="E407">
        <v>2</v>
      </c>
    </row>
    <row r="408" spans="1:5" x14ac:dyDescent="0.3">
      <c r="A408">
        <v>407</v>
      </c>
      <c r="B408">
        <v>150</v>
      </c>
      <c r="C408">
        <v>300</v>
      </c>
      <c r="D408">
        <v>1</v>
      </c>
      <c r="E408">
        <v>4</v>
      </c>
    </row>
    <row r="409" spans="1:5" x14ac:dyDescent="0.3">
      <c r="A409">
        <v>408</v>
      </c>
      <c r="B409">
        <v>250</v>
      </c>
      <c r="C409">
        <v>260</v>
      </c>
      <c r="D409">
        <v>2</v>
      </c>
      <c r="E409">
        <v>3</v>
      </c>
    </row>
    <row r="410" spans="1:5" x14ac:dyDescent="0.3">
      <c r="A410">
        <v>409</v>
      </c>
      <c r="B410">
        <v>280</v>
      </c>
      <c r="C410">
        <v>350</v>
      </c>
      <c r="D410">
        <v>2</v>
      </c>
      <c r="E410">
        <v>3</v>
      </c>
    </row>
    <row r="411" spans="1:5" x14ac:dyDescent="0.3">
      <c r="A411">
        <v>410</v>
      </c>
      <c r="B411">
        <v>100</v>
      </c>
      <c r="C411">
        <v>120</v>
      </c>
      <c r="D411">
        <v>3</v>
      </c>
      <c r="E411">
        <v>3</v>
      </c>
    </row>
    <row r="412" spans="1:5" x14ac:dyDescent="0.3">
      <c r="A412">
        <v>411</v>
      </c>
      <c r="B412">
        <v>199</v>
      </c>
      <c r="C412">
        <v>299</v>
      </c>
      <c r="D412">
        <v>2</v>
      </c>
      <c r="E412">
        <v>3</v>
      </c>
    </row>
    <row r="413" spans="1:5" x14ac:dyDescent="0.3">
      <c r="A413">
        <v>412</v>
      </c>
      <c r="B413">
        <v>300</v>
      </c>
      <c r="C413">
        <v>350</v>
      </c>
      <c r="D413">
        <v>1</v>
      </c>
      <c r="E413">
        <v>2</v>
      </c>
    </row>
    <row r="414" spans="1:5" x14ac:dyDescent="0.3">
      <c r="A414">
        <v>413</v>
      </c>
      <c r="B414">
        <v>150</v>
      </c>
      <c r="C414">
        <v>180</v>
      </c>
      <c r="D414">
        <v>5</v>
      </c>
      <c r="E414">
        <v>5</v>
      </c>
    </row>
    <row r="415" spans="1:5" x14ac:dyDescent="0.3">
      <c r="A415">
        <v>414</v>
      </c>
      <c r="B415">
        <v>160</v>
      </c>
      <c r="C415">
        <v>200</v>
      </c>
      <c r="D415">
        <v>1</v>
      </c>
      <c r="E415">
        <v>4</v>
      </c>
    </row>
    <row r="416" spans="1:5" x14ac:dyDescent="0.3">
      <c r="A416">
        <v>415</v>
      </c>
      <c r="B416">
        <v>150</v>
      </c>
      <c r="C416">
        <v>250</v>
      </c>
      <c r="D416">
        <v>2</v>
      </c>
      <c r="E416">
        <v>5</v>
      </c>
    </row>
    <row r="417" spans="1:5" x14ac:dyDescent="0.3">
      <c r="A417">
        <v>416</v>
      </c>
      <c r="B417">
        <v>200</v>
      </c>
      <c r="C417">
        <v>250</v>
      </c>
      <c r="D417">
        <v>1</v>
      </c>
      <c r="E417">
        <v>3</v>
      </c>
    </row>
    <row r="418" spans="1:5" x14ac:dyDescent="0.3">
      <c r="A418">
        <v>417</v>
      </c>
      <c r="B418">
        <v>400</v>
      </c>
      <c r="C418">
        <v>450</v>
      </c>
      <c r="D418">
        <v>1</v>
      </c>
      <c r="E418">
        <v>3</v>
      </c>
    </row>
    <row r="419" spans="1:5" x14ac:dyDescent="0.3">
      <c r="A419">
        <v>418</v>
      </c>
      <c r="B419">
        <v>150</v>
      </c>
      <c r="C419">
        <v>200</v>
      </c>
      <c r="D419">
        <v>1</v>
      </c>
      <c r="E419">
        <v>2</v>
      </c>
    </row>
    <row r="420" spans="1:5" x14ac:dyDescent="0.3">
      <c r="A420">
        <v>419</v>
      </c>
      <c r="B420">
        <v>250</v>
      </c>
      <c r="C420">
        <v>300</v>
      </c>
      <c r="D420">
        <v>1</v>
      </c>
      <c r="E420">
        <v>1</v>
      </c>
    </row>
    <row r="421" spans="1:5" x14ac:dyDescent="0.3">
      <c r="A421">
        <v>420</v>
      </c>
      <c r="B421">
        <v>100</v>
      </c>
      <c r="C421">
        <v>180</v>
      </c>
      <c r="D421">
        <v>2</v>
      </c>
      <c r="E421">
        <v>4</v>
      </c>
    </row>
    <row r="422" spans="1:5" x14ac:dyDescent="0.3">
      <c r="A422">
        <v>421</v>
      </c>
      <c r="B422">
        <v>220</v>
      </c>
      <c r="C422">
        <v>260</v>
      </c>
      <c r="D422">
        <v>1</v>
      </c>
      <c r="E422">
        <v>2</v>
      </c>
    </row>
    <row r="423" spans="1:5" x14ac:dyDescent="0.3">
      <c r="A423">
        <v>422</v>
      </c>
      <c r="B423">
        <v>370</v>
      </c>
      <c r="C423">
        <v>570</v>
      </c>
      <c r="D423">
        <v>1</v>
      </c>
      <c r="E423">
        <v>3</v>
      </c>
    </row>
    <row r="424" spans="1:5" x14ac:dyDescent="0.3">
      <c r="A424">
        <v>423</v>
      </c>
      <c r="B424">
        <v>27</v>
      </c>
      <c r="C424">
        <v>28</v>
      </c>
      <c r="D424">
        <v>1</v>
      </c>
      <c r="E424">
        <v>1</v>
      </c>
    </row>
    <row r="425" spans="1:5" x14ac:dyDescent="0.3">
      <c r="A425">
        <v>424</v>
      </c>
      <c r="B425">
        <v>200</v>
      </c>
      <c r="C425">
        <v>250</v>
      </c>
      <c r="D425">
        <v>2</v>
      </c>
      <c r="E425">
        <v>2</v>
      </c>
    </row>
    <row r="426" spans="1:5" x14ac:dyDescent="0.3">
      <c r="A426">
        <v>425</v>
      </c>
      <c r="B426">
        <v>22</v>
      </c>
      <c r="C426">
        <v>23</v>
      </c>
      <c r="D426">
        <v>4</v>
      </c>
      <c r="E426">
        <v>3</v>
      </c>
    </row>
    <row r="427" spans="1:5" x14ac:dyDescent="0.3">
      <c r="A427">
        <v>426</v>
      </c>
      <c r="B427">
        <v>100</v>
      </c>
      <c r="C427">
        <v>170</v>
      </c>
      <c r="D427">
        <v>1</v>
      </c>
      <c r="E427">
        <v>2</v>
      </c>
    </row>
    <row r="428" spans="1:5" x14ac:dyDescent="0.3">
      <c r="A428">
        <v>427</v>
      </c>
      <c r="B428">
        <v>200</v>
      </c>
      <c r="C428">
        <v>250</v>
      </c>
      <c r="D428">
        <v>2</v>
      </c>
      <c r="E428">
        <v>3</v>
      </c>
    </row>
    <row r="429" spans="1:5" x14ac:dyDescent="0.3">
      <c r="A429">
        <v>428</v>
      </c>
      <c r="B429">
        <v>400</v>
      </c>
      <c r="C429">
        <v>600</v>
      </c>
      <c r="D429">
        <v>1</v>
      </c>
      <c r="E429">
        <v>2</v>
      </c>
    </row>
    <row r="430" spans="1:5" x14ac:dyDescent="0.3">
      <c r="A430">
        <v>429</v>
      </c>
      <c r="B430">
        <v>280</v>
      </c>
      <c r="C430">
        <v>300</v>
      </c>
      <c r="D430">
        <v>1</v>
      </c>
      <c r="E430">
        <v>2</v>
      </c>
    </row>
    <row r="431" spans="1:5" x14ac:dyDescent="0.3">
      <c r="A431">
        <v>430</v>
      </c>
      <c r="B431">
        <v>250</v>
      </c>
      <c r="C431">
        <v>300</v>
      </c>
      <c r="D431">
        <v>1</v>
      </c>
      <c r="E431">
        <v>1</v>
      </c>
    </row>
    <row r="432" spans="1:5" x14ac:dyDescent="0.3">
      <c r="A432">
        <v>431</v>
      </c>
      <c r="B432">
        <v>150</v>
      </c>
      <c r="C432">
        <v>200</v>
      </c>
      <c r="D432">
        <v>3</v>
      </c>
      <c r="E432">
        <v>4</v>
      </c>
    </row>
    <row r="433" spans="1:5" x14ac:dyDescent="0.3">
      <c r="A433">
        <v>432</v>
      </c>
      <c r="B433">
        <v>430</v>
      </c>
      <c r="C433">
        <v>450</v>
      </c>
      <c r="D433">
        <v>1</v>
      </c>
      <c r="E433">
        <v>2</v>
      </c>
    </row>
    <row r="434" spans="1:5" x14ac:dyDescent="0.3">
      <c r="A434">
        <v>433</v>
      </c>
      <c r="B434">
        <v>80</v>
      </c>
      <c r="C434">
        <v>87</v>
      </c>
      <c r="D434">
        <v>5</v>
      </c>
      <c r="E434">
        <v>5</v>
      </c>
    </row>
    <row r="435" spans="1:5" x14ac:dyDescent="0.3">
      <c r="A435">
        <v>434</v>
      </c>
      <c r="B435">
        <v>200</v>
      </c>
      <c r="C435">
        <v>300</v>
      </c>
      <c r="D435">
        <v>1</v>
      </c>
      <c r="E435">
        <v>2</v>
      </c>
    </row>
    <row r="436" spans="1:5" x14ac:dyDescent="0.3">
      <c r="A436">
        <v>435</v>
      </c>
      <c r="B436">
        <v>150</v>
      </c>
      <c r="C436">
        <v>250</v>
      </c>
      <c r="D436">
        <v>4</v>
      </c>
      <c r="E436">
        <v>5</v>
      </c>
    </row>
    <row r="437" spans="1:5" x14ac:dyDescent="0.3">
      <c r="A437">
        <v>436</v>
      </c>
      <c r="B437">
        <v>200</v>
      </c>
      <c r="C437">
        <v>380</v>
      </c>
      <c r="D437">
        <v>1</v>
      </c>
      <c r="E437">
        <v>4</v>
      </c>
    </row>
    <row r="438" spans="1:5" x14ac:dyDescent="0.3">
      <c r="A438">
        <v>437</v>
      </c>
      <c r="B438">
        <v>150</v>
      </c>
      <c r="C438">
        <v>160</v>
      </c>
      <c r="D438">
        <v>1</v>
      </c>
      <c r="E438">
        <v>2</v>
      </c>
    </row>
    <row r="439" spans="1:5" x14ac:dyDescent="0.3">
      <c r="A439">
        <v>438</v>
      </c>
      <c r="B439">
        <v>150</v>
      </c>
      <c r="C439">
        <v>250</v>
      </c>
      <c r="D439">
        <v>1</v>
      </c>
      <c r="E439">
        <v>4</v>
      </c>
    </row>
    <row r="440" spans="1:5" x14ac:dyDescent="0.3">
      <c r="A440">
        <v>439</v>
      </c>
      <c r="B440">
        <v>75</v>
      </c>
      <c r="C440">
        <v>80</v>
      </c>
      <c r="D440">
        <v>1</v>
      </c>
      <c r="E440">
        <v>1</v>
      </c>
    </row>
    <row r="441" spans="1:5" x14ac:dyDescent="0.3">
      <c r="A441">
        <v>440</v>
      </c>
      <c r="B441">
        <v>320</v>
      </c>
      <c r="C441">
        <v>360</v>
      </c>
      <c r="D441">
        <v>1</v>
      </c>
      <c r="E441">
        <v>2</v>
      </c>
    </row>
    <row r="442" spans="1:5" x14ac:dyDescent="0.3">
      <c r="A442">
        <v>441</v>
      </c>
      <c r="B442">
        <v>199</v>
      </c>
      <c r="C442">
        <v>249</v>
      </c>
      <c r="D442">
        <v>1</v>
      </c>
      <c r="E442">
        <v>2</v>
      </c>
    </row>
    <row r="443" spans="1:5" x14ac:dyDescent="0.3">
      <c r="A443">
        <v>442</v>
      </c>
      <c r="B443">
        <v>200</v>
      </c>
      <c r="C443">
        <v>250</v>
      </c>
      <c r="D443">
        <v>2</v>
      </c>
      <c r="E443">
        <v>3</v>
      </c>
    </row>
    <row r="444" spans="1:5" x14ac:dyDescent="0.3">
      <c r="A444">
        <v>443</v>
      </c>
      <c r="B444">
        <v>100</v>
      </c>
      <c r="C444">
        <v>150</v>
      </c>
      <c r="D444">
        <v>2</v>
      </c>
      <c r="E444">
        <v>3</v>
      </c>
    </row>
    <row r="445" spans="1:5" x14ac:dyDescent="0.3">
      <c r="A445">
        <v>444</v>
      </c>
      <c r="B445">
        <v>500</v>
      </c>
      <c r="C445">
        <v>600</v>
      </c>
      <c r="D445">
        <v>1</v>
      </c>
      <c r="E445">
        <v>2</v>
      </c>
    </row>
    <row r="446" spans="1:5" x14ac:dyDescent="0.3">
      <c r="A446">
        <v>445</v>
      </c>
      <c r="B446">
        <v>150</v>
      </c>
      <c r="C446">
        <v>300</v>
      </c>
      <c r="D446">
        <v>2</v>
      </c>
      <c r="E446">
        <v>3</v>
      </c>
    </row>
    <row r="447" spans="1:5" x14ac:dyDescent="0.3">
      <c r="A447">
        <v>446</v>
      </c>
      <c r="B447">
        <v>120</v>
      </c>
      <c r="C447">
        <v>130</v>
      </c>
      <c r="D447">
        <v>2</v>
      </c>
      <c r="E447">
        <v>2</v>
      </c>
    </row>
    <row r="448" spans="1:5" x14ac:dyDescent="0.3">
      <c r="A448">
        <v>447</v>
      </c>
      <c r="B448">
        <v>400</v>
      </c>
      <c r="C448">
        <v>450</v>
      </c>
      <c r="D448">
        <v>2</v>
      </c>
      <c r="E448">
        <v>3</v>
      </c>
    </row>
    <row r="449" spans="1:5" x14ac:dyDescent="0.3">
      <c r="A449">
        <v>448</v>
      </c>
      <c r="B449">
        <v>250</v>
      </c>
      <c r="C449">
        <v>280</v>
      </c>
      <c r="D449">
        <v>2</v>
      </c>
      <c r="E449">
        <v>2</v>
      </c>
    </row>
    <row r="450" spans="1:5" x14ac:dyDescent="0.3">
      <c r="A450">
        <v>449</v>
      </c>
      <c r="B450">
        <v>200</v>
      </c>
      <c r="C450">
        <v>250</v>
      </c>
      <c r="D450">
        <v>1</v>
      </c>
      <c r="E450">
        <v>2</v>
      </c>
    </row>
    <row r="451" spans="1:5" x14ac:dyDescent="0.3">
      <c r="A451">
        <v>450</v>
      </c>
      <c r="B451">
        <v>210</v>
      </c>
      <c r="C451">
        <v>340</v>
      </c>
      <c r="D451">
        <v>1</v>
      </c>
      <c r="E451">
        <v>4</v>
      </c>
    </row>
    <row r="452" spans="1:5" x14ac:dyDescent="0.3">
      <c r="A452">
        <v>451</v>
      </c>
      <c r="B452">
        <v>250</v>
      </c>
      <c r="C452">
        <v>350</v>
      </c>
      <c r="D452">
        <v>1</v>
      </c>
      <c r="E452">
        <v>2</v>
      </c>
    </row>
    <row r="453" spans="1:5" x14ac:dyDescent="0.3">
      <c r="A453">
        <v>452</v>
      </c>
      <c r="B453">
        <v>250</v>
      </c>
      <c r="C453">
        <v>350</v>
      </c>
      <c r="D453">
        <v>1</v>
      </c>
      <c r="E453">
        <v>1</v>
      </c>
    </row>
    <row r="454" spans="1:5" x14ac:dyDescent="0.3">
      <c r="A454">
        <v>453</v>
      </c>
      <c r="B454">
        <v>150</v>
      </c>
      <c r="C454">
        <v>180</v>
      </c>
      <c r="D454">
        <v>1</v>
      </c>
      <c r="E454">
        <v>2</v>
      </c>
    </row>
    <row r="455" spans="1:5" x14ac:dyDescent="0.3">
      <c r="A455">
        <v>454</v>
      </c>
      <c r="B455">
        <v>200</v>
      </c>
      <c r="C455">
        <v>260</v>
      </c>
      <c r="D455">
        <v>3</v>
      </c>
      <c r="E455">
        <v>3</v>
      </c>
    </row>
    <row r="456" spans="1:5" x14ac:dyDescent="0.3">
      <c r="A456">
        <v>455</v>
      </c>
      <c r="B456">
        <v>150</v>
      </c>
      <c r="C456">
        <v>160</v>
      </c>
      <c r="D456">
        <v>2</v>
      </c>
      <c r="E456">
        <v>2</v>
      </c>
    </row>
    <row r="457" spans="1:5" x14ac:dyDescent="0.3">
      <c r="A457">
        <v>456</v>
      </c>
      <c r="B457">
        <v>100</v>
      </c>
      <c r="C457">
        <v>110</v>
      </c>
      <c r="D457">
        <v>1</v>
      </c>
      <c r="E457">
        <v>2</v>
      </c>
    </row>
    <row r="458" spans="1:5" x14ac:dyDescent="0.3">
      <c r="A458">
        <v>457</v>
      </c>
      <c r="B458">
        <v>300</v>
      </c>
      <c r="C458">
        <v>350</v>
      </c>
      <c r="D458">
        <v>1</v>
      </c>
      <c r="E458">
        <v>2</v>
      </c>
    </row>
    <row r="459" spans="1:5" x14ac:dyDescent="0.3">
      <c r="A459">
        <v>458</v>
      </c>
      <c r="B459">
        <v>150</v>
      </c>
      <c r="C459">
        <v>350</v>
      </c>
      <c r="D459">
        <v>2</v>
      </c>
      <c r="E459">
        <v>3</v>
      </c>
    </row>
    <row r="460" spans="1:5" x14ac:dyDescent="0.3">
      <c r="A460">
        <v>459</v>
      </c>
      <c r="B460">
        <v>400</v>
      </c>
      <c r="C460">
        <v>450</v>
      </c>
      <c r="D460">
        <v>1</v>
      </c>
      <c r="E460">
        <v>3</v>
      </c>
    </row>
    <row r="461" spans="1:5" x14ac:dyDescent="0.3">
      <c r="A461">
        <v>460</v>
      </c>
      <c r="B461">
        <v>260</v>
      </c>
      <c r="C461">
        <v>300</v>
      </c>
      <c r="D461">
        <v>1</v>
      </c>
      <c r="E461">
        <v>2</v>
      </c>
    </row>
    <row r="462" spans="1:5" x14ac:dyDescent="0.3">
      <c r="A462">
        <v>461</v>
      </c>
      <c r="B462">
        <v>100</v>
      </c>
      <c r="C462">
        <v>200</v>
      </c>
      <c r="D462">
        <v>3</v>
      </c>
      <c r="E462">
        <v>3</v>
      </c>
    </row>
    <row r="463" spans="1:5" x14ac:dyDescent="0.3">
      <c r="A463">
        <v>462</v>
      </c>
      <c r="B463">
        <v>100</v>
      </c>
      <c r="C463">
        <v>150</v>
      </c>
      <c r="D463">
        <v>5</v>
      </c>
      <c r="E463">
        <v>5</v>
      </c>
    </row>
    <row r="464" spans="1:5" x14ac:dyDescent="0.3">
      <c r="A464">
        <v>463</v>
      </c>
      <c r="B464">
        <v>300</v>
      </c>
      <c r="C464">
        <v>499</v>
      </c>
      <c r="D464">
        <v>1</v>
      </c>
      <c r="E464">
        <v>3</v>
      </c>
    </row>
    <row r="465" spans="1:5" x14ac:dyDescent="0.3">
      <c r="A465">
        <v>464</v>
      </c>
      <c r="B465">
        <v>250</v>
      </c>
      <c r="C465">
        <v>300</v>
      </c>
      <c r="D465">
        <v>1</v>
      </c>
      <c r="E465">
        <v>3</v>
      </c>
    </row>
    <row r="466" spans="1:5" x14ac:dyDescent="0.3">
      <c r="A466">
        <v>465</v>
      </c>
      <c r="B466">
        <v>180</v>
      </c>
      <c r="C466">
        <v>190</v>
      </c>
      <c r="D466">
        <v>1</v>
      </c>
      <c r="E466">
        <v>2</v>
      </c>
    </row>
    <row r="467" spans="1:5" x14ac:dyDescent="0.3">
      <c r="A467">
        <v>466</v>
      </c>
      <c r="B467">
        <v>100</v>
      </c>
      <c r="C467">
        <v>110</v>
      </c>
      <c r="D467">
        <v>1</v>
      </c>
      <c r="E467">
        <v>2</v>
      </c>
    </row>
    <row r="468" spans="1:5" x14ac:dyDescent="0.3">
      <c r="A468">
        <v>467</v>
      </c>
      <c r="B468">
        <v>250</v>
      </c>
      <c r="C468">
        <v>300</v>
      </c>
      <c r="D468">
        <v>1</v>
      </c>
      <c r="E468">
        <v>2</v>
      </c>
    </row>
    <row r="469" spans="1:5" x14ac:dyDescent="0.3">
      <c r="A469">
        <v>468</v>
      </c>
      <c r="B469">
        <v>160</v>
      </c>
      <c r="C469">
        <v>180</v>
      </c>
      <c r="D469">
        <v>1</v>
      </c>
      <c r="E469">
        <v>3</v>
      </c>
    </row>
    <row r="470" spans="1:5" x14ac:dyDescent="0.3">
      <c r="A470">
        <v>469</v>
      </c>
      <c r="B470">
        <v>50</v>
      </c>
      <c r="C470">
        <v>100</v>
      </c>
      <c r="D470">
        <v>1</v>
      </c>
      <c r="E470">
        <v>3</v>
      </c>
    </row>
    <row r="471" spans="1:5" x14ac:dyDescent="0.3">
      <c r="A471">
        <v>470</v>
      </c>
      <c r="B471">
        <v>150</v>
      </c>
      <c r="C471">
        <v>200</v>
      </c>
      <c r="D471">
        <v>2</v>
      </c>
      <c r="E471">
        <v>3</v>
      </c>
    </row>
    <row r="472" spans="1:5" x14ac:dyDescent="0.3">
      <c r="A472">
        <v>471</v>
      </c>
      <c r="B472">
        <v>300</v>
      </c>
      <c r="C472">
        <v>400</v>
      </c>
      <c r="D472">
        <v>1</v>
      </c>
      <c r="E472">
        <v>3</v>
      </c>
    </row>
    <row r="473" spans="1:5" x14ac:dyDescent="0.3">
      <c r="A473">
        <v>472</v>
      </c>
      <c r="B473">
        <v>350</v>
      </c>
      <c r="C473">
        <v>400</v>
      </c>
      <c r="D473">
        <v>1</v>
      </c>
      <c r="E473">
        <v>3</v>
      </c>
    </row>
    <row r="474" spans="1:5" x14ac:dyDescent="0.3">
      <c r="A474">
        <v>473</v>
      </c>
      <c r="B474">
        <v>180</v>
      </c>
      <c r="C474">
        <v>250</v>
      </c>
      <c r="D474">
        <v>1</v>
      </c>
      <c r="E474">
        <v>2</v>
      </c>
    </row>
    <row r="475" spans="1:5" x14ac:dyDescent="0.3">
      <c r="A475">
        <v>474</v>
      </c>
      <c r="B475">
        <v>300</v>
      </c>
      <c r="C475">
        <v>400</v>
      </c>
      <c r="D475">
        <v>3</v>
      </c>
      <c r="E475">
        <v>5</v>
      </c>
    </row>
    <row r="476" spans="1:5" x14ac:dyDescent="0.3">
      <c r="A476">
        <v>475</v>
      </c>
      <c r="B476">
        <v>120</v>
      </c>
      <c r="C476">
        <v>180</v>
      </c>
      <c r="D476">
        <v>2</v>
      </c>
      <c r="E476">
        <v>3</v>
      </c>
    </row>
    <row r="477" spans="1:5" x14ac:dyDescent="0.3">
      <c r="A477">
        <v>476</v>
      </c>
      <c r="B477">
        <v>200</v>
      </c>
      <c r="C477">
        <v>250</v>
      </c>
      <c r="D477">
        <v>2</v>
      </c>
      <c r="E477">
        <v>3</v>
      </c>
    </row>
    <row r="478" spans="1:5" x14ac:dyDescent="0.3">
      <c r="A478">
        <v>477</v>
      </c>
      <c r="B478">
        <v>190</v>
      </c>
      <c r="C478">
        <v>260</v>
      </c>
      <c r="D478">
        <v>1</v>
      </c>
      <c r="E478">
        <v>2</v>
      </c>
    </row>
    <row r="479" spans="1:5" x14ac:dyDescent="0.3">
      <c r="A479">
        <v>478</v>
      </c>
      <c r="B479">
        <v>200</v>
      </c>
      <c r="C479">
        <v>250</v>
      </c>
      <c r="D479">
        <v>2</v>
      </c>
      <c r="E479">
        <v>2</v>
      </c>
    </row>
    <row r="480" spans="1:5" x14ac:dyDescent="0.3">
      <c r="A480">
        <v>479</v>
      </c>
      <c r="B480">
        <v>100</v>
      </c>
      <c r="C480">
        <v>101</v>
      </c>
      <c r="D480">
        <v>5</v>
      </c>
      <c r="E480">
        <v>5</v>
      </c>
    </row>
    <row r="481" spans="1:5" x14ac:dyDescent="0.3">
      <c r="A481">
        <v>480</v>
      </c>
      <c r="B481">
        <v>250</v>
      </c>
      <c r="C481">
        <v>350</v>
      </c>
      <c r="D481">
        <v>1</v>
      </c>
      <c r="E481">
        <v>1</v>
      </c>
    </row>
    <row r="482" spans="1:5" x14ac:dyDescent="0.3">
      <c r="A482">
        <v>481</v>
      </c>
      <c r="B482">
        <v>100</v>
      </c>
      <c r="C482">
        <v>120</v>
      </c>
      <c r="D482">
        <v>1</v>
      </c>
      <c r="E482">
        <v>2</v>
      </c>
    </row>
    <row r="483" spans="1:5" x14ac:dyDescent="0.3">
      <c r="A483">
        <v>482</v>
      </c>
      <c r="B483">
        <v>200</v>
      </c>
      <c r="C483">
        <v>300</v>
      </c>
      <c r="D483">
        <v>3</v>
      </c>
      <c r="E483">
        <v>3</v>
      </c>
    </row>
    <row r="484" spans="1:5" x14ac:dyDescent="0.3">
      <c r="A484">
        <v>483</v>
      </c>
      <c r="B484">
        <v>99</v>
      </c>
      <c r="C484">
        <v>120</v>
      </c>
      <c r="D484">
        <v>1</v>
      </c>
      <c r="E484">
        <v>1</v>
      </c>
    </row>
    <row r="485" spans="1:5" x14ac:dyDescent="0.3">
      <c r="A485">
        <v>484</v>
      </c>
      <c r="B485">
        <v>75</v>
      </c>
      <c r="C485">
        <v>98</v>
      </c>
      <c r="D485">
        <v>1</v>
      </c>
      <c r="E485">
        <v>1</v>
      </c>
    </row>
    <row r="486" spans="1:5" x14ac:dyDescent="0.3">
      <c r="A486">
        <v>485</v>
      </c>
      <c r="B486">
        <v>180</v>
      </c>
      <c r="C486">
        <v>220</v>
      </c>
      <c r="D486">
        <v>1</v>
      </c>
      <c r="E486">
        <v>1</v>
      </c>
    </row>
    <row r="487" spans="1:5" x14ac:dyDescent="0.3">
      <c r="A487">
        <v>486</v>
      </c>
      <c r="B487">
        <v>200</v>
      </c>
      <c r="C487">
        <v>220</v>
      </c>
      <c r="D487">
        <v>2</v>
      </c>
      <c r="E487">
        <v>2</v>
      </c>
    </row>
    <row r="488" spans="1:5" x14ac:dyDescent="0.3">
      <c r="A488">
        <v>487</v>
      </c>
      <c r="B488">
        <v>199</v>
      </c>
      <c r="C488">
        <v>299</v>
      </c>
      <c r="D488">
        <v>1</v>
      </c>
      <c r="E488">
        <v>1</v>
      </c>
    </row>
    <row r="489" spans="1:5" x14ac:dyDescent="0.3">
      <c r="A489">
        <v>488</v>
      </c>
      <c r="B489">
        <v>250</v>
      </c>
      <c r="C489">
        <v>360</v>
      </c>
      <c r="D489">
        <v>2</v>
      </c>
      <c r="E489">
        <v>2</v>
      </c>
    </row>
    <row r="490" spans="1:5" x14ac:dyDescent="0.3">
      <c r="A490">
        <v>489</v>
      </c>
      <c r="B490">
        <v>300</v>
      </c>
      <c r="C490">
        <v>320</v>
      </c>
      <c r="D490">
        <v>1</v>
      </c>
      <c r="E490">
        <v>2</v>
      </c>
    </row>
    <row r="491" spans="1:5" x14ac:dyDescent="0.3">
      <c r="A491">
        <v>490</v>
      </c>
      <c r="B491">
        <v>154</v>
      </c>
      <c r="C491">
        <v>155</v>
      </c>
      <c r="D491">
        <v>2</v>
      </c>
      <c r="E491">
        <v>3</v>
      </c>
    </row>
    <row r="492" spans="1:5" x14ac:dyDescent="0.3">
      <c r="A492">
        <v>491</v>
      </c>
      <c r="B492">
        <v>300</v>
      </c>
      <c r="C492">
        <v>369</v>
      </c>
      <c r="D492">
        <v>2</v>
      </c>
      <c r="E492">
        <v>2</v>
      </c>
    </row>
    <row r="493" spans="1:5" x14ac:dyDescent="0.3">
      <c r="A493">
        <v>492</v>
      </c>
      <c r="B493">
        <v>300</v>
      </c>
      <c r="C493">
        <v>301</v>
      </c>
      <c r="D493">
        <v>3</v>
      </c>
      <c r="E493">
        <v>3</v>
      </c>
    </row>
    <row r="494" spans="1:5" x14ac:dyDescent="0.3">
      <c r="A494">
        <v>493</v>
      </c>
      <c r="B494">
        <v>250</v>
      </c>
      <c r="C494">
        <v>300</v>
      </c>
      <c r="D494">
        <v>1</v>
      </c>
      <c r="E494">
        <v>2</v>
      </c>
    </row>
    <row r="495" spans="1:5" x14ac:dyDescent="0.3">
      <c r="A495">
        <v>494</v>
      </c>
      <c r="B495">
        <v>250</v>
      </c>
      <c r="C495">
        <v>350</v>
      </c>
      <c r="D495">
        <v>1</v>
      </c>
      <c r="E495">
        <v>2</v>
      </c>
    </row>
    <row r="496" spans="1:5" x14ac:dyDescent="0.3">
      <c r="A496">
        <v>495</v>
      </c>
      <c r="B496">
        <v>350</v>
      </c>
      <c r="C496">
        <v>500</v>
      </c>
      <c r="D496">
        <v>2</v>
      </c>
      <c r="E496">
        <v>2</v>
      </c>
    </row>
    <row r="497" spans="1:5" x14ac:dyDescent="0.3">
      <c r="A497">
        <v>496</v>
      </c>
      <c r="B497">
        <v>300</v>
      </c>
      <c r="C497">
        <v>450</v>
      </c>
      <c r="D497">
        <v>2</v>
      </c>
      <c r="E497">
        <v>3</v>
      </c>
    </row>
    <row r="498" spans="1:5" x14ac:dyDescent="0.3">
      <c r="A498">
        <v>497</v>
      </c>
      <c r="B498">
        <v>80</v>
      </c>
      <c r="C498">
        <v>100</v>
      </c>
      <c r="D498">
        <v>2</v>
      </c>
      <c r="E498">
        <v>3</v>
      </c>
    </row>
    <row r="499" spans="1:5" x14ac:dyDescent="0.3">
      <c r="A499">
        <v>498</v>
      </c>
      <c r="B499">
        <v>150</v>
      </c>
      <c r="C499">
        <v>210</v>
      </c>
      <c r="D499">
        <v>1</v>
      </c>
      <c r="E499">
        <v>2</v>
      </c>
    </row>
    <row r="500" spans="1:5" x14ac:dyDescent="0.3">
      <c r="A500">
        <v>499</v>
      </c>
      <c r="B500">
        <v>180</v>
      </c>
      <c r="C500">
        <v>200</v>
      </c>
      <c r="D500">
        <v>1</v>
      </c>
      <c r="E500">
        <v>2</v>
      </c>
    </row>
    <row r="501" spans="1:5" x14ac:dyDescent="0.3">
      <c r="A501">
        <v>500</v>
      </c>
      <c r="B501">
        <v>48</v>
      </c>
      <c r="C501">
        <v>49</v>
      </c>
      <c r="D501">
        <v>3</v>
      </c>
      <c r="E501">
        <v>3</v>
      </c>
    </row>
    <row r="502" spans="1:5" x14ac:dyDescent="0.3">
      <c r="A502">
        <v>501</v>
      </c>
      <c r="B502">
        <v>100</v>
      </c>
      <c r="C502">
        <v>150</v>
      </c>
      <c r="D502">
        <v>1</v>
      </c>
      <c r="E502">
        <v>2</v>
      </c>
    </row>
    <row r="503" spans="1:5" x14ac:dyDescent="0.3">
      <c r="A503">
        <v>502</v>
      </c>
      <c r="B503">
        <v>150</v>
      </c>
      <c r="C503">
        <v>200</v>
      </c>
      <c r="D503">
        <v>1</v>
      </c>
      <c r="E503">
        <v>3</v>
      </c>
    </row>
    <row r="504" spans="1:5" x14ac:dyDescent="0.3">
      <c r="A504">
        <v>503</v>
      </c>
      <c r="B504">
        <v>100</v>
      </c>
      <c r="C504">
        <v>250</v>
      </c>
      <c r="D504">
        <v>1</v>
      </c>
      <c r="E504">
        <v>2</v>
      </c>
    </row>
    <row r="505" spans="1:5" x14ac:dyDescent="0.3">
      <c r="A505">
        <v>504</v>
      </c>
      <c r="B505">
        <v>150</v>
      </c>
      <c r="C505">
        <v>200</v>
      </c>
      <c r="D505">
        <v>1</v>
      </c>
      <c r="E505">
        <v>2</v>
      </c>
    </row>
    <row r="506" spans="1:5" x14ac:dyDescent="0.3">
      <c r="A506">
        <v>505</v>
      </c>
      <c r="B506">
        <v>200</v>
      </c>
      <c r="C506">
        <v>250</v>
      </c>
      <c r="D506">
        <v>1</v>
      </c>
      <c r="E506">
        <v>2</v>
      </c>
    </row>
    <row r="507" spans="1:5" x14ac:dyDescent="0.3">
      <c r="A507">
        <v>506</v>
      </c>
      <c r="B507">
        <v>100</v>
      </c>
      <c r="C507">
        <v>119</v>
      </c>
      <c r="D507">
        <v>4</v>
      </c>
      <c r="E507">
        <v>4</v>
      </c>
    </row>
    <row r="508" spans="1:5" x14ac:dyDescent="0.3">
      <c r="A508">
        <v>507</v>
      </c>
      <c r="B508">
        <v>290</v>
      </c>
      <c r="C508">
        <v>349</v>
      </c>
      <c r="D508">
        <v>1</v>
      </c>
      <c r="E508">
        <v>4</v>
      </c>
    </row>
    <row r="509" spans="1:5" x14ac:dyDescent="0.3">
      <c r="A509">
        <v>508</v>
      </c>
      <c r="B509">
        <v>150</v>
      </c>
      <c r="C509">
        <v>160</v>
      </c>
      <c r="D509">
        <v>1</v>
      </c>
      <c r="E509">
        <v>3</v>
      </c>
    </row>
    <row r="510" spans="1:5" x14ac:dyDescent="0.3">
      <c r="A510">
        <v>509</v>
      </c>
      <c r="B510">
        <v>130</v>
      </c>
      <c r="C510">
        <v>150</v>
      </c>
      <c r="D510">
        <v>2</v>
      </c>
      <c r="E510">
        <v>2</v>
      </c>
    </row>
    <row r="511" spans="1:5" x14ac:dyDescent="0.3">
      <c r="A511">
        <v>510</v>
      </c>
      <c r="B511">
        <v>100</v>
      </c>
      <c r="C511">
        <v>150</v>
      </c>
      <c r="D511">
        <v>2</v>
      </c>
      <c r="E511">
        <v>3</v>
      </c>
    </row>
    <row r="512" spans="1:5" x14ac:dyDescent="0.3">
      <c r="A512">
        <v>511</v>
      </c>
      <c r="B512">
        <v>100</v>
      </c>
      <c r="C512">
        <v>150</v>
      </c>
      <c r="D512">
        <v>2</v>
      </c>
      <c r="E512">
        <v>3</v>
      </c>
    </row>
    <row r="513" spans="1:5" x14ac:dyDescent="0.3">
      <c r="A513">
        <v>512</v>
      </c>
      <c r="B513">
        <v>100</v>
      </c>
      <c r="C513">
        <v>150</v>
      </c>
      <c r="D513">
        <v>1</v>
      </c>
      <c r="E513">
        <v>2</v>
      </c>
    </row>
    <row r="514" spans="1:5" x14ac:dyDescent="0.3">
      <c r="A514">
        <v>513</v>
      </c>
      <c r="B514">
        <v>300</v>
      </c>
      <c r="C514">
        <v>400</v>
      </c>
      <c r="D514">
        <v>1</v>
      </c>
      <c r="E514">
        <v>2</v>
      </c>
    </row>
    <row r="515" spans="1:5" x14ac:dyDescent="0.3">
      <c r="A515">
        <v>514</v>
      </c>
      <c r="B515">
        <v>299</v>
      </c>
      <c r="C515">
        <v>350</v>
      </c>
      <c r="D515">
        <v>1</v>
      </c>
      <c r="E515">
        <v>2</v>
      </c>
    </row>
    <row r="516" spans="1:5" x14ac:dyDescent="0.3">
      <c r="A516">
        <v>515</v>
      </c>
      <c r="B516">
        <v>300</v>
      </c>
      <c r="C516">
        <v>320</v>
      </c>
      <c r="D516">
        <v>1</v>
      </c>
      <c r="E516">
        <v>1</v>
      </c>
    </row>
    <row r="517" spans="1:5" x14ac:dyDescent="0.3">
      <c r="A517">
        <v>516</v>
      </c>
      <c r="B517">
        <v>250</v>
      </c>
      <c r="C517">
        <v>290</v>
      </c>
      <c r="D517">
        <v>1</v>
      </c>
      <c r="E517">
        <v>3</v>
      </c>
    </row>
    <row r="518" spans="1:5" x14ac:dyDescent="0.3">
      <c r="A518">
        <v>517</v>
      </c>
      <c r="B518">
        <v>99</v>
      </c>
      <c r="C518">
        <v>130</v>
      </c>
      <c r="D518">
        <v>3</v>
      </c>
      <c r="E518">
        <v>3</v>
      </c>
    </row>
    <row r="519" spans="1:5" x14ac:dyDescent="0.3">
      <c r="A519">
        <v>518</v>
      </c>
      <c r="B519">
        <v>150</v>
      </c>
      <c r="C519">
        <v>198</v>
      </c>
      <c r="D519">
        <v>3</v>
      </c>
      <c r="E519">
        <v>4</v>
      </c>
    </row>
    <row r="520" spans="1:5" x14ac:dyDescent="0.3">
      <c r="A520">
        <v>519</v>
      </c>
      <c r="B520">
        <v>350</v>
      </c>
      <c r="C520">
        <v>550</v>
      </c>
      <c r="D520">
        <v>1</v>
      </c>
      <c r="E520">
        <v>3</v>
      </c>
    </row>
    <row r="521" spans="1:5" x14ac:dyDescent="0.3">
      <c r="A521">
        <v>520</v>
      </c>
      <c r="B521">
        <v>100</v>
      </c>
      <c r="C521">
        <v>200</v>
      </c>
      <c r="D521">
        <v>3</v>
      </c>
      <c r="E521">
        <v>3</v>
      </c>
    </row>
    <row r="522" spans="1:5" x14ac:dyDescent="0.3">
      <c r="A522">
        <v>521</v>
      </c>
      <c r="B522">
        <v>99</v>
      </c>
      <c r="C522">
        <v>120</v>
      </c>
      <c r="D522">
        <v>2</v>
      </c>
      <c r="E522">
        <v>2</v>
      </c>
    </row>
    <row r="523" spans="1:5" x14ac:dyDescent="0.3">
      <c r="A523">
        <v>522</v>
      </c>
      <c r="B523">
        <v>200</v>
      </c>
      <c r="C523">
        <v>300</v>
      </c>
      <c r="D523">
        <v>1</v>
      </c>
      <c r="E523">
        <v>2</v>
      </c>
    </row>
    <row r="524" spans="1:5" x14ac:dyDescent="0.3">
      <c r="A524">
        <v>523</v>
      </c>
      <c r="B524">
        <v>300</v>
      </c>
      <c r="C524">
        <v>340</v>
      </c>
      <c r="D524">
        <v>2</v>
      </c>
      <c r="E524">
        <v>3</v>
      </c>
    </row>
    <row r="525" spans="1:5" x14ac:dyDescent="0.3">
      <c r="A525">
        <v>524</v>
      </c>
      <c r="B525">
        <v>200</v>
      </c>
      <c r="C525">
        <v>300</v>
      </c>
      <c r="D525">
        <v>2</v>
      </c>
      <c r="E525">
        <v>2</v>
      </c>
    </row>
    <row r="526" spans="1:5" x14ac:dyDescent="0.3">
      <c r="A526">
        <v>525</v>
      </c>
      <c r="B526">
        <v>200</v>
      </c>
      <c r="C526">
        <v>230</v>
      </c>
      <c r="D526">
        <v>1</v>
      </c>
      <c r="E526">
        <v>2</v>
      </c>
    </row>
    <row r="527" spans="1:5" x14ac:dyDescent="0.3">
      <c r="A527">
        <v>526</v>
      </c>
      <c r="B527">
        <v>300</v>
      </c>
      <c r="C527">
        <v>400</v>
      </c>
      <c r="D527">
        <v>1</v>
      </c>
      <c r="E527">
        <v>3</v>
      </c>
    </row>
    <row r="528" spans="1:5" x14ac:dyDescent="0.3">
      <c r="A528">
        <v>527</v>
      </c>
      <c r="B528">
        <v>200</v>
      </c>
      <c r="C528">
        <v>230</v>
      </c>
      <c r="D528">
        <v>2</v>
      </c>
      <c r="E528">
        <v>4</v>
      </c>
    </row>
    <row r="529" spans="1:5" x14ac:dyDescent="0.3">
      <c r="A529">
        <v>528</v>
      </c>
      <c r="B529">
        <v>240</v>
      </c>
      <c r="C529">
        <v>250</v>
      </c>
      <c r="D529">
        <v>2</v>
      </c>
      <c r="E529">
        <v>2</v>
      </c>
    </row>
    <row r="530" spans="1:5" x14ac:dyDescent="0.3">
      <c r="A530">
        <v>529</v>
      </c>
      <c r="B530">
        <v>19</v>
      </c>
      <c r="C530">
        <v>197</v>
      </c>
      <c r="D530">
        <v>5</v>
      </c>
      <c r="E530">
        <v>5</v>
      </c>
    </row>
    <row r="531" spans="1:5" x14ac:dyDescent="0.3">
      <c r="A531">
        <v>530</v>
      </c>
      <c r="B531">
        <v>35</v>
      </c>
      <c r="C531">
        <v>180</v>
      </c>
      <c r="D531">
        <v>2</v>
      </c>
      <c r="E531">
        <v>4</v>
      </c>
    </row>
    <row r="532" spans="1:5" x14ac:dyDescent="0.3">
      <c r="A532">
        <v>531</v>
      </c>
      <c r="B532">
        <v>100</v>
      </c>
      <c r="C532">
        <v>150</v>
      </c>
      <c r="D532">
        <v>3</v>
      </c>
      <c r="E532">
        <v>2</v>
      </c>
    </row>
    <row r="533" spans="1:5" x14ac:dyDescent="0.3">
      <c r="A533">
        <v>532</v>
      </c>
      <c r="B533">
        <v>56</v>
      </c>
      <c r="C533">
        <v>250</v>
      </c>
      <c r="D533">
        <v>1</v>
      </c>
      <c r="E533">
        <v>1</v>
      </c>
    </row>
    <row r="534" spans="1:5" x14ac:dyDescent="0.3">
      <c r="A534">
        <v>533</v>
      </c>
      <c r="B534">
        <v>200</v>
      </c>
      <c r="C534">
        <v>250</v>
      </c>
      <c r="D534">
        <v>1</v>
      </c>
      <c r="E534">
        <v>2</v>
      </c>
    </row>
    <row r="535" spans="1:5" x14ac:dyDescent="0.3">
      <c r="A535">
        <v>534</v>
      </c>
      <c r="B535">
        <v>350</v>
      </c>
      <c r="C535">
        <v>450</v>
      </c>
      <c r="D535">
        <v>3</v>
      </c>
      <c r="E535">
        <v>5</v>
      </c>
    </row>
    <row r="536" spans="1:5" x14ac:dyDescent="0.3">
      <c r="A536">
        <v>535</v>
      </c>
      <c r="B536">
        <v>150</v>
      </c>
      <c r="C536">
        <v>180</v>
      </c>
      <c r="D536">
        <v>4</v>
      </c>
      <c r="E536">
        <v>4</v>
      </c>
    </row>
    <row r="537" spans="1:5" x14ac:dyDescent="0.3">
      <c r="A537">
        <v>536</v>
      </c>
      <c r="B537">
        <v>280</v>
      </c>
      <c r="C537">
        <v>350</v>
      </c>
      <c r="D537">
        <v>2</v>
      </c>
      <c r="E537">
        <v>3</v>
      </c>
    </row>
    <row r="538" spans="1:5" x14ac:dyDescent="0.3">
      <c r="A538">
        <v>537</v>
      </c>
      <c r="B538">
        <v>200</v>
      </c>
      <c r="C538">
        <v>250</v>
      </c>
      <c r="D538">
        <v>1</v>
      </c>
      <c r="E538">
        <v>1</v>
      </c>
    </row>
    <row r="539" spans="1:5" x14ac:dyDescent="0.3">
      <c r="A539">
        <v>538</v>
      </c>
      <c r="B539">
        <v>210</v>
      </c>
      <c r="C539">
        <v>250</v>
      </c>
      <c r="D539">
        <v>3</v>
      </c>
      <c r="E539">
        <v>4</v>
      </c>
    </row>
    <row r="540" spans="1:5" x14ac:dyDescent="0.3">
      <c r="A540">
        <v>539</v>
      </c>
      <c r="B540">
        <v>320</v>
      </c>
      <c r="C540">
        <v>350</v>
      </c>
      <c r="D540">
        <v>1</v>
      </c>
      <c r="E540">
        <v>1</v>
      </c>
    </row>
    <row r="541" spans="1:5" x14ac:dyDescent="0.3">
      <c r="A541">
        <v>540</v>
      </c>
      <c r="B541">
        <v>250</v>
      </c>
      <c r="C541">
        <v>300</v>
      </c>
      <c r="D541">
        <v>1</v>
      </c>
      <c r="E541">
        <v>3</v>
      </c>
    </row>
    <row r="542" spans="1:5" x14ac:dyDescent="0.3">
      <c r="A542">
        <v>541</v>
      </c>
      <c r="B542">
        <v>80</v>
      </c>
      <c r="C542">
        <v>150</v>
      </c>
      <c r="D542">
        <v>1</v>
      </c>
      <c r="E542">
        <v>2</v>
      </c>
    </row>
    <row r="543" spans="1:5" x14ac:dyDescent="0.3">
      <c r="A543">
        <v>542</v>
      </c>
      <c r="B543">
        <v>200</v>
      </c>
      <c r="C543">
        <v>270</v>
      </c>
      <c r="D543">
        <v>1</v>
      </c>
      <c r="E543">
        <v>3</v>
      </c>
    </row>
    <row r="544" spans="1:5" x14ac:dyDescent="0.3">
      <c r="A544">
        <v>543</v>
      </c>
      <c r="B544">
        <v>150</v>
      </c>
      <c r="C544">
        <v>200</v>
      </c>
      <c r="D544">
        <v>1</v>
      </c>
      <c r="E544">
        <v>2</v>
      </c>
    </row>
    <row r="545" spans="1:5" x14ac:dyDescent="0.3">
      <c r="A545">
        <v>544</v>
      </c>
      <c r="B545">
        <v>100</v>
      </c>
      <c r="C545">
        <v>140</v>
      </c>
      <c r="D545">
        <v>2</v>
      </c>
      <c r="E545">
        <v>2</v>
      </c>
    </row>
    <row r="546" spans="1:5" x14ac:dyDescent="0.3">
      <c r="A546">
        <v>545</v>
      </c>
      <c r="B546">
        <v>150</v>
      </c>
      <c r="C546">
        <v>180</v>
      </c>
      <c r="D546">
        <v>2</v>
      </c>
      <c r="E546">
        <v>2</v>
      </c>
    </row>
    <row r="547" spans="1:5" x14ac:dyDescent="0.3">
      <c r="A547">
        <v>546</v>
      </c>
      <c r="B547">
        <v>100</v>
      </c>
      <c r="C547">
        <v>130</v>
      </c>
      <c r="D547">
        <v>2</v>
      </c>
      <c r="E547">
        <v>3</v>
      </c>
    </row>
    <row r="548" spans="1:5" x14ac:dyDescent="0.3">
      <c r="A548">
        <v>547</v>
      </c>
      <c r="B548">
        <v>230</v>
      </c>
      <c r="C548">
        <v>280</v>
      </c>
      <c r="D548">
        <v>1</v>
      </c>
      <c r="E548">
        <v>3</v>
      </c>
    </row>
    <row r="549" spans="1:5" x14ac:dyDescent="0.3">
      <c r="A549">
        <v>548</v>
      </c>
      <c r="B549">
        <v>80</v>
      </c>
      <c r="C549">
        <v>100</v>
      </c>
      <c r="D549">
        <v>3</v>
      </c>
      <c r="E549">
        <v>3</v>
      </c>
    </row>
    <row r="550" spans="1:5" x14ac:dyDescent="0.3">
      <c r="A550">
        <v>549</v>
      </c>
      <c r="B550">
        <v>45</v>
      </c>
      <c r="C550">
        <v>120</v>
      </c>
      <c r="D550">
        <v>3</v>
      </c>
      <c r="E550">
        <v>4</v>
      </c>
    </row>
    <row r="551" spans="1:5" x14ac:dyDescent="0.3">
      <c r="A551">
        <v>550</v>
      </c>
      <c r="B551">
        <v>249</v>
      </c>
      <c r="C551">
        <v>250</v>
      </c>
      <c r="D551">
        <v>2</v>
      </c>
      <c r="E551">
        <v>3</v>
      </c>
    </row>
    <row r="552" spans="1:5" x14ac:dyDescent="0.3">
      <c r="A552">
        <v>551</v>
      </c>
      <c r="B552">
        <v>150</v>
      </c>
      <c r="C552">
        <v>200</v>
      </c>
      <c r="D552">
        <v>2</v>
      </c>
      <c r="E552">
        <v>3</v>
      </c>
    </row>
    <row r="553" spans="1:5" x14ac:dyDescent="0.3">
      <c r="A553">
        <v>552</v>
      </c>
      <c r="B553">
        <v>150</v>
      </c>
      <c r="C553">
        <v>180</v>
      </c>
      <c r="D553">
        <v>2</v>
      </c>
      <c r="E553">
        <v>3</v>
      </c>
    </row>
    <row r="554" spans="1:5" x14ac:dyDescent="0.3">
      <c r="A554">
        <v>553</v>
      </c>
      <c r="B554">
        <v>180</v>
      </c>
      <c r="C554">
        <v>200</v>
      </c>
      <c r="D554">
        <v>1</v>
      </c>
      <c r="E554">
        <v>1</v>
      </c>
    </row>
    <row r="555" spans="1:5" x14ac:dyDescent="0.3">
      <c r="A555">
        <v>554</v>
      </c>
      <c r="B555">
        <v>150</v>
      </c>
      <c r="C555">
        <v>200</v>
      </c>
      <c r="D555">
        <v>1</v>
      </c>
      <c r="E555">
        <v>3</v>
      </c>
    </row>
    <row r="556" spans="1:5" x14ac:dyDescent="0.3">
      <c r="A556">
        <v>555</v>
      </c>
      <c r="B556">
        <v>150</v>
      </c>
      <c r="C556">
        <v>160</v>
      </c>
      <c r="D556">
        <v>1</v>
      </c>
      <c r="E556">
        <v>2</v>
      </c>
    </row>
    <row r="557" spans="1:5" x14ac:dyDescent="0.3">
      <c r="A557">
        <v>556</v>
      </c>
      <c r="B557">
        <v>130</v>
      </c>
      <c r="C557">
        <v>180</v>
      </c>
      <c r="D557">
        <v>2</v>
      </c>
      <c r="E557">
        <v>3</v>
      </c>
    </row>
    <row r="558" spans="1:5" x14ac:dyDescent="0.3">
      <c r="A558">
        <v>557</v>
      </c>
      <c r="B558">
        <v>300</v>
      </c>
      <c r="C558">
        <v>450</v>
      </c>
      <c r="D558">
        <v>1</v>
      </c>
      <c r="E558">
        <v>1</v>
      </c>
    </row>
    <row r="559" spans="1:5" x14ac:dyDescent="0.3">
      <c r="A559">
        <v>558</v>
      </c>
      <c r="B559">
        <v>80</v>
      </c>
      <c r="C559">
        <v>100</v>
      </c>
      <c r="D559">
        <v>2</v>
      </c>
      <c r="E559">
        <v>1</v>
      </c>
    </row>
    <row r="560" spans="1:5" x14ac:dyDescent="0.3">
      <c r="A560">
        <v>559</v>
      </c>
      <c r="B560">
        <v>50</v>
      </c>
      <c r="C560">
        <v>70</v>
      </c>
      <c r="D560">
        <v>1</v>
      </c>
      <c r="E560">
        <v>2</v>
      </c>
    </row>
    <row r="561" spans="1:5" x14ac:dyDescent="0.3">
      <c r="A561">
        <v>560</v>
      </c>
      <c r="B561">
        <v>70</v>
      </c>
      <c r="C561">
        <v>100</v>
      </c>
      <c r="D561">
        <v>3</v>
      </c>
      <c r="E561">
        <v>5</v>
      </c>
    </row>
    <row r="562" spans="1:5" x14ac:dyDescent="0.3">
      <c r="A562">
        <v>561</v>
      </c>
      <c r="B562">
        <v>200</v>
      </c>
      <c r="C562">
        <v>269</v>
      </c>
      <c r="D562">
        <v>1</v>
      </c>
      <c r="E562">
        <v>3</v>
      </c>
    </row>
    <row r="563" spans="1:5" x14ac:dyDescent="0.3">
      <c r="A563">
        <v>562</v>
      </c>
      <c r="B563">
        <v>100</v>
      </c>
      <c r="C563">
        <v>200</v>
      </c>
      <c r="D563">
        <v>1</v>
      </c>
      <c r="E563">
        <v>2</v>
      </c>
    </row>
    <row r="564" spans="1:5" x14ac:dyDescent="0.3">
      <c r="A564">
        <v>563</v>
      </c>
      <c r="B564">
        <v>80</v>
      </c>
      <c r="C564">
        <v>90</v>
      </c>
      <c r="D564">
        <v>1</v>
      </c>
      <c r="E564">
        <v>3</v>
      </c>
    </row>
    <row r="565" spans="1:5" x14ac:dyDescent="0.3">
      <c r="A565">
        <v>564</v>
      </c>
      <c r="B565">
        <v>200</v>
      </c>
      <c r="C565">
        <v>250</v>
      </c>
      <c r="D565">
        <v>5</v>
      </c>
      <c r="E565">
        <v>4</v>
      </c>
    </row>
    <row r="566" spans="1:5" x14ac:dyDescent="0.3">
      <c r="A566">
        <v>565</v>
      </c>
      <c r="B566">
        <v>500</v>
      </c>
      <c r="C566">
        <v>600</v>
      </c>
      <c r="D566">
        <v>1</v>
      </c>
      <c r="E566">
        <v>1</v>
      </c>
    </row>
    <row r="567" spans="1:5" x14ac:dyDescent="0.3">
      <c r="A567">
        <v>566</v>
      </c>
      <c r="B567">
        <v>90</v>
      </c>
      <c r="C567">
        <v>100</v>
      </c>
      <c r="D567">
        <v>2</v>
      </c>
      <c r="E567">
        <v>3</v>
      </c>
    </row>
    <row r="568" spans="1:5" x14ac:dyDescent="0.3">
      <c r="A568">
        <v>567</v>
      </c>
      <c r="B568">
        <v>250</v>
      </c>
      <c r="C568">
        <v>300</v>
      </c>
      <c r="D568">
        <v>2</v>
      </c>
      <c r="E568">
        <v>2</v>
      </c>
    </row>
    <row r="569" spans="1:5" x14ac:dyDescent="0.3">
      <c r="A569">
        <v>568</v>
      </c>
      <c r="B569">
        <v>150</v>
      </c>
      <c r="C569">
        <v>220</v>
      </c>
      <c r="D569">
        <v>2</v>
      </c>
      <c r="E569">
        <v>2</v>
      </c>
    </row>
    <row r="570" spans="1:5" x14ac:dyDescent="0.3">
      <c r="A570">
        <v>569</v>
      </c>
      <c r="B570">
        <v>200</v>
      </c>
      <c r="C570">
        <v>250</v>
      </c>
      <c r="D570">
        <v>2</v>
      </c>
      <c r="E570">
        <v>3</v>
      </c>
    </row>
    <row r="571" spans="1:5" x14ac:dyDescent="0.3">
      <c r="A571">
        <v>570</v>
      </c>
      <c r="B571">
        <v>200</v>
      </c>
      <c r="C571">
        <v>300</v>
      </c>
      <c r="D571">
        <v>2</v>
      </c>
      <c r="E571">
        <v>2</v>
      </c>
    </row>
    <row r="572" spans="1:5" x14ac:dyDescent="0.3">
      <c r="A572">
        <v>571</v>
      </c>
      <c r="B572">
        <v>200</v>
      </c>
      <c r="C572">
        <v>300</v>
      </c>
      <c r="D572">
        <v>1</v>
      </c>
      <c r="E572">
        <v>1</v>
      </c>
    </row>
    <row r="573" spans="1:5" x14ac:dyDescent="0.3">
      <c r="A573">
        <v>572</v>
      </c>
      <c r="B573">
        <v>250</v>
      </c>
      <c r="C573">
        <v>400</v>
      </c>
      <c r="D573">
        <v>2</v>
      </c>
      <c r="E573">
        <v>3</v>
      </c>
    </row>
    <row r="574" spans="1:5" x14ac:dyDescent="0.3">
      <c r="A574">
        <v>573</v>
      </c>
      <c r="B574">
        <v>100</v>
      </c>
      <c r="C574">
        <v>120</v>
      </c>
      <c r="D574">
        <v>2</v>
      </c>
      <c r="E574">
        <v>2</v>
      </c>
    </row>
    <row r="575" spans="1:5" x14ac:dyDescent="0.3">
      <c r="A575">
        <v>574</v>
      </c>
      <c r="B575">
        <v>300</v>
      </c>
      <c r="C575">
        <v>450</v>
      </c>
      <c r="D575">
        <v>1</v>
      </c>
      <c r="E575">
        <v>2</v>
      </c>
    </row>
    <row r="576" spans="1:5" x14ac:dyDescent="0.3">
      <c r="A576">
        <v>575</v>
      </c>
      <c r="B576">
        <v>350</v>
      </c>
      <c r="C576">
        <v>450</v>
      </c>
      <c r="D576">
        <v>2</v>
      </c>
      <c r="E576">
        <v>3</v>
      </c>
    </row>
    <row r="577" spans="1:5" x14ac:dyDescent="0.3">
      <c r="A577">
        <v>576</v>
      </c>
      <c r="B577">
        <v>300</v>
      </c>
      <c r="C577">
        <v>500</v>
      </c>
      <c r="D577">
        <v>2</v>
      </c>
      <c r="E577">
        <v>3</v>
      </c>
    </row>
    <row r="578" spans="1:5" x14ac:dyDescent="0.3">
      <c r="A578">
        <v>577</v>
      </c>
      <c r="B578">
        <v>280</v>
      </c>
      <c r="C578">
        <v>370</v>
      </c>
      <c r="D578">
        <v>1</v>
      </c>
      <c r="E578">
        <v>3</v>
      </c>
    </row>
    <row r="579" spans="1:5" x14ac:dyDescent="0.3">
      <c r="A579">
        <v>578</v>
      </c>
      <c r="B579">
        <v>99</v>
      </c>
      <c r="C579">
        <v>100</v>
      </c>
      <c r="D579">
        <v>1</v>
      </c>
      <c r="E579">
        <v>2</v>
      </c>
    </row>
    <row r="580" spans="1:5" x14ac:dyDescent="0.3">
      <c r="A580">
        <v>579</v>
      </c>
      <c r="B580">
        <v>200</v>
      </c>
      <c r="C580">
        <v>300</v>
      </c>
      <c r="D580">
        <v>2</v>
      </c>
      <c r="E580">
        <v>3</v>
      </c>
    </row>
    <row r="581" spans="1:5" x14ac:dyDescent="0.3">
      <c r="A581">
        <v>580</v>
      </c>
      <c r="B581">
        <v>199</v>
      </c>
      <c r="C581">
        <v>320</v>
      </c>
      <c r="D581">
        <v>1</v>
      </c>
      <c r="E581">
        <v>3</v>
      </c>
    </row>
    <row r="582" spans="1:5" x14ac:dyDescent="0.3">
      <c r="A582">
        <v>581</v>
      </c>
      <c r="B582">
        <v>100</v>
      </c>
      <c r="C582">
        <v>120</v>
      </c>
      <c r="D582">
        <v>2</v>
      </c>
      <c r="E582">
        <v>2</v>
      </c>
    </row>
    <row r="583" spans="1:5" x14ac:dyDescent="0.3">
      <c r="A583">
        <v>582</v>
      </c>
      <c r="B583">
        <v>80</v>
      </c>
      <c r="C583">
        <v>120</v>
      </c>
      <c r="D583">
        <v>1</v>
      </c>
      <c r="E583">
        <v>2</v>
      </c>
    </row>
    <row r="584" spans="1:5" x14ac:dyDescent="0.3">
      <c r="A584">
        <v>583</v>
      </c>
      <c r="B584">
        <v>99</v>
      </c>
      <c r="C584">
        <v>129</v>
      </c>
      <c r="D584">
        <v>2</v>
      </c>
      <c r="E584">
        <v>3</v>
      </c>
    </row>
    <row r="585" spans="1:5" x14ac:dyDescent="0.3">
      <c r="A585">
        <v>584</v>
      </c>
      <c r="B585">
        <v>50</v>
      </c>
      <c r="C585">
        <v>70</v>
      </c>
      <c r="D585">
        <v>1</v>
      </c>
      <c r="E585">
        <v>3</v>
      </c>
    </row>
    <row r="586" spans="1:5" x14ac:dyDescent="0.3">
      <c r="A586">
        <v>585</v>
      </c>
      <c r="B586">
        <v>100</v>
      </c>
      <c r="C586">
        <v>138</v>
      </c>
      <c r="D586">
        <v>3</v>
      </c>
      <c r="E586">
        <v>3</v>
      </c>
    </row>
    <row r="587" spans="1:5" x14ac:dyDescent="0.3">
      <c r="A587">
        <v>586</v>
      </c>
      <c r="B587">
        <v>250</v>
      </c>
      <c r="C587">
        <v>300</v>
      </c>
      <c r="D587">
        <v>2</v>
      </c>
      <c r="E587">
        <v>2</v>
      </c>
    </row>
    <row r="588" spans="1:5" x14ac:dyDescent="0.3">
      <c r="A588">
        <v>587</v>
      </c>
      <c r="B588">
        <v>350</v>
      </c>
      <c r="C588">
        <v>380</v>
      </c>
      <c r="D588">
        <v>1</v>
      </c>
      <c r="E588">
        <v>1</v>
      </c>
    </row>
    <row r="589" spans="1:5" x14ac:dyDescent="0.3">
      <c r="A589">
        <v>588</v>
      </c>
      <c r="B589">
        <v>250</v>
      </c>
      <c r="C589">
        <v>300</v>
      </c>
      <c r="D589">
        <v>3</v>
      </c>
      <c r="E589">
        <v>3</v>
      </c>
    </row>
    <row r="590" spans="1:5" x14ac:dyDescent="0.3">
      <c r="A590">
        <v>589</v>
      </c>
      <c r="B590">
        <v>200</v>
      </c>
      <c r="C590">
        <v>250</v>
      </c>
      <c r="D590">
        <v>1</v>
      </c>
      <c r="E590">
        <v>1</v>
      </c>
    </row>
    <row r="591" spans="1:5" x14ac:dyDescent="0.3">
      <c r="A591">
        <v>590</v>
      </c>
      <c r="B591">
        <v>250</v>
      </c>
      <c r="C591">
        <v>350</v>
      </c>
      <c r="D591">
        <v>1</v>
      </c>
      <c r="E591">
        <v>3</v>
      </c>
    </row>
    <row r="592" spans="1:5" x14ac:dyDescent="0.3">
      <c r="A592">
        <v>591</v>
      </c>
      <c r="B592">
        <v>550</v>
      </c>
      <c r="C592">
        <v>650</v>
      </c>
      <c r="D592">
        <v>1</v>
      </c>
      <c r="E592">
        <v>3</v>
      </c>
    </row>
    <row r="593" spans="1:5" x14ac:dyDescent="0.3">
      <c r="A593">
        <v>592</v>
      </c>
      <c r="B593">
        <v>200</v>
      </c>
      <c r="C593">
        <v>230</v>
      </c>
      <c r="D593">
        <v>1</v>
      </c>
      <c r="E593">
        <v>2</v>
      </c>
    </row>
    <row r="594" spans="1:5" x14ac:dyDescent="0.3">
      <c r="A594">
        <v>593</v>
      </c>
      <c r="B594">
        <v>150</v>
      </c>
      <c r="C594">
        <v>180</v>
      </c>
      <c r="D594">
        <v>1</v>
      </c>
      <c r="E594">
        <v>2</v>
      </c>
    </row>
    <row r="595" spans="1:5" x14ac:dyDescent="0.3">
      <c r="A595">
        <v>594</v>
      </c>
      <c r="B595">
        <v>180</v>
      </c>
      <c r="C595">
        <v>200</v>
      </c>
      <c r="D595">
        <v>1</v>
      </c>
      <c r="E595">
        <v>1</v>
      </c>
    </row>
    <row r="596" spans="1:5" x14ac:dyDescent="0.3">
      <c r="A596">
        <v>595</v>
      </c>
      <c r="B596">
        <v>250</v>
      </c>
      <c r="C596">
        <v>300</v>
      </c>
      <c r="D596">
        <v>1</v>
      </c>
      <c r="E596">
        <v>2</v>
      </c>
    </row>
    <row r="597" spans="1:5" x14ac:dyDescent="0.3">
      <c r="A597">
        <v>596</v>
      </c>
      <c r="B597">
        <v>300</v>
      </c>
      <c r="C597">
        <v>350</v>
      </c>
      <c r="D597">
        <v>1</v>
      </c>
      <c r="E597">
        <v>3</v>
      </c>
    </row>
    <row r="598" spans="1:5" x14ac:dyDescent="0.3">
      <c r="A598">
        <v>597</v>
      </c>
      <c r="B598">
        <v>240</v>
      </c>
      <c r="C598">
        <v>300</v>
      </c>
      <c r="D598">
        <v>1</v>
      </c>
      <c r="E598">
        <v>2</v>
      </c>
    </row>
    <row r="599" spans="1:5" x14ac:dyDescent="0.3">
      <c r="A599">
        <v>598</v>
      </c>
      <c r="B599">
        <v>80</v>
      </c>
      <c r="C599">
        <v>90</v>
      </c>
      <c r="D599">
        <v>1</v>
      </c>
      <c r="E599">
        <v>1</v>
      </c>
    </row>
    <row r="600" spans="1:5" x14ac:dyDescent="0.3">
      <c r="A600">
        <v>599</v>
      </c>
      <c r="B600">
        <v>180</v>
      </c>
      <c r="C600">
        <v>200</v>
      </c>
      <c r="D600">
        <v>1</v>
      </c>
      <c r="E600">
        <v>2</v>
      </c>
    </row>
    <row r="601" spans="1:5" x14ac:dyDescent="0.3">
      <c r="A601">
        <v>600</v>
      </c>
      <c r="B601">
        <v>200</v>
      </c>
      <c r="C601">
        <v>300</v>
      </c>
      <c r="D601">
        <v>1</v>
      </c>
      <c r="E601">
        <v>3</v>
      </c>
    </row>
    <row r="602" spans="1:5" x14ac:dyDescent="0.3">
      <c r="A602">
        <v>601</v>
      </c>
      <c r="B602">
        <v>200</v>
      </c>
      <c r="C602">
        <v>350</v>
      </c>
      <c r="D602">
        <v>1</v>
      </c>
      <c r="E602">
        <v>3</v>
      </c>
    </row>
    <row r="603" spans="1:5" x14ac:dyDescent="0.3">
      <c r="A603">
        <v>602</v>
      </c>
      <c r="B603">
        <v>280</v>
      </c>
      <c r="C603">
        <v>300</v>
      </c>
      <c r="D603">
        <v>4</v>
      </c>
      <c r="E603">
        <v>4</v>
      </c>
    </row>
    <row r="604" spans="1:5" x14ac:dyDescent="0.3">
      <c r="A604">
        <v>603</v>
      </c>
      <c r="B604">
        <v>78</v>
      </c>
      <c r="C604">
        <v>79</v>
      </c>
      <c r="D604">
        <v>1</v>
      </c>
      <c r="E604">
        <v>1</v>
      </c>
    </row>
    <row r="605" spans="1:5" x14ac:dyDescent="0.3">
      <c r="A605">
        <v>604</v>
      </c>
      <c r="B605">
        <v>500</v>
      </c>
      <c r="C605">
        <v>600</v>
      </c>
      <c r="D605">
        <v>2</v>
      </c>
      <c r="E605">
        <v>3</v>
      </c>
    </row>
    <row r="606" spans="1:5" x14ac:dyDescent="0.3">
      <c r="A606">
        <v>605</v>
      </c>
      <c r="B606">
        <v>250</v>
      </c>
      <c r="C606">
        <v>350</v>
      </c>
      <c r="D606">
        <v>1</v>
      </c>
      <c r="E606">
        <v>1</v>
      </c>
    </row>
    <row r="607" spans="1:5" x14ac:dyDescent="0.3">
      <c r="A607">
        <v>606</v>
      </c>
      <c r="B607">
        <v>150</v>
      </c>
      <c r="C607">
        <v>160</v>
      </c>
      <c r="D607">
        <v>1</v>
      </c>
      <c r="E607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51344-73F9-A849-BA31-52E9D7CCB4C8}">
  <dimension ref="A1:L607"/>
  <sheetViews>
    <sheetView workbookViewId="0">
      <selection activeCell="E3" sqref="E3"/>
    </sheetView>
  </sheetViews>
  <sheetFormatPr defaultColWidth="11.19921875" defaultRowHeight="15.6" x14ac:dyDescent="0.3"/>
  <cols>
    <col min="7" max="7" width="20.796875" bestFit="1" customWidth="1"/>
    <col min="12" max="12" width="11.69921875" bestFit="1" customWidth="1"/>
  </cols>
  <sheetData>
    <row r="1" spans="1:12" x14ac:dyDescent="0.3">
      <c r="B1" s="1" t="s">
        <v>6</v>
      </c>
      <c r="C1" s="1" t="s">
        <v>1</v>
      </c>
      <c r="D1" s="1" t="s">
        <v>10</v>
      </c>
      <c r="E1" s="1" t="s">
        <v>11</v>
      </c>
      <c r="F1" s="1" t="s">
        <v>12</v>
      </c>
      <c r="G1" s="1" t="s">
        <v>13</v>
      </c>
      <c r="I1" s="1" t="s">
        <v>7</v>
      </c>
      <c r="J1" s="1" t="s">
        <v>8</v>
      </c>
      <c r="K1" s="1"/>
      <c r="L1" s="1" t="s">
        <v>14</v>
      </c>
    </row>
    <row r="2" spans="1:12" x14ac:dyDescent="0.3">
      <c r="A2">
        <v>1</v>
      </c>
      <c r="B2">
        <f>'Newton-Miller_RAW'!B2</f>
        <v>250</v>
      </c>
      <c r="C2">
        <f>'Newton-Miller_RAW'!C2</f>
        <v>400</v>
      </c>
      <c r="D2">
        <f>VLOOKUP('Newton-Miller_RAW'!D2,'Newton-Miller_Convert'!$I$1:$J$6,2,FALSE)</f>
        <v>0.75</v>
      </c>
      <c r="E2">
        <f>VLOOKUP('Newton-Miller_RAW'!E2,'Newton-Miller_Convert'!$I$1:$J$6,2,FALSE)</f>
        <v>0.1</v>
      </c>
      <c r="F2">
        <f>IF(E2&gt;D2,D2,E2)</f>
        <v>0.1</v>
      </c>
      <c r="G2">
        <f>D2-F2</f>
        <v>0.65</v>
      </c>
      <c r="I2">
        <v>5</v>
      </c>
      <c r="J2">
        <v>0</v>
      </c>
      <c r="L2" s="8">
        <v>10</v>
      </c>
    </row>
    <row r="3" spans="1:12" x14ac:dyDescent="0.3">
      <c r="A3">
        <v>2</v>
      </c>
      <c r="B3">
        <f>'Newton-Miller_RAW'!B3</f>
        <v>150</v>
      </c>
      <c r="C3">
        <f>'Newton-Miller_RAW'!C3</f>
        <v>200</v>
      </c>
      <c r="D3">
        <f>VLOOKUP('Newton-Miller_RAW'!D3,'Newton-Miller_Convert'!$I$1:$J$6,2,FALSE)</f>
        <v>0.25</v>
      </c>
      <c r="E3">
        <f>VLOOKUP('Newton-Miller_RAW'!E3,'Newton-Miller_Convert'!$I$1:$J$6,2,FALSE)</f>
        <v>0.25</v>
      </c>
      <c r="F3">
        <f t="shared" ref="F3:F66" si="0">IF(E3&gt;D3,D3,E3)</f>
        <v>0.25</v>
      </c>
      <c r="G3">
        <f t="shared" ref="G3:G66" si="1">D3-F3</f>
        <v>0</v>
      </c>
      <c r="I3">
        <v>4</v>
      </c>
      <c r="J3">
        <v>0</v>
      </c>
      <c r="L3" s="8">
        <v>13</v>
      </c>
    </row>
    <row r="4" spans="1:12" x14ac:dyDescent="0.3">
      <c r="A4">
        <v>3</v>
      </c>
      <c r="B4">
        <f>'Newton-Miller_RAW'!B4</f>
        <v>400</v>
      </c>
      <c r="C4">
        <f>'Newton-Miller_RAW'!C4</f>
        <v>450</v>
      </c>
      <c r="D4">
        <f>VLOOKUP('Newton-Miller_RAW'!D4,'Newton-Miller_Convert'!$I$1:$J$6,2,FALSE)</f>
        <v>0.25</v>
      </c>
      <c r="E4">
        <f>VLOOKUP('Newton-Miller_RAW'!E4,'Newton-Miller_Convert'!$I$1:$J$6,2,FALSE)</f>
        <v>0.1</v>
      </c>
      <c r="F4">
        <f t="shared" si="0"/>
        <v>0.1</v>
      </c>
      <c r="G4">
        <f t="shared" si="1"/>
        <v>0.15</v>
      </c>
      <c r="I4">
        <v>3</v>
      </c>
      <c r="J4">
        <v>0.1</v>
      </c>
      <c r="L4" s="8">
        <v>14</v>
      </c>
    </row>
    <row r="5" spans="1:12" x14ac:dyDescent="0.3">
      <c r="A5">
        <v>4</v>
      </c>
      <c r="B5">
        <f>'Newton-Miller_RAW'!B5</f>
        <v>420</v>
      </c>
      <c r="C5">
        <f>'Newton-Miller_RAW'!C5</f>
        <v>440</v>
      </c>
      <c r="D5">
        <f>VLOOKUP('Newton-Miller_RAW'!D5,'Newton-Miller_Convert'!$I$1:$J$6,2,FALSE)</f>
        <v>0.25</v>
      </c>
      <c r="E5">
        <f>VLOOKUP('Newton-Miller_RAW'!E5,'Newton-Miller_Convert'!$I$1:$J$6,2,FALSE)</f>
        <v>0.25</v>
      </c>
      <c r="F5">
        <f t="shared" si="0"/>
        <v>0.25</v>
      </c>
      <c r="G5">
        <f t="shared" si="1"/>
        <v>0</v>
      </c>
      <c r="I5">
        <v>2</v>
      </c>
      <c r="J5">
        <v>0.25</v>
      </c>
      <c r="L5" s="8">
        <v>15</v>
      </c>
    </row>
    <row r="6" spans="1:12" x14ac:dyDescent="0.3">
      <c r="A6">
        <v>5</v>
      </c>
      <c r="B6">
        <f>'Newton-Miller_RAW'!B6</f>
        <v>90</v>
      </c>
      <c r="C6">
        <f>'Newton-Miller_RAW'!C6</f>
        <v>100</v>
      </c>
      <c r="D6">
        <f>VLOOKUP('Newton-Miller_RAW'!D6,'Newton-Miller_Convert'!$I$1:$J$6,2,FALSE)</f>
        <v>0.75</v>
      </c>
      <c r="E6">
        <f>VLOOKUP('Newton-Miller_RAW'!E6,'Newton-Miller_Convert'!$I$1:$J$6,2,FALSE)</f>
        <v>0.75</v>
      </c>
      <c r="F6">
        <f t="shared" si="0"/>
        <v>0.75</v>
      </c>
      <c r="G6">
        <f t="shared" si="1"/>
        <v>0</v>
      </c>
      <c r="I6">
        <v>1</v>
      </c>
      <c r="J6">
        <v>0.75</v>
      </c>
      <c r="L6" s="8">
        <v>18</v>
      </c>
    </row>
    <row r="7" spans="1:12" x14ac:dyDescent="0.3">
      <c r="A7">
        <v>6</v>
      </c>
      <c r="B7">
        <f>'Newton-Miller_RAW'!B7</f>
        <v>19</v>
      </c>
      <c r="C7">
        <f>'Newton-Miller_RAW'!C7</f>
        <v>20</v>
      </c>
      <c r="D7">
        <f>VLOOKUP('Newton-Miller_RAW'!D7,'Newton-Miller_Convert'!$I$1:$J$6,2,FALSE)</f>
        <v>0</v>
      </c>
      <c r="E7">
        <f>VLOOKUP('Newton-Miller_RAW'!E7,'Newton-Miller_Convert'!$I$1:$J$6,2,FALSE)</f>
        <v>0</v>
      </c>
      <c r="F7">
        <f t="shared" si="0"/>
        <v>0</v>
      </c>
      <c r="G7">
        <f t="shared" si="1"/>
        <v>0</v>
      </c>
      <c r="L7" s="8">
        <v>19</v>
      </c>
    </row>
    <row r="8" spans="1:12" x14ac:dyDescent="0.3">
      <c r="A8">
        <v>7</v>
      </c>
      <c r="B8">
        <f>'Newton-Miller_RAW'!B8</f>
        <v>50</v>
      </c>
      <c r="C8">
        <f>'Newton-Miller_RAW'!C8</f>
        <v>60</v>
      </c>
      <c r="D8">
        <f>VLOOKUP('Newton-Miller_RAW'!D8,'Newton-Miller_Convert'!$I$1:$J$6,2,FALSE)</f>
        <v>0</v>
      </c>
      <c r="E8">
        <f>VLOOKUP('Newton-Miller_RAW'!E8,'Newton-Miller_Convert'!$I$1:$J$6,2,FALSE)</f>
        <v>0</v>
      </c>
      <c r="F8">
        <f t="shared" si="0"/>
        <v>0</v>
      </c>
      <c r="G8">
        <f t="shared" si="1"/>
        <v>0</v>
      </c>
      <c r="L8" s="8">
        <v>20</v>
      </c>
    </row>
    <row r="9" spans="1:12" x14ac:dyDescent="0.3">
      <c r="A9">
        <v>8</v>
      </c>
      <c r="B9">
        <f>'Newton-Miller_RAW'!B9</f>
        <v>160</v>
      </c>
      <c r="C9">
        <f>'Newton-Miller_RAW'!C9</f>
        <v>200</v>
      </c>
      <c r="D9">
        <f>VLOOKUP('Newton-Miller_RAW'!D9,'Newton-Miller_Convert'!$I$1:$J$6,2,FALSE)</f>
        <v>0.75</v>
      </c>
      <c r="E9">
        <f>VLOOKUP('Newton-Miller_RAW'!E9,'Newton-Miller_Convert'!$I$1:$J$6,2,FALSE)</f>
        <v>0.1</v>
      </c>
      <c r="F9">
        <f t="shared" si="0"/>
        <v>0.1</v>
      </c>
      <c r="G9">
        <f t="shared" si="1"/>
        <v>0.65</v>
      </c>
      <c r="L9" s="8">
        <v>21</v>
      </c>
    </row>
    <row r="10" spans="1:12" x14ac:dyDescent="0.3">
      <c r="A10">
        <v>9</v>
      </c>
      <c r="B10">
        <f>'Newton-Miller_RAW'!B10</f>
        <v>200</v>
      </c>
      <c r="C10">
        <f>'Newton-Miller_RAW'!C10</f>
        <v>250</v>
      </c>
      <c r="D10">
        <f>VLOOKUP('Newton-Miller_RAW'!D10,'Newton-Miller_Convert'!$I$1:$J$6,2,FALSE)</f>
        <v>0.75</v>
      </c>
      <c r="E10">
        <f>VLOOKUP('Newton-Miller_RAW'!E10,'Newton-Miller_Convert'!$I$1:$J$6,2,FALSE)</f>
        <v>0.75</v>
      </c>
      <c r="F10">
        <f t="shared" si="0"/>
        <v>0.75</v>
      </c>
      <c r="G10">
        <f t="shared" si="1"/>
        <v>0</v>
      </c>
      <c r="L10" s="8">
        <v>22</v>
      </c>
    </row>
    <row r="11" spans="1:12" x14ac:dyDescent="0.3">
      <c r="A11">
        <v>10</v>
      </c>
      <c r="B11">
        <f>'Newton-Miller_RAW'!B11</f>
        <v>410</v>
      </c>
      <c r="C11">
        <f>'Newton-Miller_RAW'!C11</f>
        <v>430</v>
      </c>
      <c r="D11">
        <f>VLOOKUP('Newton-Miller_RAW'!D11,'Newton-Miller_Convert'!$I$1:$J$6,2,FALSE)</f>
        <v>0.25</v>
      </c>
      <c r="E11">
        <f>VLOOKUP('Newton-Miller_RAW'!E11,'Newton-Miller_Convert'!$I$1:$J$6,2,FALSE)</f>
        <v>0.25</v>
      </c>
      <c r="F11">
        <f t="shared" si="0"/>
        <v>0.25</v>
      </c>
      <c r="G11">
        <f t="shared" si="1"/>
        <v>0</v>
      </c>
      <c r="L11" s="8">
        <v>23</v>
      </c>
    </row>
    <row r="12" spans="1:12" x14ac:dyDescent="0.3">
      <c r="A12">
        <v>11</v>
      </c>
      <c r="B12">
        <f>'Newton-Miller_RAW'!B12</f>
        <v>150</v>
      </c>
      <c r="C12">
        <f>'Newton-Miller_RAW'!C12</f>
        <v>190</v>
      </c>
      <c r="D12">
        <f>VLOOKUP('Newton-Miller_RAW'!D12,'Newton-Miller_Convert'!$I$1:$J$6,2,FALSE)</f>
        <v>0.75</v>
      </c>
      <c r="E12">
        <f>VLOOKUP('Newton-Miller_RAW'!E12,'Newton-Miller_Convert'!$I$1:$J$6,2,FALSE)</f>
        <v>0.25</v>
      </c>
      <c r="F12">
        <f t="shared" si="0"/>
        <v>0.25</v>
      </c>
      <c r="G12">
        <f t="shared" si="1"/>
        <v>0.5</v>
      </c>
      <c r="L12" s="8">
        <v>24</v>
      </c>
    </row>
    <row r="13" spans="1:12" x14ac:dyDescent="0.3">
      <c r="A13">
        <v>12</v>
      </c>
      <c r="B13">
        <f>'Newton-Miller_RAW'!B13</f>
        <v>200</v>
      </c>
      <c r="C13">
        <f>'Newton-Miller_RAW'!C13</f>
        <v>300</v>
      </c>
      <c r="D13">
        <f>VLOOKUP('Newton-Miller_RAW'!D13,'Newton-Miller_Convert'!$I$1:$J$6,2,FALSE)</f>
        <v>0.75</v>
      </c>
      <c r="E13">
        <f>VLOOKUP('Newton-Miller_RAW'!E13,'Newton-Miller_Convert'!$I$1:$J$6,2,FALSE)</f>
        <v>0.1</v>
      </c>
      <c r="F13">
        <f t="shared" si="0"/>
        <v>0.1</v>
      </c>
      <c r="G13">
        <f t="shared" si="1"/>
        <v>0.65</v>
      </c>
      <c r="L13" s="8">
        <v>25</v>
      </c>
    </row>
    <row r="14" spans="1:12" x14ac:dyDescent="0.3">
      <c r="A14">
        <v>13</v>
      </c>
      <c r="B14">
        <f>'Newton-Miller_RAW'!B14</f>
        <v>199</v>
      </c>
      <c r="C14">
        <f>'Newton-Miller_RAW'!C14</f>
        <v>299</v>
      </c>
      <c r="D14">
        <f>VLOOKUP('Newton-Miller_RAW'!D14,'Newton-Miller_Convert'!$I$1:$J$6,2,FALSE)</f>
        <v>0.25</v>
      </c>
      <c r="E14">
        <f>VLOOKUP('Newton-Miller_RAW'!E14,'Newton-Miller_Convert'!$I$1:$J$6,2,FALSE)</f>
        <v>0.1</v>
      </c>
      <c r="F14">
        <f t="shared" si="0"/>
        <v>0.1</v>
      </c>
      <c r="G14">
        <f t="shared" si="1"/>
        <v>0.15</v>
      </c>
      <c r="L14" s="8">
        <v>26</v>
      </c>
    </row>
    <row r="15" spans="1:12" x14ac:dyDescent="0.3">
      <c r="A15">
        <v>14</v>
      </c>
      <c r="B15">
        <f>'Newton-Miller_RAW'!B15</f>
        <v>600</v>
      </c>
      <c r="C15">
        <f>'Newton-Miller_RAW'!C15</f>
        <v>700</v>
      </c>
      <c r="D15">
        <f>VLOOKUP('Newton-Miller_RAW'!D15,'Newton-Miller_Convert'!$I$1:$J$6,2,FALSE)</f>
        <v>0.75</v>
      </c>
      <c r="E15">
        <f>VLOOKUP('Newton-Miller_RAW'!E15,'Newton-Miller_Convert'!$I$1:$J$6,2,FALSE)</f>
        <v>0.25</v>
      </c>
      <c r="F15">
        <f t="shared" si="0"/>
        <v>0.25</v>
      </c>
      <c r="G15">
        <f t="shared" si="1"/>
        <v>0.5</v>
      </c>
      <c r="L15" s="8">
        <v>27</v>
      </c>
    </row>
    <row r="16" spans="1:12" x14ac:dyDescent="0.3">
      <c r="A16">
        <v>15</v>
      </c>
      <c r="B16">
        <f>'Newton-Miller_RAW'!B16</f>
        <v>70</v>
      </c>
      <c r="C16">
        <f>'Newton-Miller_RAW'!C16</f>
        <v>90</v>
      </c>
      <c r="D16">
        <f>VLOOKUP('Newton-Miller_RAW'!D16,'Newton-Miller_Convert'!$I$1:$J$6,2,FALSE)</f>
        <v>0.75</v>
      </c>
      <c r="E16">
        <f>VLOOKUP('Newton-Miller_RAW'!E16,'Newton-Miller_Convert'!$I$1:$J$6,2,FALSE)</f>
        <v>0.25</v>
      </c>
      <c r="F16">
        <f t="shared" si="0"/>
        <v>0.25</v>
      </c>
      <c r="G16">
        <f t="shared" si="1"/>
        <v>0.5</v>
      </c>
      <c r="L16" s="8">
        <v>28</v>
      </c>
    </row>
    <row r="17" spans="1:12" x14ac:dyDescent="0.3">
      <c r="A17">
        <v>16</v>
      </c>
      <c r="B17">
        <f>'Newton-Miller_RAW'!B17</f>
        <v>300</v>
      </c>
      <c r="C17">
        <f>'Newton-Miller_RAW'!C17</f>
        <v>400</v>
      </c>
      <c r="D17">
        <f>VLOOKUP('Newton-Miller_RAW'!D17,'Newton-Miller_Convert'!$I$1:$J$6,2,FALSE)</f>
        <v>0.75</v>
      </c>
      <c r="E17">
        <f>VLOOKUP('Newton-Miller_RAW'!E17,'Newton-Miller_Convert'!$I$1:$J$6,2,FALSE)</f>
        <v>0</v>
      </c>
      <c r="F17">
        <f t="shared" si="0"/>
        <v>0</v>
      </c>
      <c r="G17">
        <f t="shared" si="1"/>
        <v>0.75</v>
      </c>
      <c r="L17" s="8">
        <v>29</v>
      </c>
    </row>
    <row r="18" spans="1:12" x14ac:dyDescent="0.3">
      <c r="A18">
        <v>17</v>
      </c>
      <c r="B18">
        <f>'Newton-Miller_RAW'!B18</f>
        <v>250</v>
      </c>
      <c r="C18">
        <f>'Newton-Miller_RAW'!C18</f>
        <v>300</v>
      </c>
      <c r="D18">
        <f>VLOOKUP('Newton-Miller_RAW'!D18,'Newton-Miller_Convert'!$I$1:$J$6,2,FALSE)</f>
        <v>0.1</v>
      </c>
      <c r="E18">
        <f>VLOOKUP('Newton-Miller_RAW'!E18,'Newton-Miller_Convert'!$I$1:$J$6,2,FALSE)</f>
        <v>0.1</v>
      </c>
      <c r="F18">
        <f t="shared" si="0"/>
        <v>0.1</v>
      </c>
      <c r="G18">
        <f t="shared" si="1"/>
        <v>0</v>
      </c>
      <c r="L18" s="8">
        <v>30</v>
      </c>
    </row>
    <row r="19" spans="1:12" x14ac:dyDescent="0.3">
      <c r="A19">
        <v>18</v>
      </c>
      <c r="B19">
        <f>'Newton-Miller_RAW'!B19</f>
        <v>300</v>
      </c>
      <c r="C19">
        <f>'Newton-Miller_RAW'!C19</f>
        <v>350</v>
      </c>
      <c r="D19">
        <f>VLOOKUP('Newton-Miller_RAW'!D19,'Newton-Miller_Convert'!$I$1:$J$6,2,FALSE)</f>
        <v>0.75</v>
      </c>
      <c r="E19">
        <f>VLOOKUP('Newton-Miller_RAW'!E19,'Newton-Miller_Convert'!$I$1:$J$6,2,FALSE)</f>
        <v>0.75</v>
      </c>
      <c r="F19">
        <f t="shared" si="0"/>
        <v>0.75</v>
      </c>
      <c r="G19">
        <f t="shared" si="1"/>
        <v>0</v>
      </c>
      <c r="L19" s="8">
        <v>33</v>
      </c>
    </row>
    <row r="20" spans="1:12" x14ac:dyDescent="0.3">
      <c r="A20">
        <v>19</v>
      </c>
      <c r="B20">
        <f>'Newton-Miller_RAW'!B20</f>
        <v>280</v>
      </c>
      <c r="C20">
        <f>'Newton-Miller_RAW'!C20</f>
        <v>290</v>
      </c>
      <c r="D20">
        <f>VLOOKUP('Newton-Miller_RAW'!D20,'Newton-Miller_Convert'!$I$1:$J$6,2,FALSE)</f>
        <v>0.75</v>
      </c>
      <c r="E20">
        <f>VLOOKUP('Newton-Miller_RAW'!E20,'Newton-Miller_Convert'!$I$1:$J$6,2,FALSE)</f>
        <v>0.75</v>
      </c>
      <c r="F20">
        <f t="shared" si="0"/>
        <v>0.75</v>
      </c>
      <c r="G20">
        <f t="shared" si="1"/>
        <v>0</v>
      </c>
      <c r="L20" s="8">
        <v>35</v>
      </c>
    </row>
    <row r="21" spans="1:12" x14ac:dyDescent="0.3">
      <c r="A21">
        <v>20</v>
      </c>
      <c r="B21">
        <f>'Newton-Miller_RAW'!B21</f>
        <v>250</v>
      </c>
      <c r="C21">
        <f>'Newton-Miller_RAW'!C21</f>
        <v>350</v>
      </c>
      <c r="D21">
        <f>VLOOKUP('Newton-Miller_RAW'!D21,'Newton-Miller_Convert'!$I$1:$J$6,2,FALSE)</f>
        <v>0.75</v>
      </c>
      <c r="E21">
        <f>VLOOKUP('Newton-Miller_RAW'!E21,'Newton-Miller_Convert'!$I$1:$J$6,2,FALSE)</f>
        <v>0.75</v>
      </c>
      <c r="F21">
        <f t="shared" si="0"/>
        <v>0.75</v>
      </c>
      <c r="G21">
        <f t="shared" si="1"/>
        <v>0</v>
      </c>
      <c r="L21" s="8">
        <v>40</v>
      </c>
    </row>
    <row r="22" spans="1:12" x14ac:dyDescent="0.3">
      <c r="A22">
        <v>21</v>
      </c>
      <c r="B22">
        <f>'Newton-Miller_RAW'!B22</f>
        <v>200</v>
      </c>
      <c r="C22">
        <f>'Newton-Miller_RAW'!C22</f>
        <v>220</v>
      </c>
      <c r="D22">
        <f>VLOOKUP('Newton-Miller_RAW'!D22,'Newton-Miller_Convert'!$I$1:$J$6,2,FALSE)</f>
        <v>0.25</v>
      </c>
      <c r="E22">
        <f>VLOOKUP('Newton-Miller_RAW'!E22,'Newton-Miller_Convert'!$I$1:$J$6,2,FALSE)</f>
        <v>0.1</v>
      </c>
      <c r="F22">
        <f t="shared" si="0"/>
        <v>0.1</v>
      </c>
      <c r="G22">
        <f t="shared" si="1"/>
        <v>0.15</v>
      </c>
      <c r="L22" s="8">
        <v>45</v>
      </c>
    </row>
    <row r="23" spans="1:12" x14ac:dyDescent="0.3">
      <c r="A23">
        <v>22</v>
      </c>
      <c r="B23">
        <f>'Newton-Miller_RAW'!B23</f>
        <v>150</v>
      </c>
      <c r="C23">
        <f>'Newton-Miller_RAW'!C23</f>
        <v>160</v>
      </c>
      <c r="D23">
        <f>VLOOKUP('Newton-Miller_RAW'!D23,'Newton-Miller_Convert'!$I$1:$J$6,2,FALSE)</f>
        <v>0.25</v>
      </c>
      <c r="E23">
        <f>VLOOKUP('Newton-Miller_RAW'!E23,'Newton-Miller_Convert'!$I$1:$J$6,2,FALSE)</f>
        <v>0.1</v>
      </c>
      <c r="F23">
        <f t="shared" si="0"/>
        <v>0.1</v>
      </c>
      <c r="G23">
        <f t="shared" si="1"/>
        <v>0.15</v>
      </c>
      <c r="L23" s="8">
        <v>48</v>
      </c>
    </row>
    <row r="24" spans="1:12" x14ac:dyDescent="0.3">
      <c r="A24">
        <v>23</v>
      </c>
      <c r="B24">
        <f>'Newton-Miller_RAW'!B24</f>
        <v>300</v>
      </c>
      <c r="C24">
        <f>'Newton-Miller_RAW'!C24</f>
        <v>350</v>
      </c>
      <c r="D24">
        <f>VLOOKUP('Newton-Miller_RAW'!D24,'Newton-Miller_Convert'!$I$1:$J$6,2,FALSE)</f>
        <v>0.75</v>
      </c>
      <c r="E24">
        <f>VLOOKUP('Newton-Miller_RAW'!E24,'Newton-Miller_Convert'!$I$1:$J$6,2,FALSE)</f>
        <v>0.75</v>
      </c>
      <c r="F24">
        <f t="shared" si="0"/>
        <v>0.75</v>
      </c>
      <c r="G24">
        <f t="shared" si="1"/>
        <v>0</v>
      </c>
      <c r="L24" s="8">
        <v>49</v>
      </c>
    </row>
    <row r="25" spans="1:12" x14ac:dyDescent="0.3">
      <c r="A25">
        <v>24</v>
      </c>
      <c r="B25">
        <f>'Newton-Miller_RAW'!B25</f>
        <v>180</v>
      </c>
      <c r="C25">
        <f>'Newton-Miller_RAW'!C25</f>
        <v>200</v>
      </c>
      <c r="D25">
        <f>VLOOKUP('Newton-Miller_RAW'!D25,'Newton-Miller_Convert'!$I$1:$J$6,2,FALSE)</f>
        <v>0.75</v>
      </c>
      <c r="E25">
        <f>VLOOKUP('Newton-Miller_RAW'!E25,'Newton-Miller_Convert'!$I$1:$J$6,2,FALSE)</f>
        <v>0.25</v>
      </c>
      <c r="F25">
        <f t="shared" si="0"/>
        <v>0.25</v>
      </c>
      <c r="G25">
        <f t="shared" si="1"/>
        <v>0.5</v>
      </c>
      <c r="L25" s="8">
        <v>50</v>
      </c>
    </row>
    <row r="26" spans="1:12" x14ac:dyDescent="0.3">
      <c r="A26">
        <v>25</v>
      </c>
      <c r="B26">
        <f>'Newton-Miller_RAW'!B26</f>
        <v>100</v>
      </c>
      <c r="C26">
        <f>'Newton-Miller_RAW'!C26</f>
        <v>150</v>
      </c>
      <c r="D26">
        <f>VLOOKUP('Newton-Miller_RAW'!D26,'Newton-Miller_Convert'!$I$1:$J$6,2,FALSE)</f>
        <v>0.75</v>
      </c>
      <c r="E26">
        <f>VLOOKUP('Newton-Miller_RAW'!E26,'Newton-Miller_Convert'!$I$1:$J$6,2,FALSE)</f>
        <v>0.1</v>
      </c>
      <c r="F26">
        <f t="shared" si="0"/>
        <v>0.1</v>
      </c>
      <c r="G26">
        <f t="shared" si="1"/>
        <v>0.65</v>
      </c>
      <c r="L26" s="8">
        <v>53</v>
      </c>
    </row>
    <row r="27" spans="1:12" x14ac:dyDescent="0.3">
      <c r="A27">
        <v>26</v>
      </c>
      <c r="B27">
        <f>'Newton-Miller_RAW'!B27</f>
        <v>312</v>
      </c>
      <c r="C27">
        <f>'Newton-Miller_RAW'!C27</f>
        <v>325</v>
      </c>
      <c r="D27">
        <f>VLOOKUP('Newton-Miller_RAW'!D27,'Newton-Miller_Convert'!$I$1:$J$6,2,FALSE)</f>
        <v>0.75</v>
      </c>
      <c r="E27">
        <f>VLOOKUP('Newton-Miller_RAW'!E27,'Newton-Miller_Convert'!$I$1:$J$6,2,FALSE)</f>
        <v>0.25</v>
      </c>
      <c r="F27">
        <f t="shared" si="0"/>
        <v>0.25</v>
      </c>
      <c r="G27">
        <f t="shared" si="1"/>
        <v>0.5</v>
      </c>
      <c r="L27" s="8">
        <v>54</v>
      </c>
    </row>
    <row r="28" spans="1:12" x14ac:dyDescent="0.3">
      <c r="A28">
        <v>27</v>
      </c>
      <c r="B28">
        <f>'Newton-Miller_RAW'!B28</f>
        <v>300</v>
      </c>
      <c r="C28">
        <f>'Newton-Miller_RAW'!C28</f>
        <v>350</v>
      </c>
      <c r="D28">
        <f>VLOOKUP('Newton-Miller_RAW'!D28,'Newton-Miller_Convert'!$I$1:$J$6,2,FALSE)</f>
        <v>0.75</v>
      </c>
      <c r="E28">
        <f>VLOOKUP('Newton-Miller_RAW'!E28,'Newton-Miller_Convert'!$I$1:$J$6,2,FALSE)</f>
        <v>0.25</v>
      </c>
      <c r="F28">
        <f t="shared" si="0"/>
        <v>0.25</v>
      </c>
      <c r="G28">
        <f t="shared" si="1"/>
        <v>0.5</v>
      </c>
      <c r="L28" s="8">
        <v>55</v>
      </c>
    </row>
    <row r="29" spans="1:12" x14ac:dyDescent="0.3">
      <c r="A29">
        <v>28</v>
      </c>
      <c r="B29">
        <f>'Newton-Miller_RAW'!B29</f>
        <v>199</v>
      </c>
      <c r="C29">
        <f>'Newton-Miller_RAW'!C29</f>
        <v>255</v>
      </c>
      <c r="D29">
        <f>VLOOKUP('Newton-Miller_RAW'!D29,'Newton-Miller_Convert'!$I$1:$J$6,2,FALSE)</f>
        <v>0.75</v>
      </c>
      <c r="E29">
        <f>VLOOKUP('Newton-Miller_RAW'!E29,'Newton-Miller_Convert'!$I$1:$J$6,2,FALSE)</f>
        <v>0.25</v>
      </c>
      <c r="F29">
        <f t="shared" si="0"/>
        <v>0.25</v>
      </c>
      <c r="G29">
        <f t="shared" si="1"/>
        <v>0.5</v>
      </c>
      <c r="L29" s="8">
        <v>56</v>
      </c>
    </row>
    <row r="30" spans="1:12" x14ac:dyDescent="0.3">
      <c r="A30">
        <v>29</v>
      </c>
      <c r="B30">
        <f>'Newton-Miller_RAW'!B30</f>
        <v>60</v>
      </c>
      <c r="C30">
        <f>'Newton-Miller_RAW'!C30</f>
        <v>90</v>
      </c>
      <c r="D30">
        <f>VLOOKUP('Newton-Miller_RAW'!D30,'Newton-Miller_Convert'!$I$1:$J$6,2,FALSE)</f>
        <v>0.75</v>
      </c>
      <c r="E30">
        <f>VLOOKUP('Newton-Miller_RAW'!E30,'Newton-Miller_Convert'!$I$1:$J$6,2,FALSE)</f>
        <v>0.25</v>
      </c>
      <c r="F30">
        <f t="shared" si="0"/>
        <v>0.25</v>
      </c>
      <c r="G30">
        <f t="shared" si="1"/>
        <v>0.5</v>
      </c>
      <c r="L30" s="8">
        <v>58</v>
      </c>
    </row>
    <row r="31" spans="1:12" x14ac:dyDescent="0.3">
      <c r="A31">
        <v>30</v>
      </c>
      <c r="B31">
        <f>'Newton-Miller_RAW'!B31</f>
        <v>180</v>
      </c>
      <c r="C31">
        <f>'Newton-Miller_RAW'!C31</f>
        <v>220</v>
      </c>
      <c r="D31">
        <f>VLOOKUP('Newton-Miller_RAW'!D31,'Newton-Miller_Convert'!$I$1:$J$6,2,FALSE)</f>
        <v>0.25</v>
      </c>
      <c r="E31">
        <f>VLOOKUP('Newton-Miller_RAW'!E31,'Newton-Miller_Convert'!$I$1:$J$6,2,FALSE)</f>
        <v>0.1</v>
      </c>
      <c r="F31">
        <f t="shared" si="0"/>
        <v>0.1</v>
      </c>
      <c r="G31">
        <f t="shared" si="1"/>
        <v>0.15</v>
      </c>
      <c r="L31" s="8">
        <v>60</v>
      </c>
    </row>
    <row r="32" spans="1:12" x14ac:dyDescent="0.3">
      <c r="A32">
        <v>31</v>
      </c>
      <c r="B32">
        <f>'Newton-Miller_RAW'!B32</f>
        <v>290</v>
      </c>
      <c r="C32">
        <f>'Newton-Miller_RAW'!C32</f>
        <v>300</v>
      </c>
      <c r="D32">
        <f>VLOOKUP('Newton-Miller_RAW'!D32,'Newton-Miller_Convert'!$I$1:$J$6,2,FALSE)</f>
        <v>0.25</v>
      </c>
      <c r="E32">
        <f>VLOOKUP('Newton-Miller_RAW'!E32,'Newton-Miller_Convert'!$I$1:$J$6,2,FALSE)</f>
        <v>0.1</v>
      </c>
      <c r="F32">
        <f t="shared" si="0"/>
        <v>0.1</v>
      </c>
      <c r="G32">
        <f t="shared" si="1"/>
        <v>0.15</v>
      </c>
      <c r="L32" s="8">
        <v>65</v>
      </c>
    </row>
    <row r="33" spans="1:12" x14ac:dyDescent="0.3">
      <c r="A33">
        <v>32</v>
      </c>
      <c r="B33">
        <f>'Newton-Miller_RAW'!B33</f>
        <v>99</v>
      </c>
      <c r="C33">
        <f>'Newton-Miller_RAW'!C33</f>
        <v>105</v>
      </c>
      <c r="D33">
        <f>VLOOKUP('Newton-Miller_RAW'!D33,'Newton-Miller_Convert'!$I$1:$J$6,2,FALSE)</f>
        <v>0.75</v>
      </c>
      <c r="E33">
        <f>VLOOKUP('Newton-Miller_RAW'!E33,'Newton-Miller_Convert'!$I$1:$J$6,2,FALSE)</f>
        <v>0.25</v>
      </c>
      <c r="F33">
        <f t="shared" si="0"/>
        <v>0.25</v>
      </c>
      <c r="G33">
        <f t="shared" si="1"/>
        <v>0.5</v>
      </c>
      <c r="L33" s="8">
        <v>66</v>
      </c>
    </row>
    <row r="34" spans="1:12" x14ac:dyDescent="0.3">
      <c r="A34">
        <v>33</v>
      </c>
      <c r="B34">
        <f>'Newton-Miller_RAW'!B34</f>
        <v>360</v>
      </c>
      <c r="C34">
        <f>'Newton-Miller_RAW'!C34</f>
        <v>415</v>
      </c>
      <c r="D34">
        <f>VLOOKUP('Newton-Miller_RAW'!D34,'Newton-Miller_Convert'!$I$1:$J$6,2,FALSE)</f>
        <v>0.25</v>
      </c>
      <c r="E34">
        <f>VLOOKUP('Newton-Miller_RAW'!E34,'Newton-Miller_Convert'!$I$1:$J$6,2,FALSE)</f>
        <v>0.1</v>
      </c>
      <c r="F34">
        <f t="shared" si="0"/>
        <v>0.1</v>
      </c>
      <c r="G34">
        <f t="shared" si="1"/>
        <v>0.15</v>
      </c>
      <c r="L34" s="8">
        <v>67</v>
      </c>
    </row>
    <row r="35" spans="1:12" x14ac:dyDescent="0.3">
      <c r="A35">
        <v>34</v>
      </c>
      <c r="B35">
        <f>'Newton-Miller_RAW'!B35</f>
        <v>139</v>
      </c>
      <c r="C35">
        <f>'Newton-Miller_RAW'!C35</f>
        <v>140</v>
      </c>
      <c r="D35">
        <f>VLOOKUP('Newton-Miller_RAW'!D35,'Newton-Miller_Convert'!$I$1:$J$6,2,FALSE)</f>
        <v>0.25</v>
      </c>
      <c r="E35">
        <f>VLOOKUP('Newton-Miller_RAW'!E35,'Newton-Miller_Convert'!$I$1:$J$6,2,FALSE)</f>
        <v>0.25</v>
      </c>
      <c r="F35">
        <f t="shared" si="0"/>
        <v>0.25</v>
      </c>
      <c r="G35">
        <f t="shared" si="1"/>
        <v>0</v>
      </c>
      <c r="L35" s="8">
        <v>69</v>
      </c>
    </row>
    <row r="36" spans="1:12" x14ac:dyDescent="0.3">
      <c r="A36">
        <v>35</v>
      </c>
      <c r="B36">
        <f>'Newton-Miller_RAW'!B36</f>
        <v>250</v>
      </c>
      <c r="C36">
        <f>'Newton-Miller_RAW'!C36</f>
        <v>300</v>
      </c>
      <c r="D36">
        <f>VLOOKUP('Newton-Miller_RAW'!D36,'Newton-Miller_Convert'!$I$1:$J$6,2,FALSE)</f>
        <v>0.75</v>
      </c>
      <c r="E36">
        <f>VLOOKUP('Newton-Miller_RAW'!E36,'Newton-Miller_Convert'!$I$1:$J$6,2,FALSE)</f>
        <v>0.25</v>
      </c>
      <c r="F36">
        <f t="shared" si="0"/>
        <v>0.25</v>
      </c>
      <c r="G36">
        <f t="shared" si="1"/>
        <v>0.5</v>
      </c>
      <c r="L36" s="8">
        <v>70</v>
      </c>
    </row>
    <row r="37" spans="1:12" x14ac:dyDescent="0.3">
      <c r="A37">
        <v>36</v>
      </c>
      <c r="B37">
        <f>'Newton-Miller_RAW'!B37</f>
        <v>150</v>
      </c>
      <c r="C37">
        <f>'Newton-Miller_RAW'!C37</f>
        <v>300</v>
      </c>
      <c r="D37">
        <f>VLOOKUP('Newton-Miller_RAW'!D37,'Newton-Miller_Convert'!$I$1:$J$6,2,FALSE)</f>
        <v>0.75</v>
      </c>
      <c r="E37">
        <f>VLOOKUP('Newton-Miller_RAW'!E37,'Newton-Miller_Convert'!$I$1:$J$6,2,FALSE)</f>
        <v>0.75</v>
      </c>
      <c r="F37">
        <f t="shared" si="0"/>
        <v>0.75</v>
      </c>
      <c r="G37">
        <f t="shared" si="1"/>
        <v>0</v>
      </c>
      <c r="L37" s="8">
        <v>71</v>
      </c>
    </row>
    <row r="38" spans="1:12" x14ac:dyDescent="0.3">
      <c r="A38">
        <v>37</v>
      </c>
      <c r="B38">
        <f>'Newton-Miller_RAW'!B38</f>
        <v>250</v>
      </c>
      <c r="C38">
        <f>'Newton-Miller_RAW'!C38</f>
        <v>400</v>
      </c>
      <c r="D38">
        <f>VLOOKUP('Newton-Miller_RAW'!D38,'Newton-Miller_Convert'!$I$1:$J$6,2,FALSE)</f>
        <v>0.1</v>
      </c>
      <c r="E38">
        <f>VLOOKUP('Newton-Miller_RAW'!E38,'Newton-Miller_Convert'!$I$1:$J$6,2,FALSE)</f>
        <v>0.1</v>
      </c>
      <c r="F38">
        <f t="shared" si="0"/>
        <v>0.1</v>
      </c>
      <c r="G38">
        <f t="shared" si="1"/>
        <v>0</v>
      </c>
      <c r="L38" s="8">
        <v>72</v>
      </c>
    </row>
    <row r="39" spans="1:12" x14ac:dyDescent="0.3">
      <c r="A39">
        <v>38</v>
      </c>
      <c r="B39">
        <f>'Newton-Miller_RAW'!B39</f>
        <v>300</v>
      </c>
      <c r="C39">
        <f>'Newton-Miller_RAW'!C39</f>
        <v>350</v>
      </c>
      <c r="D39">
        <f>VLOOKUP('Newton-Miller_RAW'!D39,'Newton-Miller_Convert'!$I$1:$J$6,2,FALSE)</f>
        <v>0.75</v>
      </c>
      <c r="E39">
        <f>VLOOKUP('Newton-Miller_RAW'!E39,'Newton-Miller_Convert'!$I$1:$J$6,2,FALSE)</f>
        <v>0.25</v>
      </c>
      <c r="F39">
        <f t="shared" si="0"/>
        <v>0.25</v>
      </c>
      <c r="G39">
        <f t="shared" si="1"/>
        <v>0.5</v>
      </c>
      <c r="L39" s="8">
        <v>73</v>
      </c>
    </row>
    <row r="40" spans="1:12" x14ac:dyDescent="0.3">
      <c r="A40">
        <v>39</v>
      </c>
      <c r="B40">
        <f>'Newton-Miller_RAW'!B40</f>
        <v>110</v>
      </c>
      <c r="C40">
        <f>'Newton-Miller_RAW'!C40</f>
        <v>150</v>
      </c>
      <c r="D40">
        <f>VLOOKUP('Newton-Miller_RAW'!D40,'Newton-Miller_Convert'!$I$1:$J$6,2,FALSE)</f>
        <v>0.75</v>
      </c>
      <c r="E40">
        <f>VLOOKUP('Newton-Miller_RAW'!E40,'Newton-Miller_Convert'!$I$1:$J$6,2,FALSE)</f>
        <v>0.75</v>
      </c>
      <c r="F40">
        <f t="shared" si="0"/>
        <v>0.75</v>
      </c>
      <c r="G40">
        <f t="shared" si="1"/>
        <v>0</v>
      </c>
      <c r="L40" s="8">
        <v>74</v>
      </c>
    </row>
    <row r="41" spans="1:12" x14ac:dyDescent="0.3">
      <c r="A41">
        <v>40</v>
      </c>
      <c r="B41">
        <f>'Newton-Miller_RAW'!B41</f>
        <v>150</v>
      </c>
      <c r="C41">
        <f>'Newton-Miller_RAW'!C41</f>
        <v>200</v>
      </c>
      <c r="D41">
        <f>VLOOKUP('Newton-Miller_RAW'!D41,'Newton-Miller_Convert'!$I$1:$J$6,2,FALSE)</f>
        <v>0.75</v>
      </c>
      <c r="E41">
        <f>VLOOKUP('Newton-Miller_RAW'!E41,'Newton-Miller_Convert'!$I$1:$J$6,2,FALSE)</f>
        <v>0.25</v>
      </c>
      <c r="F41">
        <f t="shared" si="0"/>
        <v>0.25</v>
      </c>
      <c r="G41">
        <f t="shared" si="1"/>
        <v>0.5</v>
      </c>
      <c r="L41" s="8">
        <v>75</v>
      </c>
    </row>
    <row r="42" spans="1:12" x14ac:dyDescent="0.3">
      <c r="A42">
        <v>41</v>
      </c>
      <c r="B42">
        <f>'Newton-Miller_RAW'!B42</f>
        <v>155</v>
      </c>
      <c r="C42">
        <f>'Newton-Miller_RAW'!C42</f>
        <v>170</v>
      </c>
      <c r="D42">
        <f>VLOOKUP('Newton-Miller_RAW'!D42,'Newton-Miller_Convert'!$I$1:$J$6,2,FALSE)</f>
        <v>0.25</v>
      </c>
      <c r="E42">
        <f>VLOOKUP('Newton-Miller_RAW'!E42,'Newton-Miller_Convert'!$I$1:$J$6,2,FALSE)</f>
        <v>0.25</v>
      </c>
      <c r="F42">
        <f t="shared" si="0"/>
        <v>0.25</v>
      </c>
      <c r="G42">
        <f t="shared" si="1"/>
        <v>0</v>
      </c>
      <c r="L42" s="8">
        <v>77</v>
      </c>
    </row>
    <row r="43" spans="1:12" x14ac:dyDescent="0.3">
      <c r="A43">
        <v>42</v>
      </c>
      <c r="B43">
        <f>'Newton-Miller_RAW'!B43</f>
        <v>125</v>
      </c>
      <c r="C43">
        <f>'Newton-Miller_RAW'!C43</f>
        <v>200</v>
      </c>
      <c r="D43">
        <f>VLOOKUP('Newton-Miller_RAW'!D43,'Newton-Miller_Convert'!$I$1:$J$6,2,FALSE)</f>
        <v>0.75</v>
      </c>
      <c r="E43">
        <f>VLOOKUP('Newton-Miller_RAW'!E43,'Newton-Miller_Convert'!$I$1:$J$6,2,FALSE)</f>
        <v>0</v>
      </c>
      <c r="F43">
        <f t="shared" si="0"/>
        <v>0</v>
      </c>
      <c r="G43">
        <f t="shared" si="1"/>
        <v>0.75</v>
      </c>
      <c r="L43" s="8">
        <v>78</v>
      </c>
    </row>
    <row r="44" spans="1:12" x14ac:dyDescent="0.3">
      <c r="A44">
        <v>43</v>
      </c>
      <c r="B44">
        <f>'Newton-Miller_RAW'!B44</f>
        <v>100</v>
      </c>
      <c r="C44">
        <f>'Newton-Miller_RAW'!C44</f>
        <v>120</v>
      </c>
      <c r="D44">
        <f>VLOOKUP('Newton-Miller_RAW'!D44,'Newton-Miller_Convert'!$I$1:$J$6,2,FALSE)</f>
        <v>0.25</v>
      </c>
      <c r="E44">
        <f>VLOOKUP('Newton-Miller_RAW'!E44,'Newton-Miller_Convert'!$I$1:$J$6,2,FALSE)</f>
        <v>0.1</v>
      </c>
      <c r="F44">
        <f t="shared" si="0"/>
        <v>0.1</v>
      </c>
      <c r="G44">
        <f t="shared" si="1"/>
        <v>0.15</v>
      </c>
      <c r="L44" s="8">
        <v>79</v>
      </c>
    </row>
    <row r="45" spans="1:12" x14ac:dyDescent="0.3">
      <c r="A45">
        <v>44</v>
      </c>
      <c r="B45">
        <f>'Newton-Miller_RAW'!B45</f>
        <v>100</v>
      </c>
      <c r="C45">
        <f>'Newton-Miller_RAW'!C45</f>
        <v>200</v>
      </c>
      <c r="D45">
        <f>VLOOKUP('Newton-Miller_RAW'!D45,'Newton-Miller_Convert'!$I$1:$J$6,2,FALSE)</f>
        <v>0.75</v>
      </c>
      <c r="E45">
        <f>VLOOKUP('Newton-Miller_RAW'!E45,'Newton-Miller_Convert'!$I$1:$J$6,2,FALSE)</f>
        <v>0</v>
      </c>
      <c r="F45">
        <f t="shared" si="0"/>
        <v>0</v>
      </c>
      <c r="G45">
        <f t="shared" si="1"/>
        <v>0.75</v>
      </c>
      <c r="L45" s="8">
        <v>80</v>
      </c>
    </row>
    <row r="46" spans="1:12" x14ac:dyDescent="0.3">
      <c r="A46">
        <v>45</v>
      </c>
      <c r="B46">
        <f>'Newton-Miller_RAW'!B46</f>
        <v>150</v>
      </c>
      <c r="C46">
        <f>'Newton-Miller_RAW'!C46</f>
        <v>200</v>
      </c>
      <c r="D46">
        <f>VLOOKUP('Newton-Miller_RAW'!D46,'Newton-Miller_Convert'!$I$1:$J$6,2,FALSE)</f>
        <v>0.25</v>
      </c>
      <c r="E46">
        <f>VLOOKUP('Newton-Miller_RAW'!E46,'Newton-Miller_Convert'!$I$1:$J$6,2,FALSE)</f>
        <v>0.1</v>
      </c>
      <c r="F46">
        <f t="shared" si="0"/>
        <v>0.1</v>
      </c>
      <c r="G46">
        <f t="shared" si="1"/>
        <v>0.15</v>
      </c>
      <c r="L46" s="8">
        <v>86</v>
      </c>
    </row>
    <row r="47" spans="1:12" x14ac:dyDescent="0.3">
      <c r="A47">
        <v>46</v>
      </c>
      <c r="B47">
        <f>'Newton-Miller_RAW'!B47</f>
        <v>150</v>
      </c>
      <c r="C47">
        <f>'Newton-Miller_RAW'!C47</f>
        <v>180</v>
      </c>
      <c r="D47">
        <f>VLOOKUP('Newton-Miller_RAW'!D47,'Newton-Miller_Convert'!$I$1:$J$6,2,FALSE)</f>
        <v>0.75</v>
      </c>
      <c r="E47">
        <f>VLOOKUP('Newton-Miller_RAW'!E47,'Newton-Miller_Convert'!$I$1:$J$6,2,FALSE)</f>
        <v>0.75</v>
      </c>
      <c r="F47">
        <f t="shared" si="0"/>
        <v>0.75</v>
      </c>
      <c r="G47">
        <f t="shared" si="1"/>
        <v>0</v>
      </c>
      <c r="L47" s="8">
        <v>87</v>
      </c>
    </row>
    <row r="48" spans="1:12" x14ac:dyDescent="0.3">
      <c r="A48">
        <v>47</v>
      </c>
      <c r="B48">
        <f>'Newton-Miller_RAW'!B48</f>
        <v>200</v>
      </c>
      <c r="C48">
        <f>'Newton-Miller_RAW'!C48</f>
        <v>250</v>
      </c>
      <c r="D48">
        <f>VLOOKUP('Newton-Miller_RAW'!D48,'Newton-Miller_Convert'!$I$1:$J$6,2,FALSE)</f>
        <v>0.75</v>
      </c>
      <c r="E48">
        <f>VLOOKUP('Newton-Miller_RAW'!E48,'Newton-Miller_Convert'!$I$1:$J$6,2,FALSE)</f>
        <v>0.25</v>
      </c>
      <c r="F48">
        <f t="shared" si="0"/>
        <v>0.25</v>
      </c>
      <c r="G48">
        <f t="shared" si="1"/>
        <v>0.5</v>
      </c>
      <c r="L48" s="8">
        <v>89</v>
      </c>
    </row>
    <row r="49" spans="1:12" x14ac:dyDescent="0.3">
      <c r="A49">
        <v>48</v>
      </c>
      <c r="B49">
        <f>'Newton-Miller_RAW'!B49</f>
        <v>400</v>
      </c>
      <c r="C49">
        <f>'Newton-Miller_RAW'!C49</f>
        <v>430</v>
      </c>
      <c r="D49">
        <f>VLOOKUP('Newton-Miller_RAW'!D49,'Newton-Miller_Convert'!$I$1:$J$6,2,FALSE)</f>
        <v>0.1</v>
      </c>
      <c r="E49">
        <f>VLOOKUP('Newton-Miller_RAW'!E49,'Newton-Miller_Convert'!$I$1:$J$6,2,FALSE)</f>
        <v>0.1</v>
      </c>
      <c r="F49">
        <f t="shared" si="0"/>
        <v>0.1</v>
      </c>
      <c r="G49">
        <f t="shared" si="1"/>
        <v>0</v>
      </c>
      <c r="L49" s="8">
        <v>90</v>
      </c>
    </row>
    <row r="50" spans="1:12" x14ac:dyDescent="0.3">
      <c r="A50">
        <v>49</v>
      </c>
      <c r="B50">
        <f>'Newton-Miller_RAW'!B50</f>
        <v>50</v>
      </c>
      <c r="C50">
        <f>'Newton-Miller_RAW'!C50</f>
        <v>100</v>
      </c>
      <c r="D50">
        <f>VLOOKUP('Newton-Miller_RAW'!D50,'Newton-Miller_Convert'!$I$1:$J$6,2,FALSE)</f>
        <v>0.1</v>
      </c>
      <c r="E50">
        <f>VLOOKUP('Newton-Miller_RAW'!E50,'Newton-Miller_Convert'!$I$1:$J$6,2,FALSE)</f>
        <v>0.1</v>
      </c>
      <c r="F50">
        <f t="shared" si="0"/>
        <v>0.1</v>
      </c>
      <c r="G50">
        <f t="shared" si="1"/>
        <v>0</v>
      </c>
      <c r="L50" s="8">
        <v>95</v>
      </c>
    </row>
    <row r="51" spans="1:12" x14ac:dyDescent="0.3">
      <c r="A51">
        <v>50</v>
      </c>
      <c r="B51">
        <f>'Newton-Miller_RAW'!B51</f>
        <v>150</v>
      </c>
      <c r="C51">
        <f>'Newton-Miller_RAW'!C51</f>
        <v>200</v>
      </c>
      <c r="D51">
        <f>VLOOKUP('Newton-Miller_RAW'!D51,'Newton-Miller_Convert'!$I$1:$J$6,2,FALSE)</f>
        <v>0.75</v>
      </c>
      <c r="E51">
        <f>VLOOKUP('Newton-Miller_RAW'!E51,'Newton-Miller_Convert'!$I$1:$J$6,2,FALSE)</f>
        <v>0.75</v>
      </c>
      <c r="F51">
        <f t="shared" si="0"/>
        <v>0.75</v>
      </c>
      <c r="G51">
        <f t="shared" si="1"/>
        <v>0</v>
      </c>
      <c r="L51" s="8">
        <v>97</v>
      </c>
    </row>
    <row r="52" spans="1:12" x14ac:dyDescent="0.3">
      <c r="A52">
        <v>51</v>
      </c>
      <c r="B52">
        <f>'Newton-Miller_RAW'!B52</f>
        <v>200</v>
      </c>
      <c r="C52">
        <f>'Newton-Miller_RAW'!C52</f>
        <v>280</v>
      </c>
      <c r="D52">
        <f>VLOOKUP('Newton-Miller_RAW'!D52,'Newton-Miller_Convert'!$I$1:$J$6,2,FALSE)</f>
        <v>0.75</v>
      </c>
      <c r="E52">
        <f>VLOOKUP('Newton-Miller_RAW'!E52,'Newton-Miller_Convert'!$I$1:$J$6,2,FALSE)</f>
        <v>0.1</v>
      </c>
      <c r="F52">
        <f t="shared" si="0"/>
        <v>0.1</v>
      </c>
      <c r="G52">
        <f t="shared" si="1"/>
        <v>0.65</v>
      </c>
      <c r="L52" s="8">
        <v>98</v>
      </c>
    </row>
    <row r="53" spans="1:12" x14ac:dyDescent="0.3">
      <c r="A53">
        <v>52</v>
      </c>
      <c r="B53">
        <f>'Newton-Miller_RAW'!B53</f>
        <v>400</v>
      </c>
      <c r="C53">
        <f>'Newton-Miller_RAW'!C53</f>
        <v>450</v>
      </c>
      <c r="D53">
        <f>VLOOKUP('Newton-Miller_RAW'!D53,'Newton-Miller_Convert'!$I$1:$J$6,2,FALSE)</f>
        <v>0.25</v>
      </c>
      <c r="E53">
        <f>VLOOKUP('Newton-Miller_RAW'!E53,'Newton-Miller_Convert'!$I$1:$J$6,2,FALSE)</f>
        <v>0.25</v>
      </c>
      <c r="F53">
        <f t="shared" si="0"/>
        <v>0.25</v>
      </c>
      <c r="G53">
        <f t="shared" si="1"/>
        <v>0</v>
      </c>
      <c r="L53" s="8">
        <v>99</v>
      </c>
    </row>
    <row r="54" spans="1:12" x14ac:dyDescent="0.3">
      <c r="A54">
        <v>53</v>
      </c>
      <c r="B54">
        <f>'Newton-Miller_RAW'!B54</f>
        <v>400</v>
      </c>
      <c r="C54">
        <f>'Newton-Miller_RAW'!C54</f>
        <v>440</v>
      </c>
      <c r="D54">
        <f>VLOOKUP('Newton-Miller_RAW'!D54,'Newton-Miller_Convert'!$I$1:$J$6,2,FALSE)</f>
        <v>0.25</v>
      </c>
      <c r="E54">
        <f>VLOOKUP('Newton-Miller_RAW'!E54,'Newton-Miller_Convert'!$I$1:$J$6,2,FALSE)</f>
        <v>0.25</v>
      </c>
      <c r="F54">
        <f t="shared" si="0"/>
        <v>0.25</v>
      </c>
      <c r="G54">
        <f t="shared" si="1"/>
        <v>0</v>
      </c>
      <c r="L54" s="8">
        <v>100</v>
      </c>
    </row>
    <row r="55" spans="1:12" x14ac:dyDescent="0.3">
      <c r="A55">
        <v>54</v>
      </c>
      <c r="B55">
        <f>'Newton-Miller_RAW'!B55</f>
        <v>200</v>
      </c>
      <c r="C55">
        <f>'Newton-Miller_RAW'!C55</f>
        <v>300</v>
      </c>
      <c r="D55">
        <f>VLOOKUP('Newton-Miller_RAW'!D55,'Newton-Miller_Convert'!$I$1:$J$6,2,FALSE)</f>
        <v>0.75</v>
      </c>
      <c r="E55">
        <f>VLOOKUP('Newton-Miller_RAW'!E55,'Newton-Miller_Convert'!$I$1:$J$6,2,FALSE)</f>
        <v>0.1</v>
      </c>
      <c r="F55">
        <f t="shared" si="0"/>
        <v>0.1</v>
      </c>
      <c r="G55">
        <f t="shared" si="1"/>
        <v>0.65</v>
      </c>
      <c r="L55" s="8">
        <v>101</v>
      </c>
    </row>
    <row r="56" spans="1:12" x14ac:dyDescent="0.3">
      <c r="A56">
        <v>55</v>
      </c>
      <c r="B56">
        <f>'Newton-Miller_RAW'!B56</f>
        <v>180</v>
      </c>
      <c r="C56">
        <f>'Newton-Miller_RAW'!C56</f>
        <v>200</v>
      </c>
      <c r="D56">
        <f>VLOOKUP('Newton-Miller_RAW'!D56,'Newton-Miller_Convert'!$I$1:$J$6,2,FALSE)</f>
        <v>0.25</v>
      </c>
      <c r="E56">
        <f>VLOOKUP('Newton-Miller_RAW'!E56,'Newton-Miller_Convert'!$I$1:$J$6,2,FALSE)</f>
        <v>0.1</v>
      </c>
      <c r="F56">
        <f t="shared" si="0"/>
        <v>0.1</v>
      </c>
      <c r="G56">
        <f t="shared" si="1"/>
        <v>0.15</v>
      </c>
      <c r="L56" s="8">
        <v>102</v>
      </c>
    </row>
    <row r="57" spans="1:12" x14ac:dyDescent="0.3">
      <c r="A57">
        <v>56</v>
      </c>
      <c r="B57">
        <f>'Newton-Miller_RAW'!B57</f>
        <v>200</v>
      </c>
      <c r="C57">
        <f>'Newton-Miller_RAW'!C57</f>
        <v>300</v>
      </c>
      <c r="D57">
        <f>VLOOKUP('Newton-Miller_RAW'!D57,'Newton-Miller_Convert'!$I$1:$J$6,2,FALSE)</f>
        <v>0.75</v>
      </c>
      <c r="E57">
        <f>VLOOKUP('Newton-Miller_RAW'!E57,'Newton-Miller_Convert'!$I$1:$J$6,2,FALSE)</f>
        <v>0.25</v>
      </c>
      <c r="F57">
        <f t="shared" si="0"/>
        <v>0.25</v>
      </c>
      <c r="G57">
        <f t="shared" si="1"/>
        <v>0.5</v>
      </c>
      <c r="L57" s="8">
        <v>105</v>
      </c>
    </row>
    <row r="58" spans="1:12" x14ac:dyDescent="0.3">
      <c r="A58">
        <v>57</v>
      </c>
      <c r="B58">
        <f>'Newton-Miller_RAW'!B58</f>
        <v>99</v>
      </c>
      <c r="C58">
        <f>'Newton-Miller_RAW'!C58</f>
        <v>120</v>
      </c>
      <c r="D58">
        <f>VLOOKUP('Newton-Miller_RAW'!D58,'Newton-Miller_Convert'!$I$1:$J$6,2,FALSE)</f>
        <v>0.75</v>
      </c>
      <c r="E58">
        <f>VLOOKUP('Newton-Miller_RAW'!E58,'Newton-Miller_Convert'!$I$1:$J$6,2,FALSE)</f>
        <v>0.25</v>
      </c>
      <c r="F58">
        <f t="shared" si="0"/>
        <v>0.25</v>
      </c>
      <c r="G58">
        <f t="shared" si="1"/>
        <v>0.5</v>
      </c>
      <c r="L58" s="8">
        <v>106</v>
      </c>
    </row>
    <row r="59" spans="1:12" x14ac:dyDescent="0.3">
      <c r="A59">
        <v>58</v>
      </c>
      <c r="B59">
        <f>'Newton-Miller_RAW'!B59</f>
        <v>300</v>
      </c>
      <c r="C59">
        <f>'Newton-Miller_RAW'!C59</f>
        <v>600</v>
      </c>
      <c r="D59">
        <f>VLOOKUP('Newton-Miller_RAW'!D59,'Newton-Miller_Convert'!$I$1:$J$6,2,FALSE)</f>
        <v>0.75</v>
      </c>
      <c r="E59">
        <f>VLOOKUP('Newton-Miller_RAW'!E59,'Newton-Miller_Convert'!$I$1:$J$6,2,FALSE)</f>
        <v>0.1</v>
      </c>
      <c r="F59">
        <f t="shared" si="0"/>
        <v>0.1</v>
      </c>
      <c r="G59">
        <f t="shared" si="1"/>
        <v>0.65</v>
      </c>
      <c r="L59" s="8">
        <v>110</v>
      </c>
    </row>
    <row r="60" spans="1:12" x14ac:dyDescent="0.3">
      <c r="A60">
        <v>59</v>
      </c>
      <c r="B60">
        <f>'Newton-Miller_RAW'!B60</f>
        <v>90</v>
      </c>
      <c r="C60">
        <f>'Newton-Miller_RAW'!C60</f>
        <v>120</v>
      </c>
      <c r="D60">
        <f>VLOOKUP('Newton-Miller_RAW'!D60,'Newton-Miller_Convert'!$I$1:$J$6,2,FALSE)</f>
        <v>0.25</v>
      </c>
      <c r="E60">
        <f>VLOOKUP('Newton-Miller_RAW'!E60,'Newton-Miller_Convert'!$I$1:$J$6,2,FALSE)</f>
        <v>0.1</v>
      </c>
      <c r="F60">
        <f t="shared" si="0"/>
        <v>0.1</v>
      </c>
      <c r="G60">
        <f t="shared" si="1"/>
        <v>0.15</v>
      </c>
      <c r="L60" s="8">
        <v>115</v>
      </c>
    </row>
    <row r="61" spans="1:12" x14ac:dyDescent="0.3">
      <c r="A61">
        <v>60</v>
      </c>
      <c r="B61">
        <f>'Newton-Miller_RAW'!B61</f>
        <v>97</v>
      </c>
      <c r="C61">
        <f>'Newton-Miller_RAW'!C61</f>
        <v>98</v>
      </c>
      <c r="D61">
        <f>VLOOKUP('Newton-Miller_RAW'!D61,'Newton-Miller_Convert'!$I$1:$J$6,2,FALSE)</f>
        <v>0.75</v>
      </c>
      <c r="E61">
        <f>VLOOKUP('Newton-Miller_RAW'!E61,'Newton-Miller_Convert'!$I$1:$J$6,2,FALSE)</f>
        <v>0.75</v>
      </c>
      <c r="F61">
        <f t="shared" si="0"/>
        <v>0.75</v>
      </c>
      <c r="G61">
        <f t="shared" si="1"/>
        <v>0</v>
      </c>
      <c r="L61" s="8">
        <v>119</v>
      </c>
    </row>
    <row r="62" spans="1:12" x14ac:dyDescent="0.3">
      <c r="A62">
        <v>61</v>
      </c>
      <c r="B62">
        <f>'Newton-Miller_RAW'!B62</f>
        <v>100</v>
      </c>
      <c r="C62">
        <f>'Newton-Miller_RAW'!C62</f>
        <v>200</v>
      </c>
      <c r="D62">
        <f>VLOOKUP('Newton-Miller_RAW'!D62,'Newton-Miller_Convert'!$I$1:$J$6,2,FALSE)</f>
        <v>0.75</v>
      </c>
      <c r="E62">
        <f>VLOOKUP('Newton-Miller_RAW'!E62,'Newton-Miller_Convert'!$I$1:$J$6,2,FALSE)</f>
        <v>0.25</v>
      </c>
      <c r="F62">
        <f t="shared" si="0"/>
        <v>0.25</v>
      </c>
      <c r="G62">
        <f t="shared" si="1"/>
        <v>0.5</v>
      </c>
      <c r="L62" s="8">
        <v>120</v>
      </c>
    </row>
    <row r="63" spans="1:12" x14ac:dyDescent="0.3">
      <c r="A63">
        <v>62</v>
      </c>
      <c r="B63">
        <f>'Newton-Miller_RAW'!B63</f>
        <v>250</v>
      </c>
      <c r="C63">
        <f>'Newton-Miller_RAW'!C63</f>
        <v>300</v>
      </c>
      <c r="D63">
        <f>VLOOKUP('Newton-Miller_RAW'!D63,'Newton-Miller_Convert'!$I$1:$J$6,2,FALSE)</f>
        <v>0.25</v>
      </c>
      <c r="E63">
        <f>VLOOKUP('Newton-Miller_RAW'!E63,'Newton-Miller_Convert'!$I$1:$J$6,2,FALSE)</f>
        <v>0.25</v>
      </c>
      <c r="F63">
        <f t="shared" si="0"/>
        <v>0.25</v>
      </c>
      <c r="G63">
        <f t="shared" si="1"/>
        <v>0</v>
      </c>
      <c r="L63" s="8">
        <v>125</v>
      </c>
    </row>
    <row r="64" spans="1:12" x14ac:dyDescent="0.3">
      <c r="A64">
        <v>63</v>
      </c>
      <c r="B64">
        <f>'Newton-Miller_RAW'!B64</f>
        <v>100</v>
      </c>
      <c r="C64">
        <f>'Newton-Miller_RAW'!C64</f>
        <v>120</v>
      </c>
      <c r="D64">
        <f>VLOOKUP('Newton-Miller_RAW'!D64,'Newton-Miller_Convert'!$I$1:$J$6,2,FALSE)</f>
        <v>0.25</v>
      </c>
      <c r="E64">
        <f>VLOOKUP('Newton-Miller_RAW'!E64,'Newton-Miller_Convert'!$I$1:$J$6,2,FALSE)</f>
        <v>0</v>
      </c>
      <c r="F64">
        <f t="shared" si="0"/>
        <v>0</v>
      </c>
      <c r="G64">
        <f t="shared" si="1"/>
        <v>0.25</v>
      </c>
      <c r="L64" s="8">
        <v>126</v>
      </c>
    </row>
    <row r="65" spans="1:12" x14ac:dyDescent="0.3">
      <c r="A65">
        <v>64</v>
      </c>
      <c r="B65">
        <f>'Newton-Miller_RAW'!B65</f>
        <v>300</v>
      </c>
      <c r="C65">
        <f>'Newton-Miller_RAW'!C65</f>
        <v>350</v>
      </c>
      <c r="D65">
        <f>VLOOKUP('Newton-Miller_RAW'!D65,'Newton-Miller_Convert'!$I$1:$J$6,2,FALSE)</f>
        <v>0.75</v>
      </c>
      <c r="E65">
        <f>VLOOKUP('Newton-Miller_RAW'!E65,'Newton-Miller_Convert'!$I$1:$J$6,2,FALSE)</f>
        <v>0.1</v>
      </c>
      <c r="F65">
        <f t="shared" si="0"/>
        <v>0.1</v>
      </c>
      <c r="G65">
        <f t="shared" si="1"/>
        <v>0.65</v>
      </c>
      <c r="L65" s="8">
        <v>127</v>
      </c>
    </row>
    <row r="66" spans="1:12" x14ac:dyDescent="0.3">
      <c r="A66">
        <v>65</v>
      </c>
      <c r="B66">
        <f>'Newton-Miller_RAW'!B66</f>
        <v>300</v>
      </c>
      <c r="C66">
        <f>'Newton-Miller_RAW'!C66</f>
        <v>360</v>
      </c>
      <c r="D66">
        <f>VLOOKUP('Newton-Miller_RAW'!D66,'Newton-Miller_Convert'!$I$1:$J$6,2,FALSE)</f>
        <v>0.25</v>
      </c>
      <c r="E66">
        <f>VLOOKUP('Newton-Miller_RAW'!E66,'Newton-Miller_Convert'!$I$1:$J$6,2,FALSE)</f>
        <v>0.25</v>
      </c>
      <c r="F66">
        <f t="shared" si="0"/>
        <v>0.25</v>
      </c>
      <c r="G66">
        <f t="shared" si="1"/>
        <v>0</v>
      </c>
      <c r="L66" s="8">
        <v>128</v>
      </c>
    </row>
    <row r="67" spans="1:12" x14ac:dyDescent="0.3">
      <c r="A67">
        <v>66</v>
      </c>
      <c r="B67">
        <f>'Newton-Miller_RAW'!B67</f>
        <v>300</v>
      </c>
      <c r="C67">
        <f>'Newton-Miller_RAW'!C67</f>
        <v>380</v>
      </c>
      <c r="D67">
        <f>VLOOKUP('Newton-Miller_RAW'!D67,'Newton-Miller_Convert'!$I$1:$J$6,2,FALSE)</f>
        <v>0.75</v>
      </c>
      <c r="E67">
        <f>VLOOKUP('Newton-Miller_RAW'!E67,'Newton-Miller_Convert'!$I$1:$J$6,2,FALSE)</f>
        <v>0.25</v>
      </c>
      <c r="F67">
        <f t="shared" ref="F67:F130" si="2">IF(E67&gt;D67,D67,E67)</f>
        <v>0.25</v>
      </c>
      <c r="G67">
        <f t="shared" ref="G67:G130" si="3">D67-F67</f>
        <v>0.5</v>
      </c>
      <c r="L67" s="8">
        <v>129</v>
      </c>
    </row>
    <row r="68" spans="1:12" x14ac:dyDescent="0.3">
      <c r="A68">
        <v>67</v>
      </c>
      <c r="B68">
        <f>'Newton-Miller_RAW'!B68</f>
        <v>199</v>
      </c>
      <c r="C68">
        <f>'Newton-Miller_RAW'!C68</f>
        <v>299</v>
      </c>
      <c r="D68">
        <f>VLOOKUP('Newton-Miller_RAW'!D68,'Newton-Miller_Convert'!$I$1:$J$6,2,FALSE)</f>
        <v>0.25</v>
      </c>
      <c r="E68">
        <f>VLOOKUP('Newton-Miller_RAW'!E68,'Newton-Miller_Convert'!$I$1:$J$6,2,FALSE)</f>
        <v>0.1</v>
      </c>
      <c r="F68">
        <f t="shared" si="2"/>
        <v>0.1</v>
      </c>
      <c r="G68">
        <f t="shared" si="3"/>
        <v>0.15</v>
      </c>
      <c r="L68" s="8">
        <v>130</v>
      </c>
    </row>
    <row r="69" spans="1:12" x14ac:dyDescent="0.3">
      <c r="A69">
        <v>68</v>
      </c>
      <c r="B69">
        <f>'Newton-Miller_RAW'!B69</f>
        <v>150</v>
      </c>
      <c r="C69">
        <f>'Newton-Miller_RAW'!C69</f>
        <v>200</v>
      </c>
      <c r="D69">
        <f>VLOOKUP('Newton-Miller_RAW'!D69,'Newton-Miller_Convert'!$I$1:$J$6,2,FALSE)</f>
        <v>0.75</v>
      </c>
      <c r="E69">
        <f>VLOOKUP('Newton-Miller_RAW'!E69,'Newton-Miller_Convert'!$I$1:$J$6,2,FALSE)</f>
        <v>0.1</v>
      </c>
      <c r="F69">
        <f t="shared" si="2"/>
        <v>0.1</v>
      </c>
      <c r="G69">
        <f t="shared" si="3"/>
        <v>0.65</v>
      </c>
      <c r="L69" s="8">
        <v>133</v>
      </c>
    </row>
    <row r="70" spans="1:12" x14ac:dyDescent="0.3">
      <c r="A70">
        <v>69</v>
      </c>
      <c r="B70">
        <f>'Newton-Miller_RAW'!B70</f>
        <v>200</v>
      </c>
      <c r="C70">
        <f>'Newton-Miller_RAW'!C70</f>
        <v>250</v>
      </c>
      <c r="D70">
        <f>VLOOKUP('Newton-Miller_RAW'!D70,'Newton-Miller_Convert'!$I$1:$J$6,2,FALSE)</f>
        <v>0.25</v>
      </c>
      <c r="E70">
        <f>VLOOKUP('Newton-Miller_RAW'!E70,'Newton-Miller_Convert'!$I$1:$J$6,2,FALSE)</f>
        <v>0.1</v>
      </c>
      <c r="F70">
        <f t="shared" si="2"/>
        <v>0.1</v>
      </c>
      <c r="G70">
        <f t="shared" si="3"/>
        <v>0.15</v>
      </c>
      <c r="L70" s="8">
        <v>135</v>
      </c>
    </row>
    <row r="71" spans="1:12" x14ac:dyDescent="0.3">
      <c r="A71">
        <v>70</v>
      </c>
      <c r="B71">
        <f>'Newton-Miller_RAW'!B71</f>
        <v>400</v>
      </c>
      <c r="C71">
        <f>'Newton-Miller_RAW'!C71</f>
        <v>450</v>
      </c>
      <c r="D71">
        <f>VLOOKUP('Newton-Miller_RAW'!D71,'Newton-Miller_Convert'!$I$1:$J$6,2,FALSE)</f>
        <v>0.25</v>
      </c>
      <c r="E71">
        <f>VLOOKUP('Newton-Miller_RAW'!E71,'Newton-Miller_Convert'!$I$1:$J$6,2,FALSE)</f>
        <v>0.1</v>
      </c>
      <c r="F71">
        <f t="shared" si="2"/>
        <v>0.1</v>
      </c>
      <c r="G71">
        <f t="shared" si="3"/>
        <v>0.15</v>
      </c>
      <c r="L71" s="8">
        <v>138</v>
      </c>
    </row>
    <row r="72" spans="1:12" x14ac:dyDescent="0.3">
      <c r="A72">
        <v>71</v>
      </c>
      <c r="B72">
        <f>'Newton-Miller_RAW'!B72</f>
        <v>200</v>
      </c>
      <c r="C72">
        <f>'Newton-Miller_RAW'!C72</f>
        <v>230</v>
      </c>
      <c r="D72">
        <f>VLOOKUP('Newton-Miller_RAW'!D72,'Newton-Miller_Convert'!$I$1:$J$6,2,FALSE)</f>
        <v>0.1</v>
      </c>
      <c r="E72">
        <f>VLOOKUP('Newton-Miller_RAW'!E72,'Newton-Miller_Convert'!$I$1:$J$6,2,FALSE)</f>
        <v>0</v>
      </c>
      <c r="F72">
        <f t="shared" si="2"/>
        <v>0</v>
      </c>
      <c r="G72">
        <f t="shared" si="3"/>
        <v>0.1</v>
      </c>
      <c r="L72" s="8">
        <v>139</v>
      </c>
    </row>
    <row r="73" spans="1:12" x14ac:dyDescent="0.3">
      <c r="A73">
        <v>72</v>
      </c>
      <c r="B73">
        <f>'Newton-Miller_RAW'!B73</f>
        <v>320</v>
      </c>
      <c r="C73">
        <f>'Newton-Miller_RAW'!C73</f>
        <v>380</v>
      </c>
      <c r="D73">
        <f>VLOOKUP('Newton-Miller_RAW'!D73,'Newton-Miller_Convert'!$I$1:$J$6,2,FALSE)</f>
        <v>0.75</v>
      </c>
      <c r="E73">
        <f>VLOOKUP('Newton-Miller_RAW'!E73,'Newton-Miller_Convert'!$I$1:$J$6,2,FALSE)</f>
        <v>0.25</v>
      </c>
      <c r="F73">
        <f t="shared" si="2"/>
        <v>0.25</v>
      </c>
      <c r="G73">
        <f t="shared" si="3"/>
        <v>0.5</v>
      </c>
      <c r="L73" s="8">
        <v>140</v>
      </c>
    </row>
    <row r="74" spans="1:12" x14ac:dyDescent="0.3">
      <c r="A74">
        <v>73</v>
      </c>
      <c r="B74">
        <f>'Newton-Miller_RAW'!B74</f>
        <v>300</v>
      </c>
      <c r="C74">
        <f>'Newton-Miller_RAW'!C74</f>
        <v>350</v>
      </c>
      <c r="D74">
        <f>VLOOKUP('Newton-Miller_RAW'!D74,'Newton-Miller_Convert'!$I$1:$J$6,2,FALSE)</f>
        <v>0.75</v>
      </c>
      <c r="E74">
        <f>VLOOKUP('Newton-Miller_RAW'!E74,'Newton-Miller_Convert'!$I$1:$J$6,2,FALSE)</f>
        <v>0.75</v>
      </c>
      <c r="F74">
        <f t="shared" si="2"/>
        <v>0.75</v>
      </c>
      <c r="G74">
        <f t="shared" si="3"/>
        <v>0</v>
      </c>
      <c r="L74" s="8">
        <v>142</v>
      </c>
    </row>
    <row r="75" spans="1:12" x14ac:dyDescent="0.3">
      <c r="A75">
        <v>74</v>
      </c>
      <c r="B75">
        <f>'Newton-Miller_RAW'!B75</f>
        <v>150</v>
      </c>
      <c r="C75">
        <f>'Newton-Miller_RAW'!C75</f>
        <v>200</v>
      </c>
      <c r="D75">
        <f>VLOOKUP('Newton-Miller_RAW'!D75,'Newton-Miller_Convert'!$I$1:$J$6,2,FALSE)</f>
        <v>0.25</v>
      </c>
      <c r="E75">
        <f>VLOOKUP('Newton-Miller_RAW'!E75,'Newton-Miller_Convert'!$I$1:$J$6,2,FALSE)</f>
        <v>0.25</v>
      </c>
      <c r="F75">
        <f t="shared" si="2"/>
        <v>0.25</v>
      </c>
      <c r="G75">
        <f t="shared" si="3"/>
        <v>0</v>
      </c>
      <c r="L75" s="8">
        <v>145</v>
      </c>
    </row>
    <row r="76" spans="1:12" x14ac:dyDescent="0.3">
      <c r="A76">
        <v>75</v>
      </c>
      <c r="B76">
        <f>'Newton-Miller_RAW'!B76</f>
        <v>29</v>
      </c>
      <c r="C76">
        <f>'Newton-Miller_RAW'!C76</f>
        <v>30</v>
      </c>
      <c r="D76">
        <f>VLOOKUP('Newton-Miller_RAW'!D76,'Newton-Miller_Convert'!$I$1:$J$6,2,FALSE)</f>
        <v>0.75</v>
      </c>
      <c r="E76">
        <f>VLOOKUP('Newton-Miller_RAW'!E76,'Newton-Miller_Convert'!$I$1:$J$6,2,FALSE)</f>
        <v>0.75</v>
      </c>
      <c r="F76">
        <f t="shared" si="2"/>
        <v>0.75</v>
      </c>
      <c r="G76">
        <f t="shared" si="3"/>
        <v>0</v>
      </c>
      <c r="L76" s="8">
        <v>146</v>
      </c>
    </row>
    <row r="77" spans="1:12" x14ac:dyDescent="0.3">
      <c r="A77">
        <v>76</v>
      </c>
      <c r="B77">
        <f>'Newton-Miller_RAW'!B77</f>
        <v>250</v>
      </c>
      <c r="C77">
        <f>'Newton-Miller_RAW'!C77</f>
        <v>350</v>
      </c>
      <c r="D77">
        <f>VLOOKUP('Newton-Miller_RAW'!D77,'Newton-Miller_Convert'!$I$1:$J$6,2,FALSE)</f>
        <v>0.75</v>
      </c>
      <c r="E77">
        <f>VLOOKUP('Newton-Miller_RAW'!E77,'Newton-Miller_Convert'!$I$1:$J$6,2,FALSE)</f>
        <v>0.25</v>
      </c>
      <c r="F77">
        <f t="shared" si="2"/>
        <v>0.25</v>
      </c>
      <c r="G77">
        <f t="shared" si="3"/>
        <v>0.5</v>
      </c>
      <c r="L77" s="8">
        <v>148</v>
      </c>
    </row>
    <row r="78" spans="1:12" x14ac:dyDescent="0.3">
      <c r="A78">
        <v>77</v>
      </c>
      <c r="B78">
        <f>'Newton-Miller_RAW'!B78</f>
        <v>150</v>
      </c>
      <c r="C78">
        <f>'Newton-Miller_RAW'!C78</f>
        <v>155</v>
      </c>
      <c r="D78">
        <f>VLOOKUP('Newton-Miller_RAW'!D78,'Newton-Miller_Convert'!$I$1:$J$6,2,FALSE)</f>
        <v>0.25</v>
      </c>
      <c r="E78">
        <f>VLOOKUP('Newton-Miller_RAW'!E78,'Newton-Miller_Convert'!$I$1:$J$6,2,FALSE)</f>
        <v>0.1</v>
      </c>
      <c r="F78">
        <f t="shared" si="2"/>
        <v>0.1</v>
      </c>
      <c r="G78">
        <f t="shared" si="3"/>
        <v>0.15</v>
      </c>
      <c r="L78" s="8">
        <v>149</v>
      </c>
    </row>
    <row r="79" spans="1:12" x14ac:dyDescent="0.3">
      <c r="A79">
        <v>78</v>
      </c>
      <c r="B79">
        <f>'Newton-Miller_RAW'!B79</f>
        <v>200</v>
      </c>
      <c r="C79">
        <f>'Newton-Miller_RAW'!C79</f>
        <v>250</v>
      </c>
      <c r="D79">
        <f>VLOOKUP('Newton-Miller_RAW'!D79,'Newton-Miller_Convert'!$I$1:$J$6,2,FALSE)</f>
        <v>0.75</v>
      </c>
      <c r="E79">
        <f>VLOOKUP('Newton-Miller_RAW'!E79,'Newton-Miller_Convert'!$I$1:$J$6,2,FALSE)</f>
        <v>0.1</v>
      </c>
      <c r="F79">
        <f t="shared" si="2"/>
        <v>0.1</v>
      </c>
      <c r="G79">
        <f t="shared" si="3"/>
        <v>0.65</v>
      </c>
      <c r="L79" s="8">
        <v>150</v>
      </c>
    </row>
    <row r="80" spans="1:12" x14ac:dyDescent="0.3">
      <c r="A80">
        <v>79</v>
      </c>
      <c r="B80">
        <f>'Newton-Miller_RAW'!B80</f>
        <v>170</v>
      </c>
      <c r="C80">
        <f>'Newton-Miller_RAW'!C80</f>
        <v>174</v>
      </c>
      <c r="D80">
        <f>VLOOKUP('Newton-Miller_RAW'!D80,'Newton-Miller_Convert'!$I$1:$J$6,2,FALSE)</f>
        <v>0.25</v>
      </c>
      <c r="E80">
        <f>VLOOKUP('Newton-Miller_RAW'!E80,'Newton-Miller_Convert'!$I$1:$J$6,2,FALSE)</f>
        <v>0.25</v>
      </c>
      <c r="F80">
        <f t="shared" si="2"/>
        <v>0.25</v>
      </c>
      <c r="G80">
        <f t="shared" si="3"/>
        <v>0</v>
      </c>
      <c r="L80" s="8">
        <v>154</v>
      </c>
    </row>
    <row r="81" spans="1:12" x14ac:dyDescent="0.3">
      <c r="A81">
        <v>80</v>
      </c>
      <c r="B81">
        <f>'Newton-Miller_RAW'!B81</f>
        <v>399</v>
      </c>
      <c r="C81">
        <f>'Newton-Miller_RAW'!C81</f>
        <v>420</v>
      </c>
      <c r="D81">
        <f>VLOOKUP('Newton-Miller_RAW'!D81,'Newton-Miller_Convert'!$I$1:$J$6,2,FALSE)</f>
        <v>0.75</v>
      </c>
      <c r="E81">
        <f>VLOOKUP('Newton-Miller_RAW'!E81,'Newton-Miller_Convert'!$I$1:$J$6,2,FALSE)</f>
        <v>0.25</v>
      </c>
      <c r="F81">
        <f t="shared" si="2"/>
        <v>0.25</v>
      </c>
      <c r="G81">
        <f t="shared" si="3"/>
        <v>0.5</v>
      </c>
      <c r="L81" s="8">
        <v>155</v>
      </c>
    </row>
    <row r="82" spans="1:12" x14ac:dyDescent="0.3">
      <c r="A82">
        <v>81</v>
      </c>
      <c r="B82">
        <f>'Newton-Miller_RAW'!B82</f>
        <v>200</v>
      </c>
      <c r="C82">
        <f>'Newton-Miller_RAW'!C82</f>
        <v>250</v>
      </c>
      <c r="D82">
        <f>VLOOKUP('Newton-Miller_RAW'!D82,'Newton-Miller_Convert'!$I$1:$J$6,2,FALSE)</f>
        <v>0.75</v>
      </c>
      <c r="E82">
        <f>VLOOKUP('Newton-Miller_RAW'!E82,'Newton-Miller_Convert'!$I$1:$J$6,2,FALSE)</f>
        <v>0.75</v>
      </c>
      <c r="F82">
        <f t="shared" si="2"/>
        <v>0.75</v>
      </c>
      <c r="G82">
        <f t="shared" si="3"/>
        <v>0</v>
      </c>
      <c r="L82" s="8">
        <v>159</v>
      </c>
    </row>
    <row r="83" spans="1:12" x14ac:dyDescent="0.3">
      <c r="A83">
        <v>82</v>
      </c>
      <c r="B83">
        <f>'Newton-Miller_RAW'!B83</f>
        <v>150</v>
      </c>
      <c r="C83">
        <f>'Newton-Miller_RAW'!C83</f>
        <v>160</v>
      </c>
      <c r="D83">
        <f>VLOOKUP('Newton-Miller_RAW'!D83,'Newton-Miller_Convert'!$I$1:$J$6,2,FALSE)</f>
        <v>0.25</v>
      </c>
      <c r="E83">
        <f>VLOOKUP('Newton-Miller_RAW'!E83,'Newton-Miller_Convert'!$I$1:$J$6,2,FALSE)</f>
        <v>0.25</v>
      </c>
      <c r="F83">
        <f t="shared" si="2"/>
        <v>0.25</v>
      </c>
      <c r="G83">
        <f t="shared" si="3"/>
        <v>0</v>
      </c>
      <c r="L83" s="8">
        <v>160</v>
      </c>
    </row>
    <row r="84" spans="1:12" x14ac:dyDescent="0.3">
      <c r="A84">
        <v>83</v>
      </c>
      <c r="B84">
        <f>'Newton-Miller_RAW'!B84</f>
        <v>300</v>
      </c>
      <c r="C84">
        <f>'Newton-Miller_RAW'!C84</f>
        <v>350</v>
      </c>
      <c r="D84">
        <f>VLOOKUP('Newton-Miller_RAW'!D84,'Newton-Miller_Convert'!$I$1:$J$6,2,FALSE)</f>
        <v>0.25</v>
      </c>
      <c r="E84">
        <f>VLOOKUP('Newton-Miller_RAW'!E84,'Newton-Miller_Convert'!$I$1:$J$6,2,FALSE)</f>
        <v>0</v>
      </c>
      <c r="F84">
        <f t="shared" si="2"/>
        <v>0</v>
      </c>
      <c r="G84">
        <f t="shared" si="3"/>
        <v>0.25</v>
      </c>
      <c r="L84" s="8">
        <v>165</v>
      </c>
    </row>
    <row r="85" spans="1:12" x14ac:dyDescent="0.3">
      <c r="A85">
        <v>84</v>
      </c>
      <c r="B85">
        <f>'Newton-Miller_RAW'!B85</f>
        <v>140</v>
      </c>
      <c r="C85">
        <f>'Newton-Miller_RAW'!C85</f>
        <v>180</v>
      </c>
      <c r="D85">
        <f>VLOOKUP('Newton-Miller_RAW'!D85,'Newton-Miller_Convert'!$I$1:$J$6,2,FALSE)</f>
        <v>0.75</v>
      </c>
      <c r="E85">
        <f>VLOOKUP('Newton-Miller_RAW'!E85,'Newton-Miller_Convert'!$I$1:$J$6,2,FALSE)</f>
        <v>0.25</v>
      </c>
      <c r="F85">
        <f t="shared" si="2"/>
        <v>0.25</v>
      </c>
      <c r="G85">
        <f t="shared" si="3"/>
        <v>0.5</v>
      </c>
      <c r="L85" s="8">
        <v>170</v>
      </c>
    </row>
    <row r="86" spans="1:12" x14ac:dyDescent="0.3">
      <c r="A86">
        <v>85</v>
      </c>
      <c r="B86">
        <f>'Newton-Miller_RAW'!B86</f>
        <v>190</v>
      </c>
      <c r="C86">
        <f>'Newton-Miller_RAW'!C86</f>
        <v>200</v>
      </c>
      <c r="D86">
        <f>VLOOKUP('Newton-Miller_RAW'!D86,'Newton-Miller_Convert'!$I$1:$J$6,2,FALSE)</f>
        <v>0.25</v>
      </c>
      <c r="E86">
        <f>VLOOKUP('Newton-Miller_RAW'!E86,'Newton-Miller_Convert'!$I$1:$J$6,2,FALSE)</f>
        <v>0.25</v>
      </c>
      <c r="F86">
        <f t="shared" si="2"/>
        <v>0.25</v>
      </c>
      <c r="G86">
        <f t="shared" si="3"/>
        <v>0</v>
      </c>
      <c r="L86" s="8">
        <v>171</v>
      </c>
    </row>
    <row r="87" spans="1:12" x14ac:dyDescent="0.3">
      <c r="A87">
        <v>86</v>
      </c>
      <c r="B87">
        <f>'Newton-Miller_RAW'!B87</f>
        <v>150</v>
      </c>
      <c r="C87">
        <f>'Newton-Miller_RAW'!C87</f>
        <v>200</v>
      </c>
      <c r="D87">
        <f>VLOOKUP('Newton-Miller_RAW'!D87,'Newton-Miller_Convert'!$I$1:$J$6,2,FALSE)</f>
        <v>0.25</v>
      </c>
      <c r="E87">
        <f>VLOOKUP('Newton-Miller_RAW'!E87,'Newton-Miller_Convert'!$I$1:$J$6,2,FALSE)</f>
        <v>0.1</v>
      </c>
      <c r="F87">
        <f t="shared" si="2"/>
        <v>0.1</v>
      </c>
      <c r="G87">
        <f t="shared" si="3"/>
        <v>0.15</v>
      </c>
      <c r="L87" s="8">
        <v>174</v>
      </c>
    </row>
    <row r="88" spans="1:12" x14ac:dyDescent="0.3">
      <c r="A88">
        <v>87</v>
      </c>
      <c r="B88">
        <f>'Newton-Miller_RAW'!B88</f>
        <v>200</v>
      </c>
      <c r="C88">
        <f>'Newton-Miller_RAW'!C88</f>
        <v>250</v>
      </c>
      <c r="D88">
        <f>VLOOKUP('Newton-Miller_RAW'!D88,'Newton-Miller_Convert'!$I$1:$J$6,2,FALSE)</f>
        <v>0.25</v>
      </c>
      <c r="E88">
        <f>VLOOKUP('Newton-Miller_RAW'!E88,'Newton-Miller_Convert'!$I$1:$J$6,2,FALSE)</f>
        <v>0.1</v>
      </c>
      <c r="F88">
        <f t="shared" si="2"/>
        <v>0.1</v>
      </c>
      <c r="G88">
        <f t="shared" si="3"/>
        <v>0.15</v>
      </c>
      <c r="L88" s="8">
        <v>175</v>
      </c>
    </row>
    <row r="89" spans="1:12" x14ac:dyDescent="0.3">
      <c r="A89">
        <v>88</v>
      </c>
      <c r="B89">
        <f>'Newton-Miller_RAW'!B89</f>
        <v>100</v>
      </c>
      <c r="C89">
        <f>'Newton-Miller_RAW'!C89</f>
        <v>150</v>
      </c>
      <c r="D89">
        <f>VLOOKUP('Newton-Miller_RAW'!D89,'Newton-Miller_Convert'!$I$1:$J$6,2,FALSE)</f>
        <v>0.75</v>
      </c>
      <c r="E89">
        <f>VLOOKUP('Newton-Miller_RAW'!E89,'Newton-Miller_Convert'!$I$1:$J$6,2,FALSE)</f>
        <v>0.75</v>
      </c>
      <c r="F89">
        <f t="shared" si="2"/>
        <v>0.75</v>
      </c>
      <c r="G89">
        <f t="shared" si="3"/>
        <v>0</v>
      </c>
      <c r="L89" s="8">
        <v>180</v>
      </c>
    </row>
    <row r="90" spans="1:12" x14ac:dyDescent="0.3">
      <c r="A90">
        <v>89</v>
      </c>
      <c r="B90">
        <f>'Newton-Miller_RAW'!B90</f>
        <v>300</v>
      </c>
      <c r="C90">
        <f>'Newton-Miller_RAW'!C90</f>
        <v>350</v>
      </c>
      <c r="D90">
        <f>VLOOKUP('Newton-Miller_RAW'!D90,'Newton-Miller_Convert'!$I$1:$J$6,2,FALSE)</f>
        <v>0.75</v>
      </c>
      <c r="E90">
        <f>VLOOKUP('Newton-Miller_RAW'!E90,'Newton-Miller_Convert'!$I$1:$J$6,2,FALSE)</f>
        <v>0.75</v>
      </c>
      <c r="F90">
        <f t="shared" si="2"/>
        <v>0.75</v>
      </c>
      <c r="G90">
        <f t="shared" si="3"/>
        <v>0</v>
      </c>
      <c r="L90" s="8">
        <v>185</v>
      </c>
    </row>
    <row r="91" spans="1:12" x14ac:dyDescent="0.3">
      <c r="A91">
        <v>90</v>
      </c>
      <c r="B91">
        <f>'Newton-Miller_RAW'!B91</f>
        <v>100</v>
      </c>
      <c r="C91">
        <f>'Newton-Miller_RAW'!C91</f>
        <v>150</v>
      </c>
      <c r="D91">
        <f>VLOOKUP('Newton-Miller_RAW'!D91,'Newton-Miller_Convert'!$I$1:$J$6,2,FALSE)</f>
        <v>0.75</v>
      </c>
      <c r="E91">
        <f>VLOOKUP('Newton-Miller_RAW'!E91,'Newton-Miller_Convert'!$I$1:$J$6,2,FALSE)</f>
        <v>0.1</v>
      </c>
      <c r="F91">
        <f t="shared" si="2"/>
        <v>0.1</v>
      </c>
      <c r="G91">
        <f t="shared" si="3"/>
        <v>0.65</v>
      </c>
      <c r="L91" s="8">
        <v>188</v>
      </c>
    </row>
    <row r="92" spans="1:12" x14ac:dyDescent="0.3">
      <c r="A92">
        <v>91</v>
      </c>
      <c r="B92">
        <f>'Newton-Miller_RAW'!B92</f>
        <v>200</v>
      </c>
      <c r="C92">
        <f>'Newton-Miller_RAW'!C92</f>
        <v>230</v>
      </c>
      <c r="D92">
        <f>VLOOKUP('Newton-Miller_RAW'!D92,'Newton-Miller_Convert'!$I$1:$J$6,2,FALSE)</f>
        <v>0.75</v>
      </c>
      <c r="E92">
        <f>VLOOKUP('Newton-Miller_RAW'!E92,'Newton-Miller_Convert'!$I$1:$J$6,2,FALSE)</f>
        <v>0.1</v>
      </c>
      <c r="F92">
        <f t="shared" si="2"/>
        <v>0.1</v>
      </c>
      <c r="G92">
        <f t="shared" si="3"/>
        <v>0.65</v>
      </c>
      <c r="L92" s="8">
        <v>189</v>
      </c>
    </row>
    <row r="93" spans="1:12" x14ac:dyDescent="0.3">
      <c r="A93">
        <v>92</v>
      </c>
      <c r="B93">
        <f>'Newton-Miller_RAW'!B93</f>
        <v>300</v>
      </c>
      <c r="C93">
        <f>'Newton-Miller_RAW'!C93</f>
        <v>500</v>
      </c>
      <c r="D93">
        <f>VLOOKUP('Newton-Miller_RAW'!D93,'Newton-Miller_Convert'!$I$1:$J$6,2,FALSE)</f>
        <v>0.25</v>
      </c>
      <c r="E93">
        <f>VLOOKUP('Newton-Miller_RAW'!E93,'Newton-Miller_Convert'!$I$1:$J$6,2,FALSE)</f>
        <v>0.25</v>
      </c>
      <c r="F93">
        <f t="shared" si="2"/>
        <v>0.25</v>
      </c>
      <c r="G93">
        <f t="shared" si="3"/>
        <v>0</v>
      </c>
      <c r="L93" s="8">
        <v>190</v>
      </c>
    </row>
    <row r="94" spans="1:12" x14ac:dyDescent="0.3">
      <c r="A94">
        <v>93</v>
      </c>
      <c r="B94">
        <f>'Newton-Miller_RAW'!B94</f>
        <v>300</v>
      </c>
      <c r="C94">
        <f>'Newton-Miller_RAW'!C94</f>
        <v>400</v>
      </c>
      <c r="D94">
        <f>VLOOKUP('Newton-Miller_RAW'!D94,'Newton-Miller_Convert'!$I$1:$J$6,2,FALSE)</f>
        <v>0.75</v>
      </c>
      <c r="E94">
        <f>VLOOKUP('Newton-Miller_RAW'!E94,'Newton-Miller_Convert'!$I$1:$J$6,2,FALSE)</f>
        <v>0.25</v>
      </c>
      <c r="F94">
        <f t="shared" si="2"/>
        <v>0.25</v>
      </c>
      <c r="G94">
        <f t="shared" si="3"/>
        <v>0.5</v>
      </c>
      <c r="L94" s="8">
        <v>194</v>
      </c>
    </row>
    <row r="95" spans="1:12" x14ac:dyDescent="0.3">
      <c r="A95">
        <v>94</v>
      </c>
      <c r="B95">
        <f>'Newton-Miller_RAW'!B95</f>
        <v>200</v>
      </c>
      <c r="C95">
        <f>'Newton-Miller_RAW'!C95</f>
        <v>250</v>
      </c>
      <c r="D95">
        <f>VLOOKUP('Newton-Miller_RAW'!D95,'Newton-Miller_Convert'!$I$1:$J$6,2,FALSE)</f>
        <v>0.75</v>
      </c>
      <c r="E95">
        <f>VLOOKUP('Newton-Miller_RAW'!E95,'Newton-Miller_Convert'!$I$1:$J$6,2,FALSE)</f>
        <v>0.25</v>
      </c>
      <c r="F95">
        <f t="shared" si="2"/>
        <v>0.25</v>
      </c>
      <c r="G95">
        <f t="shared" si="3"/>
        <v>0.5</v>
      </c>
      <c r="L95" s="8">
        <v>195</v>
      </c>
    </row>
    <row r="96" spans="1:12" x14ac:dyDescent="0.3">
      <c r="A96">
        <v>95</v>
      </c>
      <c r="B96">
        <f>'Newton-Miller_RAW'!B96</f>
        <v>280</v>
      </c>
      <c r="C96">
        <f>'Newton-Miller_RAW'!C96</f>
        <v>380</v>
      </c>
      <c r="D96">
        <f>VLOOKUP('Newton-Miller_RAW'!D96,'Newton-Miller_Convert'!$I$1:$J$6,2,FALSE)</f>
        <v>0.75</v>
      </c>
      <c r="E96">
        <f>VLOOKUP('Newton-Miller_RAW'!E96,'Newton-Miller_Convert'!$I$1:$J$6,2,FALSE)</f>
        <v>0.25</v>
      </c>
      <c r="F96">
        <f t="shared" si="2"/>
        <v>0.25</v>
      </c>
      <c r="G96">
        <f t="shared" si="3"/>
        <v>0.5</v>
      </c>
      <c r="L96" s="8">
        <v>197</v>
      </c>
    </row>
    <row r="97" spans="1:12" x14ac:dyDescent="0.3">
      <c r="A97">
        <v>96</v>
      </c>
      <c r="B97">
        <f>'Newton-Miller_RAW'!B97</f>
        <v>150</v>
      </c>
      <c r="C97">
        <f>'Newton-Miller_RAW'!C97</f>
        <v>200</v>
      </c>
      <c r="D97">
        <f>VLOOKUP('Newton-Miller_RAW'!D97,'Newton-Miller_Convert'!$I$1:$J$6,2,FALSE)</f>
        <v>0.75</v>
      </c>
      <c r="E97">
        <f>VLOOKUP('Newton-Miller_RAW'!E97,'Newton-Miller_Convert'!$I$1:$J$6,2,FALSE)</f>
        <v>0.25</v>
      </c>
      <c r="F97">
        <f t="shared" si="2"/>
        <v>0.25</v>
      </c>
      <c r="G97">
        <f t="shared" si="3"/>
        <v>0.5</v>
      </c>
      <c r="L97" s="8">
        <v>198</v>
      </c>
    </row>
    <row r="98" spans="1:12" x14ac:dyDescent="0.3">
      <c r="A98">
        <v>97</v>
      </c>
      <c r="B98">
        <f>'Newton-Miller_RAW'!B98</f>
        <v>50</v>
      </c>
      <c r="C98">
        <f>'Newton-Miller_RAW'!C98</f>
        <v>200</v>
      </c>
      <c r="D98">
        <f>VLOOKUP('Newton-Miller_RAW'!D98,'Newton-Miller_Convert'!$I$1:$J$6,2,FALSE)</f>
        <v>0.25</v>
      </c>
      <c r="E98">
        <f>VLOOKUP('Newton-Miller_RAW'!E98,'Newton-Miller_Convert'!$I$1:$J$6,2,FALSE)</f>
        <v>0.25</v>
      </c>
      <c r="F98">
        <f t="shared" si="2"/>
        <v>0.25</v>
      </c>
      <c r="G98">
        <f t="shared" si="3"/>
        <v>0</v>
      </c>
      <c r="L98" s="8">
        <v>199</v>
      </c>
    </row>
    <row r="99" spans="1:12" x14ac:dyDescent="0.3">
      <c r="A99">
        <v>98</v>
      </c>
      <c r="B99">
        <f>'Newton-Miller_RAW'!B99</f>
        <v>100</v>
      </c>
      <c r="C99">
        <f>'Newton-Miller_RAW'!C99</f>
        <v>120</v>
      </c>
      <c r="D99">
        <f>VLOOKUP('Newton-Miller_RAW'!D99,'Newton-Miller_Convert'!$I$1:$J$6,2,FALSE)</f>
        <v>0.75</v>
      </c>
      <c r="E99">
        <f>VLOOKUP('Newton-Miller_RAW'!E99,'Newton-Miller_Convert'!$I$1:$J$6,2,FALSE)</f>
        <v>0.25</v>
      </c>
      <c r="F99">
        <f t="shared" si="2"/>
        <v>0.25</v>
      </c>
      <c r="G99">
        <f t="shared" si="3"/>
        <v>0.5</v>
      </c>
      <c r="L99" s="8">
        <v>200</v>
      </c>
    </row>
    <row r="100" spans="1:12" x14ac:dyDescent="0.3">
      <c r="A100">
        <v>99</v>
      </c>
      <c r="B100">
        <f>'Newton-Miller_RAW'!B100</f>
        <v>250</v>
      </c>
      <c r="C100">
        <f>'Newton-Miller_RAW'!C100</f>
        <v>300</v>
      </c>
      <c r="D100">
        <f>VLOOKUP('Newton-Miller_RAW'!D100,'Newton-Miller_Convert'!$I$1:$J$6,2,FALSE)</f>
        <v>0.25</v>
      </c>
      <c r="E100">
        <f>VLOOKUP('Newton-Miller_RAW'!E100,'Newton-Miller_Convert'!$I$1:$J$6,2,FALSE)</f>
        <v>0</v>
      </c>
      <c r="F100">
        <f t="shared" si="2"/>
        <v>0</v>
      </c>
      <c r="G100">
        <f t="shared" si="3"/>
        <v>0.25</v>
      </c>
      <c r="L100" s="8">
        <v>205</v>
      </c>
    </row>
    <row r="101" spans="1:12" x14ac:dyDescent="0.3">
      <c r="A101">
        <v>100</v>
      </c>
      <c r="B101">
        <f>'Newton-Miller_RAW'!B101</f>
        <v>250</v>
      </c>
      <c r="C101">
        <f>'Newton-Miller_RAW'!C101</f>
        <v>280</v>
      </c>
      <c r="D101">
        <f>VLOOKUP('Newton-Miller_RAW'!D101,'Newton-Miller_Convert'!$I$1:$J$6,2,FALSE)</f>
        <v>0.1</v>
      </c>
      <c r="E101">
        <f>VLOOKUP('Newton-Miller_RAW'!E101,'Newton-Miller_Convert'!$I$1:$J$6,2,FALSE)</f>
        <v>0.1</v>
      </c>
      <c r="F101">
        <f t="shared" si="2"/>
        <v>0.1</v>
      </c>
      <c r="G101">
        <f t="shared" si="3"/>
        <v>0</v>
      </c>
      <c r="L101" s="8">
        <v>209</v>
      </c>
    </row>
    <row r="102" spans="1:12" x14ac:dyDescent="0.3">
      <c r="A102">
        <v>101</v>
      </c>
      <c r="B102">
        <f>'Newton-Miller_RAW'!B102</f>
        <v>199</v>
      </c>
      <c r="C102">
        <f>'Newton-Miller_RAW'!C102</f>
        <v>250</v>
      </c>
      <c r="D102">
        <f>VLOOKUP('Newton-Miller_RAW'!D102,'Newton-Miller_Convert'!$I$1:$J$6,2,FALSE)</f>
        <v>0.75</v>
      </c>
      <c r="E102">
        <f>VLOOKUP('Newton-Miller_RAW'!E102,'Newton-Miller_Convert'!$I$1:$J$6,2,FALSE)</f>
        <v>0.25</v>
      </c>
      <c r="F102">
        <f t="shared" si="2"/>
        <v>0.25</v>
      </c>
      <c r="G102">
        <f t="shared" si="3"/>
        <v>0.5</v>
      </c>
      <c r="L102" s="8">
        <v>210</v>
      </c>
    </row>
    <row r="103" spans="1:12" x14ac:dyDescent="0.3">
      <c r="A103">
        <v>102</v>
      </c>
      <c r="B103">
        <f>'Newton-Miller_RAW'!B103</f>
        <v>150</v>
      </c>
      <c r="C103">
        <f>'Newton-Miller_RAW'!C103</f>
        <v>250</v>
      </c>
      <c r="D103">
        <f>VLOOKUP('Newton-Miller_RAW'!D103,'Newton-Miller_Convert'!$I$1:$J$6,2,FALSE)</f>
        <v>0.25</v>
      </c>
      <c r="E103">
        <f>VLOOKUP('Newton-Miller_RAW'!E103,'Newton-Miller_Convert'!$I$1:$J$6,2,FALSE)</f>
        <v>0.1</v>
      </c>
      <c r="F103">
        <f t="shared" si="2"/>
        <v>0.1</v>
      </c>
      <c r="G103">
        <f t="shared" si="3"/>
        <v>0.15</v>
      </c>
      <c r="L103" s="8">
        <v>215</v>
      </c>
    </row>
    <row r="104" spans="1:12" x14ac:dyDescent="0.3">
      <c r="A104">
        <v>103</v>
      </c>
      <c r="B104">
        <f>'Newton-Miller_RAW'!B104</f>
        <v>200</v>
      </c>
      <c r="C104">
        <f>'Newton-Miller_RAW'!C104</f>
        <v>400</v>
      </c>
      <c r="D104">
        <f>VLOOKUP('Newton-Miller_RAW'!D104,'Newton-Miller_Convert'!$I$1:$J$6,2,FALSE)</f>
        <v>0.75</v>
      </c>
      <c r="E104">
        <f>VLOOKUP('Newton-Miller_RAW'!E104,'Newton-Miller_Convert'!$I$1:$J$6,2,FALSE)</f>
        <v>0.1</v>
      </c>
      <c r="F104">
        <f t="shared" si="2"/>
        <v>0.1</v>
      </c>
      <c r="G104">
        <f t="shared" si="3"/>
        <v>0.65</v>
      </c>
      <c r="L104" s="8">
        <v>219</v>
      </c>
    </row>
    <row r="105" spans="1:12" x14ac:dyDescent="0.3">
      <c r="A105">
        <v>104</v>
      </c>
      <c r="B105">
        <f>'Newton-Miller_RAW'!B105</f>
        <v>100</v>
      </c>
      <c r="C105">
        <f>'Newton-Miller_RAW'!C105</f>
        <v>130</v>
      </c>
      <c r="D105">
        <f>VLOOKUP('Newton-Miller_RAW'!D105,'Newton-Miller_Convert'!$I$1:$J$6,2,FALSE)</f>
        <v>0.25</v>
      </c>
      <c r="E105">
        <f>VLOOKUP('Newton-Miller_RAW'!E105,'Newton-Miller_Convert'!$I$1:$J$6,2,FALSE)</f>
        <v>0.25</v>
      </c>
      <c r="F105">
        <f t="shared" si="2"/>
        <v>0.25</v>
      </c>
      <c r="G105">
        <f t="shared" si="3"/>
        <v>0</v>
      </c>
      <c r="L105" s="8">
        <v>220</v>
      </c>
    </row>
    <row r="106" spans="1:12" x14ac:dyDescent="0.3">
      <c r="A106">
        <v>105</v>
      </c>
      <c r="B106">
        <f>'Newton-Miller_RAW'!B106</f>
        <v>150</v>
      </c>
      <c r="C106">
        <f>'Newton-Miller_RAW'!C106</f>
        <v>198</v>
      </c>
      <c r="D106">
        <f>VLOOKUP('Newton-Miller_RAW'!D106,'Newton-Miller_Convert'!$I$1:$J$6,2,FALSE)</f>
        <v>0.75</v>
      </c>
      <c r="E106">
        <f>VLOOKUP('Newton-Miller_RAW'!E106,'Newton-Miller_Convert'!$I$1:$J$6,2,FALSE)</f>
        <v>0.25</v>
      </c>
      <c r="F106">
        <f t="shared" si="2"/>
        <v>0.25</v>
      </c>
      <c r="G106">
        <f t="shared" si="3"/>
        <v>0.5</v>
      </c>
      <c r="L106" s="8">
        <v>221</v>
      </c>
    </row>
    <row r="107" spans="1:12" x14ac:dyDescent="0.3">
      <c r="A107">
        <v>106</v>
      </c>
      <c r="B107">
        <f>'Newton-Miller_RAW'!B107</f>
        <v>250</v>
      </c>
      <c r="C107">
        <f>'Newton-Miller_RAW'!C107</f>
        <v>280</v>
      </c>
      <c r="D107">
        <f>VLOOKUP('Newton-Miller_RAW'!D107,'Newton-Miller_Convert'!$I$1:$J$6,2,FALSE)</f>
        <v>0.75</v>
      </c>
      <c r="E107">
        <f>VLOOKUP('Newton-Miller_RAW'!E107,'Newton-Miller_Convert'!$I$1:$J$6,2,FALSE)</f>
        <v>0.1</v>
      </c>
      <c r="F107">
        <f t="shared" si="2"/>
        <v>0.1</v>
      </c>
      <c r="G107">
        <f t="shared" si="3"/>
        <v>0.65</v>
      </c>
      <c r="L107" s="8">
        <v>225</v>
      </c>
    </row>
    <row r="108" spans="1:12" x14ac:dyDescent="0.3">
      <c r="A108">
        <v>107</v>
      </c>
      <c r="B108">
        <f>'Newton-Miller_RAW'!B108</f>
        <v>120</v>
      </c>
      <c r="C108">
        <f>'Newton-Miller_RAW'!C108</f>
        <v>180</v>
      </c>
      <c r="D108">
        <f>VLOOKUP('Newton-Miller_RAW'!D108,'Newton-Miller_Convert'!$I$1:$J$6,2,FALSE)</f>
        <v>0.25</v>
      </c>
      <c r="E108">
        <f>VLOOKUP('Newton-Miller_RAW'!E108,'Newton-Miller_Convert'!$I$1:$J$6,2,FALSE)</f>
        <v>0.25</v>
      </c>
      <c r="F108">
        <f t="shared" si="2"/>
        <v>0.25</v>
      </c>
      <c r="G108">
        <f t="shared" si="3"/>
        <v>0</v>
      </c>
      <c r="L108" s="8">
        <v>229</v>
      </c>
    </row>
    <row r="109" spans="1:12" x14ac:dyDescent="0.3">
      <c r="A109">
        <v>108</v>
      </c>
      <c r="B109">
        <f>'Newton-Miller_RAW'!B109</f>
        <v>200</v>
      </c>
      <c r="C109">
        <f>'Newton-Miller_RAW'!C109</f>
        <v>230</v>
      </c>
      <c r="D109">
        <f>VLOOKUP('Newton-Miller_RAW'!D109,'Newton-Miller_Convert'!$I$1:$J$6,2,FALSE)</f>
        <v>0.75</v>
      </c>
      <c r="E109">
        <f>VLOOKUP('Newton-Miller_RAW'!E109,'Newton-Miller_Convert'!$I$1:$J$6,2,FALSE)</f>
        <v>0.75</v>
      </c>
      <c r="F109">
        <f t="shared" si="2"/>
        <v>0.75</v>
      </c>
      <c r="G109">
        <f t="shared" si="3"/>
        <v>0</v>
      </c>
      <c r="L109" s="8">
        <v>230</v>
      </c>
    </row>
    <row r="110" spans="1:12" x14ac:dyDescent="0.3">
      <c r="A110">
        <v>109</v>
      </c>
      <c r="B110">
        <f>'Newton-Miller_RAW'!B110</f>
        <v>150</v>
      </c>
      <c r="C110">
        <f>'Newton-Miller_RAW'!C110</f>
        <v>200</v>
      </c>
      <c r="D110">
        <f>VLOOKUP('Newton-Miller_RAW'!D110,'Newton-Miller_Convert'!$I$1:$J$6,2,FALSE)</f>
        <v>0.25</v>
      </c>
      <c r="E110">
        <f>VLOOKUP('Newton-Miller_RAW'!E110,'Newton-Miller_Convert'!$I$1:$J$6,2,FALSE)</f>
        <v>0.1</v>
      </c>
      <c r="F110">
        <f t="shared" si="2"/>
        <v>0.1</v>
      </c>
      <c r="G110">
        <f t="shared" si="3"/>
        <v>0.15</v>
      </c>
      <c r="L110" s="8">
        <v>237</v>
      </c>
    </row>
    <row r="111" spans="1:12" x14ac:dyDescent="0.3">
      <c r="A111">
        <v>110</v>
      </c>
      <c r="B111">
        <f>'Newton-Miller_RAW'!B111</f>
        <v>200</v>
      </c>
      <c r="C111">
        <f>'Newton-Miller_RAW'!C111</f>
        <v>240</v>
      </c>
      <c r="D111">
        <f>VLOOKUP('Newton-Miller_RAW'!D111,'Newton-Miller_Convert'!$I$1:$J$6,2,FALSE)</f>
        <v>0.75</v>
      </c>
      <c r="E111">
        <f>VLOOKUP('Newton-Miller_RAW'!E111,'Newton-Miller_Convert'!$I$1:$J$6,2,FALSE)</f>
        <v>0.25</v>
      </c>
      <c r="F111">
        <f t="shared" si="2"/>
        <v>0.25</v>
      </c>
      <c r="G111">
        <f t="shared" si="3"/>
        <v>0.5</v>
      </c>
      <c r="L111" s="8">
        <v>238</v>
      </c>
    </row>
    <row r="112" spans="1:12" x14ac:dyDescent="0.3">
      <c r="A112">
        <v>111</v>
      </c>
      <c r="B112">
        <f>'Newton-Miller_RAW'!B112</f>
        <v>250</v>
      </c>
      <c r="C112">
        <f>'Newton-Miller_RAW'!C112</f>
        <v>300</v>
      </c>
      <c r="D112">
        <f>VLOOKUP('Newton-Miller_RAW'!D112,'Newton-Miller_Convert'!$I$1:$J$6,2,FALSE)</f>
        <v>0.75</v>
      </c>
      <c r="E112">
        <f>VLOOKUP('Newton-Miller_RAW'!E112,'Newton-Miller_Convert'!$I$1:$J$6,2,FALSE)</f>
        <v>0.25</v>
      </c>
      <c r="F112">
        <f t="shared" si="2"/>
        <v>0.25</v>
      </c>
      <c r="G112">
        <f t="shared" si="3"/>
        <v>0.5</v>
      </c>
      <c r="L112" s="8">
        <v>239</v>
      </c>
    </row>
    <row r="113" spans="1:12" x14ac:dyDescent="0.3">
      <c r="A113">
        <v>112</v>
      </c>
      <c r="B113">
        <f>'Newton-Miller_RAW'!B113</f>
        <v>250</v>
      </c>
      <c r="C113">
        <f>'Newton-Miller_RAW'!C113</f>
        <v>300</v>
      </c>
      <c r="D113">
        <f>VLOOKUP('Newton-Miller_RAW'!D113,'Newton-Miller_Convert'!$I$1:$J$6,2,FALSE)</f>
        <v>0.75</v>
      </c>
      <c r="E113">
        <f>VLOOKUP('Newton-Miller_RAW'!E113,'Newton-Miller_Convert'!$I$1:$J$6,2,FALSE)</f>
        <v>0.25</v>
      </c>
      <c r="F113">
        <f t="shared" si="2"/>
        <v>0.25</v>
      </c>
      <c r="G113">
        <f t="shared" si="3"/>
        <v>0.5</v>
      </c>
      <c r="L113" s="8">
        <v>240</v>
      </c>
    </row>
    <row r="114" spans="1:12" x14ac:dyDescent="0.3">
      <c r="A114">
        <v>113</v>
      </c>
      <c r="B114">
        <f>'Newton-Miller_RAW'!B114</f>
        <v>115</v>
      </c>
      <c r="C114">
        <f>'Newton-Miller_RAW'!C114</f>
        <v>130</v>
      </c>
      <c r="D114">
        <f>VLOOKUP('Newton-Miller_RAW'!D114,'Newton-Miller_Convert'!$I$1:$J$6,2,FALSE)</f>
        <v>0.75</v>
      </c>
      <c r="E114">
        <f>VLOOKUP('Newton-Miller_RAW'!E114,'Newton-Miller_Convert'!$I$1:$J$6,2,FALSE)</f>
        <v>0.25</v>
      </c>
      <c r="F114">
        <f t="shared" si="2"/>
        <v>0.25</v>
      </c>
      <c r="G114">
        <f t="shared" si="3"/>
        <v>0.5</v>
      </c>
      <c r="L114" s="8">
        <v>244</v>
      </c>
    </row>
    <row r="115" spans="1:12" x14ac:dyDescent="0.3">
      <c r="A115">
        <v>114</v>
      </c>
      <c r="B115">
        <f>'Newton-Miller_RAW'!B115</f>
        <v>200</v>
      </c>
      <c r="C115">
        <f>'Newton-Miller_RAW'!C115</f>
        <v>250</v>
      </c>
      <c r="D115">
        <f>VLOOKUP('Newton-Miller_RAW'!D115,'Newton-Miller_Convert'!$I$1:$J$6,2,FALSE)</f>
        <v>0.25</v>
      </c>
      <c r="E115">
        <f>VLOOKUP('Newton-Miller_RAW'!E115,'Newton-Miller_Convert'!$I$1:$J$6,2,FALSE)</f>
        <v>0.1</v>
      </c>
      <c r="F115">
        <f t="shared" si="2"/>
        <v>0.1</v>
      </c>
      <c r="G115">
        <f t="shared" si="3"/>
        <v>0.15</v>
      </c>
      <c r="L115" s="8">
        <v>245</v>
      </c>
    </row>
    <row r="116" spans="1:12" x14ac:dyDescent="0.3">
      <c r="A116">
        <v>115</v>
      </c>
      <c r="B116">
        <f>'Newton-Miller_RAW'!B116</f>
        <v>21</v>
      </c>
      <c r="C116">
        <f>'Newton-Miller_RAW'!C116</f>
        <v>25</v>
      </c>
      <c r="D116">
        <f>VLOOKUP('Newton-Miller_RAW'!D116,'Newton-Miller_Convert'!$I$1:$J$6,2,FALSE)</f>
        <v>0</v>
      </c>
      <c r="E116">
        <f>VLOOKUP('Newton-Miller_RAW'!E116,'Newton-Miller_Convert'!$I$1:$J$6,2,FALSE)</f>
        <v>0</v>
      </c>
      <c r="F116">
        <f t="shared" si="2"/>
        <v>0</v>
      </c>
      <c r="G116">
        <f t="shared" si="3"/>
        <v>0</v>
      </c>
      <c r="L116" s="8">
        <v>246</v>
      </c>
    </row>
    <row r="117" spans="1:12" x14ac:dyDescent="0.3">
      <c r="A117">
        <v>116</v>
      </c>
      <c r="B117">
        <f>'Newton-Miller_RAW'!B117</f>
        <v>250</v>
      </c>
      <c r="C117">
        <f>'Newton-Miller_RAW'!C117</f>
        <v>400</v>
      </c>
      <c r="D117">
        <f>VLOOKUP('Newton-Miller_RAW'!D117,'Newton-Miller_Convert'!$I$1:$J$6,2,FALSE)</f>
        <v>0.75</v>
      </c>
      <c r="E117">
        <f>VLOOKUP('Newton-Miller_RAW'!E117,'Newton-Miller_Convert'!$I$1:$J$6,2,FALSE)</f>
        <v>0.1</v>
      </c>
      <c r="F117">
        <f t="shared" si="2"/>
        <v>0.1</v>
      </c>
      <c r="G117">
        <f t="shared" si="3"/>
        <v>0.65</v>
      </c>
      <c r="L117" s="8">
        <v>247</v>
      </c>
    </row>
    <row r="118" spans="1:12" x14ac:dyDescent="0.3">
      <c r="A118">
        <v>117</v>
      </c>
      <c r="B118">
        <f>'Newton-Miller_RAW'!B118</f>
        <v>250</v>
      </c>
      <c r="C118">
        <f>'Newton-Miller_RAW'!C118</f>
        <v>260</v>
      </c>
      <c r="D118">
        <f>VLOOKUP('Newton-Miller_RAW'!D118,'Newton-Miller_Convert'!$I$1:$J$6,2,FALSE)</f>
        <v>0.75</v>
      </c>
      <c r="E118">
        <f>VLOOKUP('Newton-Miller_RAW'!E118,'Newton-Miller_Convert'!$I$1:$J$6,2,FALSE)</f>
        <v>0.25</v>
      </c>
      <c r="F118">
        <f t="shared" si="2"/>
        <v>0.25</v>
      </c>
      <c r="G118">
        <f t="shared" si="3"/>
        <v>0.5</v>
      </c>
      <c r="L118" s="8">
        <v>249</v>
      </c>
    </row>
    <row r="119" spans="1:12" x14ac:dyDescent="0.3">
      <c r="A119">
        <v>118</v>
      </c>
      <c r="B119">
        <f>'Newton-Miller_RAW'!B119</f>
        <v>300</v>
      </c>
      <c r="C119">
        <f>'Newton-Miller_RAW'!C119</f>
        <v>350</v>
      </c>
      <c r="D119">
        <f>VLOOKUP('Newton-Miller_RAW'!D119,'Newton-Miller_Convert'!$I$1:$J$6,2,FALSE)</f>
        <v>0.75</v>
      </c>
      <c r="E119">
        <f>VLOOKUP('Newton-Miller_RAW'!E119,'Newton-Miller_Convert'!$I$1:$J$6,2,FALSE)</f>
        <v>0.75</v>
      </c>
      <c r="F119">
        <f t="shared" si="2"/>
        <v>0.75</v>
      </c>
      <c r="G119">
        <f t="shared" si="3"/>
        <v>0</v>
      </c>
      <c r="L119" s="8">
        <v>250</v>
      </c>
    </row>
    <row r="120" spans="1:12" x14ac:dyDescent="0.3">
      <c r="A120">
        <v>119</v>
      </c>
      <c r="B120">
        <f>'Newton-Miller_RAW'!B120</f>
        <v>150</v>
      </c>
      <c r="C120">
        <f>'Newton-Miller_RAW'!C120</f>
        <v>160</v>
      </c>
      <c r="D120">
        <f>VLOOKUP('Newton-Miller_RAW'!D120,'Newton-Miller_Convert'!$I$1:$J$6,2,FALSE)</f>
        <v>0.75</v>
      </c>
      <c r="E120">
        <f>VLOOKUP('Newton-Miller_RAW'!E120,'Newton-Miller_Convert'!$I$1:$J$6,2,FALSE)</f>
        <v>0.25</v>
      </c>
      <c r="F120">
        <f t="shared" si="2"/>
        <v>0.25</v>
      </c>
      <c r="G120">
        <f t="shared" si="3"/>
        <v>0.5</v>
      </c>
      <c r="L120" s="8">
        <v>255</v>
      </c>
    </row>
    <row r="121" spans="1:12" x14ac:dyDescent="0.3">
      <c r="A121">
        <v>120</v>
      </c>
      <c r="B121">
        <f>'Newton-Miller_RAW'!B121</f>
        <v>450</v>
      </c>
      <c r="C121">
        <f>'Newton-Miller_RAW'!C121</f>
        <v>550</v>
      </c>
      <c r="D121">
        <f>VLOOKUP('Newton-Miller_RAW'!D121,'Newton-Miller_Convert'!$I$1:$J$6,2,FALSE)</f>
        <v>0.75</v>
      </c>
      <c r="E121">
        <f>VLOOKUP('Newton-Miller_RAW'!E121,'Newton-Miller_Convert'!$I$1:$J$6,2,FALSE)</f>
        <v>0.25</v>
      </c>
      <c r="F121">
        <f t="shared" si="2"/>
        <v>0.25</v>
      </c>
      <c r="G121">
        <f t="shared" si="3"/>
        <v>0.5</v>
      </c>
      <c r="L121" s="8">
        <v>259</v>
      </c>
    </row>
    <row r="122" spans="1:12" x14ac:dyDescent="0.3">
      <c r="A122">
        <v>121</v>
      </c>
      <c r="B122">
        <f>'Newton-Miller_RAW'!B122</f>
        <v>110</v>
      </c>
      <c r="C122">
        <f>'Newton-Miller_RAW'!C122</f>
        <v>190</v>
      </c>
      <c r="D122">
        <f>VLOOKUP('Newton-Miller_RAW'!D122,'Newton-Miller_Convert'!$I$1:$J$6,2,FALSE)</f>
        <v>0.25</v>
      </c>
      <c r="E122">
        <f>VLOOKUP('Newton-Miller_RAW'!E122,'Newton-Miller_Convert'!$I$1:$J$6,2,FALSE)</f>
        <v>0</v>
      </c>
      <c r="F122">
        <f t="shared" si="2"/>
        <v>0</v>
      </c>
      <c r="G122">
        <f t="shared" si="3"/>
        <v>0.25</v>
      </c>
      <c r="L122" s="8">
        <v>260</v>
      </c>
    </row>
    <row r="123" spans="1:12" x14ac:dyDescent="0.3">
      <c r="A123">
        <v>122</v>
      </c>
      <c r="B123">
        <f>'Newton-Miller_RAW'!B123</f>
        <v>180</v>
      </c>
      <c r="C123">
        <f>'Newton-Miller_RAW'!C123</f>
        <v>249</v>
      </c>
      <c r="D123">
        <f>VLOOKUP('Newton-Miller_RAW'!D123,'Newton-Miller_Convert'!$I$1:$J$6,2,FALSE)</f>
        <v>0.75</v>
      </c>
      <c r="E123">
        <f>VLOOKUP('Newton-Miller_RAW'!E123,'Newton-Miller_Convert'!$I$1:$J$6,2,FALSE)</f>
        <v>0.75</v>
      </c>
      <c r="F123">
        <f t="shared" si="2"/>
        <v>0.75</v>
      </c>
      <c r="G123">
        <f t="shared" si="3"/>
        <v>0</v>
      </c>
      <c r="L123" s="8">
        <v>265</v>
      </c>
    </row>
    <row r="124" spans="1:12" x14ac:dyDescent="0.3">
      <c r="A124">
        <v>123</v>
      </c>
      <c r="B124">
        <f>'Newton-Miller_RAW'!B124</f>
        <v>100</v>
      </c>
      <c r="C124">
        <f>'Newton-Miller_RAW'!C124</f>
        <v>150</v>
      </c>
      <c r="D124">
        <f>VLOOKUP('Newton-Miller_RAW'!D124,'Newton-Miller_Convert'!$I$1:$J$6,2,FALSE)</f>
        <v>0.75</v>
      </c>
      <c r="E124">
        <f>VLOOKUP('Newton-Miller_RAW'!E124,'Newton-Miller_Convert'!$I$1:$J$6,2,FALSE)</f>
        <v>0.75</v>
      </c>
      <c r="F124">
        <f t="shared" si="2"/>
        <v>0.75</v>
      </c>
      <c r="G124">
        <f t="shared" si="3"/>
        <v>0</v>
      </c>
      <c r="L124" s="8">
        <v>269</v>
      </c>
    </row>
    <row r="125" spans="1:12" x14ac:dyDescent="0.3">
      <c r="A125">
        <v>124</v>
      </c>
      <c r="B125">
        <f>'Newton-Miller_RAW'!B125</f>
        <v>280</v>
      </c>
      <c r="C125">
        <f>'Newton-Miller_RAW'!C125</f>
        <v>330</v>
      </c>
      <c r="D125">
        <f>VLOOKUP('Newton-Miller_RAW'!D125,'Newton-Miller_Convert'!$I$1:$J$6,2,FALSE)</f>
        <v>0.75</v>
      </c>
      <c r="E125">
        <f>VLOOKUP('Newton-Miller_RAW'!E125,'Newton-Miller_Convert'!$I$1:$J$6,2,FALSE)</f>
        <v>0.25</v>
      </c>
      <c r="F125">
        <f t="shared" si="2"/>
        <v>0.25</v>
      </c>
      <c r="G125">
        <f t="shared" si="3"/>
        <v>0.5</v>
      </c>
      <c r="L125" s="8">
        <v>270</v>
      </c>
    </row>
    <row r="126" spans="1:12" x14ac:dyDescent="0.3">
      <c r="A126">
        <v>125</v>
      </c>
      <c r="B126">
        <f>'Newton-Miller_RAW'!B126</f>
        <v>100</v>
      </c>
      <c r="C126">
        <f>'Newton-Miller_RAW'!C126</f>
        <v>300</v>
      </c>
      <c r="D126">
        <f>VLOOKUP('Newton-Miller_RAW'!D126,'Newton-Miller_Convert'!$I$1:$J$6,2,FALSE)</f>
        <v>0.75</v>
      </c>
      <c r="E126">
        <f>VLOOKUP('Newton-Miller_RAW'!E126,'Newton-Miller_Convert'!$I$1:$J$6,2,FALSE)</f>
        <v>0</v>
      </c>
      <c r="F126">
        <f t="shared" si="2"/>
        <v>0</v>
      </c>
      <c r="G126">
        <f t="shared" si="3"/>
        <v>0.75</v>
      </c>
      <c r="L126" s="8">
        <v>273</v>
      </c>
    </row>
    <row r="127" spans="1:12" x14ac:dyDescent="0.3">
      <c r="A127">
        <v>126</v>
      </c>
      <c r="B127">
        <f>'Newton-Miller_RAW'!B127</f>
        <v>250</v>
      </c>
      <c r="C127">
        <f>'Newton-Miller_RAW'!C127</f>
        <v>350</v>
      </c>
      <c r="D127">
        <f>VLOOKUP('Newton-Miller_RAW'!D127,'Newton-Miller_Convert'!$I$1:$J$6,2,FALSE)</f>
        <v>0.25</v>
      </c>
      <c r="E127">
        <f>VLOOKUP('Newton-Miller_RAW'!E127,'Newton-Miller_Convert'!$I$1:$J$6,2,FALSE)</f>
        <v>0.25</v>
      </c>
      <c r="F127">
        <f t="shared" si="2"/>
        <v>0.25</v>
      </c>
      <c r="G127">
        <f t="shared" si="3"/>
        <v>0</v>
      </c>
      <c r="L127" s="8">
        <v>275</v>
      </c>
    </row>
    <row r="128" spans="1:12" x14ac:dyDescent="0.3">
      <c r="A128">
        <v>127</v>
      </c>
      <c r="B128">
        <f>'Newton-Miller_RAW'!B128</f>
        <v>300</v>
      </c>
      <c r="C128">
        <f>'Newton-Miller_RAW'!C128</f>
        <v>400</v>
      </c>
      <c r="D128">
        <f>VLOOKUP('Newton-Miller_RAW'!D128,'Newton-Miller_Convert'!$I$1:$J$6,2,FALSE)</f>
        <v>0.75</v>
      </c>
      <c r="E128">
        <f>VLOOKUP('Newton-Miller_RAW'!E128,'Newton-Miller_Convert'!$I$1:$J$6,2,FALSE)</f>
        <v>0.1</v>
      </c>
      <c r="F128">
        <f t="shared" si="2"/>
        <v>0.1</v>
      </c>
      <c r="G128">
        <f t="shared" si="3"/>
        <v>0.65</v>
      </c>
      <c r="L128" s="8">
        <v>279</v>
      </c>
    </row>
    <row r="129" spans="1:12" x14ac:dyDescent="0.3">
      <c r="A129">
        <v>128</v>
      </c>
      <c r="B129">
        <f>'Newton-Miller_RAW'!B129</f>
        <v>400</v>
      </c>
      <c r="C129">
        <f>'Newton-Miller_RAW'!C129</f>
        <v>600</v>
      </c>
      <c r="D129">
        <f>VLOOKUP('Newton-Miller_RAW'!D129,'Newton-Miller_Convert'!$I$1:$J$6,2,FALSE)</f>
        <v>0.75</v>
      </c>
      <c r="E129">
        <f>VLOOKUP('Newton-Miller_RAW'!E129,'Newton-Miller_Convert'!$I$1:$J$6,2,FALSE)</f>
        <v>0.1</v>
      </c>
      <c r="F129">
        <f t="shared" si="2"/>
        <v>0.1</v>
      </c>
      <c r="G129">
        <f t="shared" si="3"/>
        <v>0.65</v>
      </c>
      <c r="L129" s="8">
        <v>280</v>
      </c>
    </row>
    <row r="130" spans="1:12" x14ac:dyDescent="0.3">
      <c r="A130">
        <v>129</v>
      </c>
      <c r="B130">
        <f>'Newton-Miller_RAW'!B130</f>
        <v>200</v>
      </c>
      <c r="C130">
        <f>'Newton-Miller_RAW'!C130</f>
        <v>300</v>
      </c>
      <c r="D130">
        <f>VLOOKUP('Newton-Miller_RAW'!D130,'Newton-Miller_Convert'!$I$1:$J$6,2,FALSE)</f>
        <v>0.75</v>
      </c>
      <c r="E130">
        <f>VLOOKUP('Newton-Miller_RAW'!E130,'Newton-Miller_Convert'!$I$1:$J$6,2,FALSE)</f>
        <v>0.1</v>
      </c>
      <c r="F130">
        <f t="shared" si="2"/>
        <v>0.1</v>
      </c>
      <c r="G130">
        <f t="shared" si="3"/>
        <v>0.65</v>
      </c>
      <c r="L130" s="8">
        <v>288</v>
      </c>
    </row>
    <row r="131" spans="1:12" x14ac:dyDescent="0.3">
      <c r="A131">
        <v>130</v>
      </c>
      <c r="B131">
        <f>'Newton-Miller_RAW'!B131</f>
        <v>150</v>
      </c>
      <c r="C131">
        <f>'Newton-Miller_RAW'!C131</f>
        <v>249</v>
      </c>
      <c r="D131">
        <f>VLOOKUP('Newton-Miller_RAW'!D131,'Newton-Miller_Convert'!$I$1:$J$6,2,FALSE)</f>
        <v>0.75</v>
      </c>
      <c r="E131">
        <f>VLOOKUP('Newton-Miller_RAW'!E131,'Newton-Miller_Convert'!$I$1:$J$6,2,FALSE)</f>
        <v>0</v>
      </c>
      <c r="F131">
        <f t="shared" ref="F131:F194" si="4">IF(E131&gt;D131,D131,E131)</f>
        <v>0</v>
      </c>
      <c r="G131">
        <f t="shared" ref="G131:G194" si="5">D131-F131</f>
        <v>0.75</v>
      </c>
      <c r="L131" s="8">
        <v>289</v>
      </c>
    </row>
    <row r="132" spans="1:12" x14ac:dyDescent="0.3">
      <c r="A132">
        <v>131</v>
      </c>
      <c r="B132">
        <f>'Newton-Miller_RAW'!B132</f>
        <v>350</v>
      </c>
      <c r="C132">
        <f>'Newton-Miller_RAW'!C132</f>
        <v>375</v>
      </c>
      <c r="D132">
        <f>VLOOKUP('Newton-Miller_RAW'!D132,'Newton-Miller_Convert'!$I$1:$J$6,2,FALSE)</f>
        <v>0.75</v>
      </c>
      <c r="E132">
        <f>VLOOKUP('Newton-Miller_RAW'!E132,'Newton-Miller_Convert'!$I$1:$J$6,2,FALSE)</f>
        <v>0.25</v>
      </c>
      <c r="F132">
        <f t="shared" si="4"/>
        <v>0.25</v>
      </c>
      <c r="G132">
        <f t="shared" si="5"/>
        <v>0.5</v>
      </c>
      <c r="L132" s="8">
        <v>290</v>
      </c>
    </row>
    <row r="133" spans="1:12" x14ac:dyDescent="0.3">
      <c r="A133">
        <v>132</v>
      </c>
      <c r="B133">
        <f>'Newton-Miller_RAW'!B133</f>
        <v>150</v>
      </c>
      <c r="C133">
        <f>'Newton-Miller_RAW'!C133</f>
        <v>200</v>
      </c>
      <c r="D133">
        <f>VLOOKUP('Newton-Miller_RAW'!D133,'Newton-Miller_Convert'!$I$1:$J$6,2,FALSE)</f>
        <v>0.25</v>
      </c>
      <c r="E133">
        <f>VLOOKUP('Newton-Miller_RAW'!E133,'Newton-Miller_Convert'!$I$1:$J$6,2,FALSE)</f>
        <v>0.1</v>
      </c>
      <c r="F133">
        <f t="shared" si="4"/>
        <v>0.1</v>
      </c>
      <c r="G133">
        <f t="shared" si="5"/>
        <v>0.15</v>
      </c>
      <c r="L133" s="8">
        <v>296</v>
      </c>
    </row>
    <row r="134" spans="1:12" x14ac:dyDescent="0.3">
      <c r="A134">
        <v>133</v>
      </c>
      <c r="B134">
        <f>'Newton-Miller_RAW'!B134</f>
        <v>150</v>
      </c>
      <c r="C134">
        <f>'Newton-Miller_RAW'!C134</f>
        <v>170</v>
      </c>
      <c r="D134">
        <f>VLOOKUP('Newton-Miller_RAW'!D134,'Newton-Miller_Convert'!$I$1:$J$6,2,FALSE)</f>
        <v>0.75</v>
      </c>
      <c r="E134">
        <f>VLOOKUP('Newton-Miller_RAW'!E134,'Newton-Miller_Convert'!$I$1:$J$6,2,FALSE)</f>
        <v>0.1</v>
      </c>
      <c r="F134">
        <f t="shared" si="4"/>
        <v>0.1</v>
      </c>
      <c r="G134">
        <f t="shared" si="5"/>
        <v>0.65</v>
      </c>
      <c r="L134" s="8">
        <v>298</v>
      </c>
    </row>
    <row r="135" spans="1:12" x14ac:dyDescent="0.3">
      <c r="A135">
        <v>134</v>
      </c>
      <c r="B135">
        <f>'Newton-Miller_RAW'!B135</f>
        <v>250</v>
      </c>
      <c r="C135">
        <f>'Newton-Miller_RAW'!C135</f>
        <v>300</v>
      </c>
      <c r="D135">
        <f>VLOOKUP('Newton-Miller_RAW'!D135,'Newton-Miller_Convert'!$I$1:$J$6,2,FALSE)</f>
        <v>0.1</v>
      </c>
      <c r="E135">
        <f>VLOOKUP('Newton-Miller_RAW'!E135,'Newton-Miller_Convert'!$I$1:$J$6,2,FALSE)</f>
        <v>0</v>
      </c>
      <c r="F135">
        <f t="shared" si="4"/>
        <v>0</v>
      </c>
      <c r="G135">
        <f t="shared" si="5"/>
        <v>0.1</v>
      </c>
      <c r="L135" s="8">
        <v>299</v>
      </c>
    </row>
    <row r="136" spans="1:12" x14ac:dyDescent="0.3">
      <c r="A136">
        <v>135</v>
      </c>
      <c r="B136">
        <f>'Newton-Miller_RAW'!B136</f>
        <v>171</v>
      </c>
      <c r="C136">
        <f>'Newton-Miller_RAW'!C136</f>
        <v>250</v>
      </c>
      <c r="D136">
        <f>VLOOKUP('Newton-Miller_RAW'!D136,'Newton-Miller_Convert'!$I$1:$J$6,2,FALSE)</f>
        <v>0.75</v>
      </c>
      <c r="E136">
        <f>VLOOKUP('Newton-Miller_RAW'!E136,'Newton-Miller_Convert'!$I$1:$J$6,2,FALSE)</f>
        <v>0.1</v>
      </c>
      <c r="F136">
        <f t="shared" si="4"/>
        <v>0.1</v>
      </c>
      <c r="G136">
        <f t="shared" si="5"/>
        <v>0.65</v>
      </c>
      <c r="L136" s="8">
        <v>300</v>
      </c>
    </row>
    <row r="137" spans="1:12" x14ac:dyDescent="0.3">
      <c r="A137">
        <v>136</v>
      </c>
      <c r="B137">
        <f>'Newton-Miller_RAW'!B137</f>
        <v>200</v>
      </c>
      <c r="C137">
        <f>'Newton-Miller_RAW'!C137</f>
        <v>220</v>
      </c>
      <c r="D137">
        <f>VLOOKUP('Newton-Miller_RAW'!D137,'Newton-Miller_Convert'!$I$1:$J$6,2,FALSE)</f>
        <v>0.75</v>
      </c>
      <c r="E137">
        <f>VLOOKUP('Newton-Miller_RAW'!E137,'Newton-Miller_Convert'!$I$1:$J$6,2,FALSE)</f>
        <v>0.25</v>
      </c>
      <c r="F137">
        <f t="shared" si="4"/>
        <v>0.25</v>
      </c>
      <c r="G137">
        <f t="shared" si="5"/>
        <v>0.5</v>
      </c>
      <c r="L137" s="8">
        <v>301</v>
      </c>
    </row>
    <row r="138" spans="1:12" x14ac:dyDescent="0.3">
      <c r="A138">
        <v>137</v>
      </c>
      <c r="B138">
        <f>'Newton-Miller_RAW'!B138</f>
        <v>65</v>
      </c>
      <c r="C138">
        <f>'Newton-Miller_RAW'!C138</f>
        <v>66</v>
      </c>
      <c r="D138">
        <f>VLOOKUP('Newton-Miller_RAW'!D138,'Newton-Miller_Convert'!$I$1:$J$6,2,FALSE)</f>
        <v>0</v>
      </c>
      <c r="E138">
        <f>VLOOKUP('Newton-Miller_RAW'!E138,'Newton-Miller_Convert'!$I$1:$J$6,2,FALSE)</f>
        <v>0</v>
      </c>
      <c r="F138">
        <f t="shared" si="4"/>
        <v>0</v>
      </c>
      <c r="G138">
        <f t="shared" si="5"/>
        <v>0</v>
      </c>
      <c r="L138" s="8">
        <v>305</v>
      </c>
    </row>
    <row r="139" spans="1:12" x14ac:dyDescent="0.3">
      <c r="A139">
        <v>138</v>
      </c>
      <c r="B139">
        <f>'Newton-Miller_RAW'!B139</f>
        <v>200</v>
      </c>
      <c r="C139">
        <f>'Newton-Miller_RAW'!C139</f>
        <v>600</v>
      </c>
      <c r="D139">
        <f>VLOOKUP('Newton-Miller_RAW'!D139,'Newton-Miller_Convert'!$I$1:$J$6,2,FALSE)</f>
        <v>0.75</v>
      </c>
      <c r="E139">
        <f>VLOOKUP('Newton-Miller_RAW'!E139,'Newton-Miller_Convert'!$I$1:$J$6,2,FALSE)</f>
        <v>0.1</v>
      </c>
      <c r="F139">
        <f t="shared" si="4"/>
        <v>0.1</v>
      </c>
      <c r="G139">
        <f t="shared" si="5"/>
        <v>0.65</v>
      </c>
      <c r="L139" s="8">
        <v>306</v>
      </c>
    </row>
    <row r="140" spans="1:12" x14ac:dyDescent="0.3">
      <c r="A140">
        <v>139</v>
      </c>
      <c r="B140">
        <f>'Newton-Miller_RAW'!B140</f>
        <v>33</v>
      </c>
      <c r="C140">
        <f>'Newton-Miller_RAW'!C140</f>
        <v>55</v>
      </c>
      <c r="D140">
        <f>VLOOKUP('Newton-Miller_RAW'!D140,'Newton-Miller_Convert'!$I$1:$J$6,2,FALSE)</f>
        <v>0</v>
      </c>
      <c r="E140">
        <f>VLOOKUP('Newton-Miller_RAW'!E140,'Newton-Miller_Convert'!$I$1:$J$6,2,FALSE)</f>
        <v>0</v>
      </c>
      <c r="F140">
        <f t="shared" si="4"/>
        <v>0</v>
      </c>
      <c r="G140">
        <f t="shared" si="5"/>
        <v>0</v>
      </c>
      <c r="L140" s="8">
        <v>309</v>
      </c>
    </row>
    <row r="141" spans="1:12" x14ac:dyDescent="0.3">
      <c r="A141">
        <v>140</v>
      </c>
      <c r="B141">
        <f>'Newton-Miller_RAW'!B141</f>
        <v>270</v>
      </c>
      <c r="C141">
        <f>'Newton-Miller_RAW'!C141</f>
        <v>290</v>
      </c>
      <c r="D141">
        <f>VLOOKUP('Newton-Miller_RAW'!D141,'Newton-Miller_Convert'!$I$1:$J$6,2,FALSE)</f>
        <v>0.25</v>
      </c>
      <c r="E141">
        <f>VLOOKUP('Newton-Miller_RAW'!E141,'Newton-Miller_Convert'!$I$1:$J$6,2,FALSE)</f>
        <v>0.1</v>
      </c>
      <c r="F141">
        <f t="shared" si="4"/>
        <v>0.1</v>
      </c>
      <c r="G141">
        <f t="shared" si="5"/>
        <v>0.15</v>
      </c>
      <c r="L141" s="8">
        <v>310</v>
      </c>
    </row>
    <row r="142" spans="1:12" x14ac:dyDescent="0.3">
      <c r="A142">
        <v>141</v>
      </c>
      <c r="B142">
        <f>'Newton-Miller_RAW'!B142</f>
        <v>200</v>
      </c>
      <c r="C142">
        <f>'Newton-Miller_RAW'!C142</f>
        <v>230</v>
      </c>
      <c r="D142">
        <f>VLOOKUP('Newton-Miller_RAW'!D142,'Newton-Miller_Convert'!$I$1:$J$6,2,FALSE)</f>
        <v>0.25</v>
      </c>
      <c r="E142">
        <f>VLOOKUP('Newton-Miller_RAW'!E142,'Newton-Miller_Convert'!$I$1:$J$6,2,FALSE)</f>
        <v>0.1</v>
      </c>
      <c r="F142">
        <f t="shared" si="4"/>
        <v>0.1</v>
      </c>
      <c r="G142">
        <f t="shared" si="5"/>
        <v>0.15</v>
      </c>
      <c r="L142" s="8">
        <v>312</v>
      </c>
    </row>
    <row r="143" spans="1:12" x14ac:dyDescent="0.3">
      <c r="A143">
        <v>142</v>
      </c>
      <c r="B143">
        <f>'Newton-Miller_RAW'!B143</f>
        <v>300</v>
      </c>
      <c r="C143">
        <f>'Newton-Miller_RAW'!C143</f>
        <v>350</v>
      </c>
      <c r="D143">
        <f>VLOOKUP('Newton-Miller_RAW'!D143,'Newton-Miller_Convert'!$I$1:$J$6,2,FALSE)</f>
        <v>0.25</v>
      </c>
      <c r="E143">
        <f>VLOOKUP('Newton-Miller_RAW'!E143,'Newton-Miller_Convert'!$I$1:$J$6,2,FALSE)</f>
        <v>0.1</v>
      </c>
      <c r="F143">
        <f t="shared" si="4"/>
        <v>0.1</v>
      </c>
      <c r="G143">
        <f t="shared" si="5"/>
        <v>0.15</v>
      </c>
      <c r="L143" s="8">
        <v>316</v>
      </c>
    </row>
    <row r="144" spans="1:12" x14ac:dyDescent="0.3">
      <c r="A144">
        <v>143</v>
      </c>
      <c r="B144">
        <f>'Newton-Miller_RAW'!B144</f>
        <v>300</v>
      </c>
      <c r="C144">
        <f>'Newton-Miller_RAW'!C144</f>
        <v>380</v>
      </c>
      <c r="D144">
        <f>VLOOKUP('Newton-Miller_RAW'!D144,'Newton-Miller_Convert'!$I$1:$J$6,2,FALSE)</f>
        <v>0.75</v>
      </c>
      <c r="E144">
        <f>VLOOKUP('Newton-Miller_RAW'!E144,'Newton-Miller_Convert'!$I$1:$J$6,2,FALSE)</f>
        <v>0.25</v>
      </c>
      <c r="F144">
        <f t="shared" si="4"/>
        <v>0.25</v>
      </c>
      <c r="G144">
        <f t="shared" si="5"/>
        <v>0.5</v>
      </c>
      <c r="L144" s="8">
        <v>320</v>
      </c>
    </row>
    <row r="145" spans="1:12" x14ac:dyDescent="0.3">
      <c r="A145">
        <v>144</v>
      </c>
      <c r="B145">
        <f>'Newton-Miller_RAW'!B145</f>
        <v>150</v>
      </c>
      <c r="C145">
        <f>'Newton-Miller_RAW'!C145</f>
        <v>250</v>
      </c>
      <c r="D145">
        <f>VLOOKUP('Newton-Miller_RAW'!D145,'Newton-Miller_Convert'!$I$1:$J$6,2,FALSE)</f>
        <v>0.75</v>
      </c>
      <c r="E145">
        <f>VLOOKUP('Newton-Miller_RAW'!E145,'Newton-Miller_Convert'!$I$1:$J$6,2,FALSE)</f>
        <v>0.25</v>
      </c>
      <c r="F145">
        <f t="shared" si="4"/>
        <v>0.25</v>
      </c>
      <c r="G145">
        <f t="shared" si="5"/>
        <v>0.5</v>
      </c>
      <c r="L145" s="8">
        <v>325</v>
      </c>
    </row>
    <row r="146" spans="1:12" x14ac:dyDescent="0.3">
      <c r="A146">
        <v>145</v>
      </c>
      <c r="B146">
        <f>'Newton-Miller_RAW'!B146</f>
        <v>200</v>
      </c>
      <c r="C146">
        <f>'Newton-Miller_RAW'!C146</f>
        <v>300</v>
      </c>
      <c r="D146">
        <f>VLOOKUP('Newton-Miller_RAW'!D146,'Newton-Miller_Convert'!$I$1:$J$6,2,FALSE)</f>
        <v>0.25</v>
      </c>
      <c r="E146">
        <f>VLOOKUP('Newton-Miller_RAW'!E146,'Newton-Miller_Convert'!$I$1:$J$6,2,FALSE)</f>
        <v>0.1</v>
      </c>
      <c r="F146">
        <f t="shared" si="4"/>
        <v>0.1</v>
      </c>
      <c r="G146">
        <f t="shared" si="5"/>
        <v>0.15</v>
      </c>
      <c r="L146" s="8">
        <v>330</v>
      </c>
    </row>
    <row r="147" spans="1:12" x14ac:dyDescent="0.3">
      <c r="A147">
        <v>146</v>
      </c>
      <c r="B147">
        <f>'Newton-Miller_RAW'!B147</f>
        <v>400</v>
      </c>
      <c r="C147">
        <f>'Newton-Miller_RAW'!C147</f>
        <v>500</v>
      </c>
      <c r="D147">
        <f>VLOOKUP('Newton-Miller_RAW'!D147,'Newton-Miller_Convert'!$I$1:$J$6,2,FALSE)</f>
        <v>0.75</v>
      </c>
      <c r="E147">
        <f>VLOOKUP('Newton-Miller_RAW'!E147,'Newton-Miller_Convert'!$I$1:$J$6,2,FALSE)</f>
        <v>0.25</v>
      </c>
      <c r="F147">
        <f t="shared" si="4"/>
        <v>0.25</v>
      </c>
      <c r="G147">
        <f t="shared" si="5"/>
        <v>0.5</v>
      </c>
      <c r="L147" s="8">
        <v>340</v>
      </c>
    </row>
    <row r="148" spans="1:12" x14ac:dyDescent="0.3">
      <c r="A148">
        <v>147</v>
      </c>
      <c r="B148">
        <f>'Newton-Miller_RAW'!B148</f>
        <v>250</v>
      </c>
      <c r="C148">
        <f>'Newton-Miller_RAW'!C148</f>
        <v>300</v>
      </c>
      <c r="D148">
        <f>VLOOKUP('Newton-Miller_RAW'!D148,'Newton-Miller_Convert'!$I$1:$J$6,2,FALSE)</f>
        <v>0.25</v>
      </c>
      <c r="E148">
        <f>VLOOKUP('Newton-Miller_RAW'!E148,'Newton-Miller_Convert'!$I$1:$J$6,2,FALSE)</f>
        <v>0.1</v>
      </c>
      <c r="F148">
        <f t="shared" si="4"/>
        <v>0.1</v>
      </c>
      <c r="G148">
        <f t="shared" si="5"/>
        <v>0.15</v>
      </c>
      <c r="L148" s="8">
        <v>349</v>
      </c>
    </row>
    <row r="149" spans="1:12" x14ac:dyDescent="0.3">
      <c r="A149">
        <v>148</v>
      </c>
      <c r="B149">
        <f>'Newton-Miller_RAW'!B149</f>
        <v>50</v>
      </c>
      <c r="C149">
        <f>'Newton-Miller_RAW'!C149</f>
        <v>60</v>
      </c>
      <c r="D149">
        <f>VLOOKUP('Newton-Miller_RAW'!D149,'Newton-Miller_Convert'!$I$1:$J$6,2,FALSE)</f>
        <v>0.75</v>
      </c>
      <c r="E149">
        <f>VLOOKUP('Newton-Miller_RAW'!E149,'Newton-Miller_Convert'!$I$1:$J$6,2,FALSE)</f>
        <v>0.25</v>
      </c>
      <c r="F149">
        <f t="shared" si="4"/>
        <v>0.25</v>
      </c>
      <c r="G149">
        <f t="shared" si="5"/>
        <v>0.5</v>
      </c>
      <c r="L149" s="8">
        <v>350</v>
      </c>
    </row>
    <row r="150" spans="1:12" x14ac:dyDescent="0.3">
      <c r="A150">
        <v>149</v>
      </c>
      <c r="B150">
        <f>'Newton-Miller_RAW'!B150</f>
        <v>300</v>
      </c>
      <c r="C150">
        <f>'Newton-Miller_RAW'!C150</f>
        <v>400</v>
      </c>
      <c r="D150">
        <f>VLOOKUP('Newton-Miller_RAW'!D150,'Newton-Miller_Convert'!$I$1:$J$6,2,FALSE)</f>
        <v>0.75</v>
      </c>
      <c r="E150">
        <f>VLOOKUP('Newton-Miller_RAW'!E150,'Newton-Miller_Convert'!$I$1:$J$6,2,FALSE)</f>
        <v>0.1</v>
      </c>
      <c r="F150">
        <f t="shared" si="4"/>
        <v>0.1</v>
      </c>
      <c r="G150">
        <f t="shared" si="5"/>
        <v>0.65</v>
      </c>
      <c r="L150" s="8">
        <v>351</v>
      </c>
    </row>
    <row r="151" spans="1:12" x14ac:dyDescent="0.3">
      <c r="A151">
        <v>150</v>
      </c>
      <c r="B151">
        <f>'Newton-Miller_RAW'!B151</f>
        <v>300</v>
      </c>
      <c r="C151">
        <f>'Newton-Miller_RAW'!C151</f>
        <v>350</v>
      </c>
      <c r="D151">
        <f>VLOOKUP('Newton-Miller_RAW'!D151,'Newton-Miller_Convert'!$I$1:$J$6,2,FALSE)</f>
        <v>0.25</v>
      </c>
      <c r="E151">
        <f>VLOOKUP('Newton-Miller_RAW'!E151,'Newton-Miller_Convert'!$I$1:$J$6,2,FALSE)</f>
        <v>0.1</v>
      </c>
      <c r="F151">
        <f t="shared" si="4"/>
        <v>0.1</v>
      </c>
      <c r="G151">
        <f t="shared" si="5"/>
        <v>0.15</v>
      </c>
      <c r="L151" s="8">
        <v>355</v>
      </c>
    </row>
    <row r="152" spans="1:12" x14ac:dyDescent="0.3">
      <c r="A152">
        <v>151</v>
      </c>
      <c r="B152">
        <f>'Newton-Miller_RAW'!B152</f>
        <v>300</v>
      </c>
      <c r="C152">
        <f>'Newton-Miller_RAW'!C152</f>
        <v>350</v>
      </c>
      <c r="D152">
        <f>VLOOKUP('Newton-Miller_RAW'!D152,'Newton-Miller_Convert'!$I$1:$J$6,2,FALSE)</f>
        <v>0.25</v>
      </c>
      <c r="E152">
        <f>VLOOKUP('Newton-Miller_RAW'!E152,'Newton-Miller_Convert'!$I$1:$J$6,2,FALSE)</f>
        <v>0.25</v>
      </c>
      <c r="F152">
        <f t="shared" si="4"/>
        <v>0.25</v>
      </c>
      <c r="G152">
        <f t="shared" si="5"/>
        <v>0</v>
      </c>
      <c r="L152" s="8">
        <v>360</v>
      </c>
    </row>
    <row r="153" spans="1:12" x14ac:dyDescent="0.3">
      <c r="A153">
        <v>152</v>
      </c>
      <c r="B153">
        <f>'Newton-Miller_RAW'!B153</f>
        <v>150</v>
      </c>
      <c r="C153">
        <f>'Newton-Miller_RAW'!C153</f>
        <v>200</v>
      </c>
      <c r="D153">
        <f>VLOOKUP('Newton-Miller_RAW'!D153,'Newton-Miller_Convert'!$I$1:$J$6,2,FALSE)</f>
        <v>0.25</v>
      </c>
      <c r="E153">
        <f>VLOOKUP('Newton-Miller_RAW'!E153,'Newton-Miller_Convert'!$I$1:$J$6,2,FALSE)</f>
        <v>0.1</v>
      </c>
      <c r="F153">
        <f t="shared" si="4"/>
        <v>0.1</v>
      </c>
      <c r="G153">
        <f t="shared" si="5"/>
        <v>0.15</v>
      </c>
      <c r="L153" s="8">
        <v>365</v>
      </c>
    </row>
    <row r="154" spans="1:12" x14ac:dyDescent="0.3">
      <c r="A154">
        <v>153</v>
      </c>
      <c r="B154">
        <f>'Newton-Miller_RAW'!B154</f>
        <v>120</v>
      </c>
      <c r="C154">
        <f>'Newton-Miller_RAW'!C154</f>
        <v>149</v>
      </c>
      <c r="D154">
        <f>VLOOKUP('Newton-Miller_RAW'!D154,'Newton-Miller_Convert'!$I$1:$J$6,2,FALSE)</f>
        <v>0.25</v>
      </c>
      <c r="E154">
        <f>VLOOKUP('Newton-Miller_RAW'!E154,'Newton-Miller_Convert'!$I$1:$J$6,2,FALSE)</f>
        <v>0.1</v>
      </c>
      <c r="F154">
        <f t="shared" si="4"/>
        <v>0.1</v>
      </c>
      <c r="G154">
        <f t="shared" si="5"/>
        <v>0.15</v>
      </c>
      <c r="L154" s="8">
        <v>369</v>
      </c>
    </row>
    <row r="155" spans="1:12" x14ac:dyDescent="0.3">
      <c r="A155">
        <v>154</v>
      </c>
      <c r="B155">
        <f>'Newton-Miller_RAW'!B155</f>
        <v>190</v>
      </c>
      <c r="C155">
        <f>'Newton-Miller_RAW'!C155</f>
        <v>220</v>
      </c>
      <c r="D155">
        <f>VLOOKUP('Newton-Miller_RAW'!D155,'Newton-Miller_Convert'!$I$1:$J$6,2,FALSE)</f>
        <v>0.75</v>
      </c>
      <c r="E155">
        <f>VLOOKUP('Newton-Miller_RAW'!E155,'Newton-Miller_Convert'!$I$1:$J$6,2,FALSE)</f>
        <v>0.25</v>
      </c>
      <c r="F155">
        <f t="shared" si="4"/>
        <v>0.25</v>
      </c>
      <c r="G155">
        <f t="shared" si="5"/>
        <v>0.5</v>
      </c>
      <c r="L155" s="8">
        <v>370</v>
      </c>
    </row>
    <row r="156" spans="1:12" x14ac:dyDescent="0.3">
      <c r="A156">
        <v>155</v>
      </c>
      <c r="B156">
        <f>'Newton-Miller_RAW'!B156</f>
        <v>200</v>
      </c>
      <c r="C156">
        <f>'Newton-Miller_RAW'!C156</f>
        <v>350</v>
      </c>
      <c r="D156">
        <f>VLOOKUP('Newton-Miller_RAW'!D156,'Newton-Miller_Convert'!$I$1:$J$6,2,FALSE)</f>
        <v>0.75</v>
      </c>
      <c r="E156">
        <f>VLOOKUP('Newton-Miller_RAW'!E156,'Newton-Miller_Convert'!$I$1:$J$6,2,FALSE)</f>
        <v>0.1</v>
      </c>
      <c r="F156">
        <f t="shared" si="4"/>
        <v>0.1</v>
      </c>
      <c r="G156">
        <f t="shared" si="5"/>
        <v>0.65</v>
      </c>
      <c r="L156" s="8">
        <v>375</v>
      </c>
    </row>
    <row r="157" spans="1:12" x14ac:dyDescent="0.3">
      <c r="A157">
        <v>156</v>
      </c>
      <c r="B157">
        <f>'Newton-Miller_RAW'!B157</f>
        <v>100</v>
      </c>
      <c r="C157">
        <f>'Newton-Miller_RAW'!C157</f>
        <v>198</v>
      </c>
      <c r="D157">
        <f>VLOOKUP('Newton-Miller_RAW'!D157,'Newton-Miller_Convert'!$I$1:$J$6,2,FALSE)</f>
        <v>0.75</v>
      </c>
      <c r="E157">
        <f>VLOOKUP('Newton-Miller_RAW'!E157,'Newton-Miller_Convert'!$I$1:$J$6,2,FALSE)</f>
        <v>0.25</v>
      </c>
      <c r="F157">
        <f t="shared" si="4"/>
        <v>0.25</v>
      </c>
      <c r="G157">
        <f t="shared" si="5"/>
        <v>0.5</v>
      </c>
      <c r="L157" s="8">
        <v>380</v>
      </c>
    </row>
    <row r="158" spans="1:12" x14ac:dyDescent="0.3">
      <c r="A158">
        <v>157</v>
      </c>
      <c r="B158">
        <f>'Newton-Miller_RAW'!B158</f>
        <v>249</v>
      </c>
      <c r="C158">
        <f>'Newton-Miller_RAW'!C158</f>
        <v>299</v>
      </c>
      <c r="D158">
        <f>VLOOKUP('Newton-Miller_RAW'!D158,'Newton-Miller_Convert'!$I$1:$J$6,2,FALSE)</f>
        <v>0.75</v>
      </c>
      <c r="E158">
        <f>VLOOKUP('Newton-Miller_RAW'!E158,'Newton-Miller_Convert'!$I$1:$J$6,2,FALSE)</f>
        <v>0.25</v>
      </c>
      <c r="F158">
        <f t="shared" si="4"/>
        <v>0.25</v>
      </c>
      <c r="G158">
        <f t="shared" si="5"/>
        <v>0.5</v>
      </c>
      <c r="L158" s="8">
        <v>390</v>
      </c>
    </row>
    <row r="159" spans="1:12" x14ac:dyDescent="0.3">
      <c r="A159">
        <v>158</v>
      </c>
      <c r="B159">
        <f>'Newton-Miller_RAW'!B159</f>
        <v>250</v>
      </c>
      <c r="C159">
        <f>'Newton-Miller_RAW'!C159</f>
        <v>300</v>
      </c>
      <c r="D159">
        <f>VLOOKUP('Newton-Miller_RAW'!D159,'Newton-Miller_Convert'!$I$1:$J$6,2,FALSE)</f>
        <v>0.75</v>
      </c>
      <c r="E159">
        <f>VLOOKUP('Newton-Miller_RAW'!E159,'Newton-Miller_Convert'!$I$1:$J$6,2,FALSE)</f>
        <v>0.1</v>
      </c>
      <c r="F159">
        <f t="shared" si="4"/>
        <v>0.1</v>
      </c>
      <c r="G159">
        <f t="shared" si="5"/>
        <v>0.65</v>
      </c>
      <c r="L159" s="8">
        <v>398</v>
      </c>
    </row>
    <row r="160" spans="1:12" x14ac:dyDescent="0.3">
      <c r="A160">
        <v>159</v>
      </c>
      <c r="B160">
        <f>'Newton-Miller_RAW'!B160</f>
        <v>250</v>
      </c>
      <c r="C160">
        <f>'Newton-Miller_RAW'!C160</f>
        <v>280</v>
      </c>
      <c r="D160">
        <f>VLOOKUP('Newton-Miller_RAW'!D160,'Newton-Miller_Convert'!$I$1:$J$6,2,FALSE)</f>
        <v>0.1</v>
      </c>
      <c r="E160">
        <f>VLOOKUP('Newton-Miller_RAW'!E160,'Newton-Miller_Convert'!$I$1:$J$6,2,FALSE)</f>
        <v>0.25</v>
      </c>
      <c r="F160">
        <f t="shared" si="4"/>
        <v>0.1</v>
      </c>
      <c r="G160">
        <f t="shared" si="5"/>
        <v>0</v>
      </c>
      <c r="L160" s="8">
        <v>399</v>
      </c>
    </row>
    <row r="161" spans="1:12" x14ac:dyDescent="0.3">
      <c r="A161">
        <v>160</v>
      </c>
      <c r="B161">
        <f>'Newton-Miller_RAW'!B161</f>
        <v>79</v>
      </c>
      <c r="C161">
        <f>'Newton-Miller_RAW'!C161</f>
        <v>180</v>
      </c>
      <c r="D161">
        <f>VLOOKUP('Newton-Miller_RAW'!D161,'Newton-Miller_Convert'!$I$1:$J$6,2,FALSE)</f>
        <v>0.75</v>
      </c>
      <c r="E161">
        <f>VLOOKUP('Newton-Miller_RAW'!E161,'Newton-Miller_Convert'!$I$1:$J$6,2,FALSE)</f>
        <v>0.1</v>
      </c>
      <c r="F161">
        <f t="shared" si="4"/>
        <v>0.1</v>
      </c>
      <c r="G161">
        <f t="shared" si="5"/>
        <v>0.65</v>
      </c>
      <c r="L161" s="8">
        <v>400</v>
      </c>
    </row>
    <row r="162" spans="1:12" x14ac:dyDescent="0.3">
      <c r="A162">
        <v>161</v>
      </c>
      <c r="B162">
        <f>'Newton-Miller_RAW'!B162</f>
        <v>180</v>
      </c>
      <c r="C162">
        <f>'Newton-Miller_RAW'!C162</f>
        <v>240</v>
      </c>
      <c r="D162">
        <f>VLOOKUP('Newton-Miller_RAW'!D162,'Newton-Miller_Convert'!$I$1:$J$6,2,FALSE)</f>
        <v>0.75</v>
      </c>
      <c r="E162">
        <f>VLOOKUP('Newton-Miller_RAW'!E162,'Newton-Miller_Convert'!$I$1:$J$6,2,FALSE)</f>
        <v>0.25</v>
      </c>
      <c r="F162">
        <f t="shared" si="4"/>
        <v>0.25</v>
      </c>
      <c r="G162">
        <f t="shared" si="5"/>
        <v>0.5</v>
      </c>
      <c r="L162" s="8">
        <v>410</v>
      </c>
    </row>
    <row r="163" spans="1:12" x14ac:dyDescent="0.3">
      <c r="A163">
        <v>162</v>
      </c>
      <c r="B163">
        <f>'Newton-Miller_RAW'!B163</f>
        <v>300</v>
      </c>
      <c r="C163">
        <f>'Newton-Miller_RAW'!C163</f>
        <v>360</v>
      </c>
      <c r="D163">
        <f>VLOOKUP('Newton-Miller_RAW'!D163,'Newton-Miller_Convert'!$I$1:$J$6,2,FALSE)</f>
        <v>0.25</v>
      </c>
      <c r="E163">
        <f>VLOOKUP('Newton-Miller_RAW'!E163,'Newton-Miller_Convert'!$I$1:$J$6,2,FALSE)</f>
        <v>0.25</v>
      </c>
      <c r="F163">
        <f t="shared" si="4"/>
        <v>0.25</v>
      </c>
      <c r="G163">
        <f t="shared" si="5"/>
        <v>0</v>
      </c>
      <c r="L163" s="8">
        <v>415</v>
      </c>
    </row>
    <row r="164" spans="1:12" x14ac:dyDescent="0.3">
      <c r="A164">
        <v>163</v>
      </c>
      <c r="B164">
        <f>'Newton-Miller_RAW'!B164</f>
        <v>200</v>
      </c>
      <c r="C164">
        <f>'Newton-Miller_RAW'!C164</f>
        <v>250</v>
      </c>
      <c r="D164">
        <f>VLOOKUP('Newton-Miller_RAW'!D164,'Newton-Miller_Convert'!$I$1:$J$6,2,FALSE)</f>
        <v>0.25</v>
      </c>
      <c r="E164">
        <f>VLOOKUP('Newton-Miller_RAW'!E164,'Newton-Miller_Convert'!$I$1:$J$6,2,FALSE)</f>
        <v>0.25</v>
      </c>
      <c r="F164">
        <f t="shared" si="4"/>
        <v>0.25</v>
      </c>
      <c r="G164">
        <f t="shared" si="5"/>
        <v>0</v>
      </c>
      <c r="L164" s="8">
        <v>420</v>
      </c>
    </row>
    <row r="165" spans="1:12" x14ac:dyDescent="0.3">
      <c r="A165">
        <v>164</v>
      </c>
      <c r="B165">
        <f>'Newton-Miller_RAW'!B165</f>
        <v>70</v>
      </c>
      <c r="C165">
        <f>'Newton-Miller_RAW'!C165</f>
        <v>90</v>
      </c>
      <c r="D165">
        <f>VLOOKUP('Newton-Miller_RAW'!D165,'Newton-Miller_Convert'!$I$1:$J$6,2,FALSE)</f>
        <v>0.25</v>
      </c>
      <c r="E165">
        <f>VLOOKUP('Newton-Miller_RAW'!E165,'Newton-Miller_Convert'!$I$1:$J$6,2,FALSE)</f>
        <v>0.25</v>
      </c>
      <c r="F165">
        <f t="shared" si="4"/>
        <v>0.25</v>
      </c>
      <c r="G165">
        <f t="shared" si="5"/>
        <v>0</v>
      </c>
      <c r="L165" s="8">
        <v>425</v>
      </c>
    </row>
    <row r="166" spans="1:12" x14ac:dyDescent="0.3">
      <c r="A166">
        <v>165</v>
      </c>
      <c r="B166">
        <f>'Newton-Miller_RAW'!B166</f>
        <v>250</v>
      </c>
      <c r="C166">
        <f>'Newton-Miller_RAW'!C166</f>
        <v>280</v>
      </c>
      <c r="D166">
        <f>VLOOKUP('Newton-Miller_RAW'!D166,'Newton-Miller_Convert'!$I$1:$J$6,2,FALSE)</f>
        <v>0.1</v>
      </c>
      <c r="E166">
        <f>VLOOKUP('Newton-Miller_RAW'!E166,'Newton-Miller_Convert'!$I$1:$J$6,2,FALSE)</f>
        <v>0</v>
      </c>
      <c r="F166">
        <f t="shared" si="4"/>
        <v>0</v>
      </c>
      <c r="G166">
        <f t="shared" si="5"/>
        <v>0.1</v>
      </c>
      <c r="L166" s="8">
        <v>430</v>
      </c>
    </row>
    <row r="167" spans="1:12" x14ac:dyDescent="0.3">
      <c r="A167">
        <v>166</v>
      </c>
      <c r="B167">
        <f>'Newton-Miller_RAW'!B167</f>
        <v>200</v>
      </c>
      <c r="C167">
        <f>'Newton-Miller_RAW'!C167</f>
        <v>250</v>
      </c>
      <c r="D167">
        <f>VLOOKUP('Newton-Miller_RAW'!D167,'Newton-Miller_Convert'!$I$1:$J$6,2,FALSE)</f>
        <v>0.25</v>
      </c>
      <c r="E167">
        <f>VLOOKUP('Newton-Miller_RAW'!E167,'Newton-Miller_Convert'!$I$1:$J$6,2,FALSE)</f>
        <v>0.1</v>
      </c>
      <c r="F167">
        <f t="shared" si="4"/>
        <v>0.1</v>
      </c>
      <c r="G167">
        <f t="shared" si="5"/>
        <v>0.15</v>
      </c>
      <c r="L167" s="8">
        <v>440</v>
      </c>
    </row>
    <row r="168" spans="1:12" x14ac:dyDescent="0.3">
      <c r="A168">
        <v>167</v>
      </c>
      <c r="B168">
        <f>'Newton-Miller_RAW'!B168</f>
        <v>90</v>
      </c>
      <c r="C168">
        <f>'Newton-Miller_RAW'!C168</f>
        <v>100</v>
      </c>
      <c r="D168">
        <f>VLOOKUP('Newton-Miller_RAW'!D168,'Newton-Miller_Convert'!$I$1:$J$6,2,FALSE)</f>
        <v>0.25</v>
      </c>
      <c r="E168">
        <f>VLOOKUP('Newton-Miller_RAW'!E168,'Newton-Miller_Convert'!$I$1:$J$6,2,FALSE)</f>
        <v>0.25</v>
      </c>
      <c r="F168">
        <f t="shared" si="4"/>
        <v>0.25</v>
      </c>
      <c r="G168">
        <f t="shared" si="5"/>
        <v>0</v>
      </c>
      <c r="L168" s="8">
        <v>449</v>
      </c>
    </row>
    <row r="169" spans="1:12" x14ac:dyDescent="0.3">
      <c r="A169">
        <v>168</v>
      </c>
      <c r="B169">
        <f>'Newton-Miller_RAW'!B169</f>
        <v>80</v>
      </c>
      <c r="C169">
        <f>'Newton-Miller_RAW'!C169</f>
        <v>120</v>
      </c>
      <c r="D169">
        <f>VLOOKUP('Newton-Miller_RAW'!D169,'Newton-Miller_Convert'!$I$1:$J$6,2,FALSE)</f>
        <v>0.1</v>
      </c>
      <c r="E169">
        <f>VLOOKUP('Newton-Miller_RAW'!E169,'Newton-Miller_Convert'!$I$1:$J$6,2,FALSE)</f>
        <v>0.25</v>
      </c>
      <c r="F169">
        <f t="shared" si="4"/>
        <v>0.1</v>
      </c>
      <c r="G169">
        <f t="shared" si="5"/>
        <v>0</v>
      </c>
      <c r="L169" s="8">
        <v>450</v>
      </c>
    </row>
    <row r="170" spans="1:12" x14ac:dyDescent="0.3">
      <c r="A170">
        <v>169</v>
      </c>
      <c r="B170">
        <f>'Newton-Miller_RAW'!B170</f>
        <v>320</v>
      </c>
      <c r="C170">
        <f>'Newton-Miller_RAW'!C170</f>
        <v>380</v>
      </c>
      <c r="D170">
        <f>VLOOKUP('Newton-Miller_RAW'!D170,'Newton-Miller_Convert'!$I$1:$J$6,2,FALSE)</f>
        <v>0.75</v>
      </c>
      <c r="E170">
        <f>VLOOKUP('Newton-Miller_RAW'!E170,'Newton-Miller_Convert'!$I$1:$J$6,2,FALSE)</f>
        <v>0.75</v>
      </c>
      <c r="F170">
        <f t="shared" si="4"/>
        <v>0.75</v>
      </c>
      <c r="G170">
        <f t="shared" si="5"/>
        <v>0</v>
      </c>
      <c r="L170" s="8">
        <v>458</v>
      </c>
    </row>
    <row r="171" spans="1:12" x14ac:dyDescent="0.3">
      <c r="A171">
        <v>170</v>
      </c>
      <c r="B171">
        <f>'Newton-Miller_RAW'!B171</f>
        <v>250</v>
      </c>
      <c r="C171">
        <f>'Newton-Miller_RAW'!C171</f>
        <v>300</v>
      </c>
      <c r="D171">
        <f>VLOOKUP('Newton-Miller_RAW'!D171,'Newton-Miller_Convert'!$I$1:$J$6,2,FALSE)</f>
        <v>0.75</v>
      </c>
      <c r="E171">
        <f>VLOOKUP('Newton-Miller_RAW'!E171,'Newton-Miller_Convert'!$I$1:$J$6,2,FALSE)</f>
        <v>0.25</v>
      </c>
      <c r="F171">
        <f t="shared" si="4"/>
        <v>0.25</v>
      </c>
      <c r="G171">
        <f t="shared" si="5"/>
        <v>0.5</v>
      </c>
      <c r="L171" s="8">
        <v>460</v>
      </c>
    </row>
    <row r="172" spans="1:12" x14ac:dyDescent="0.3">
      <c r="A172">
        <v>171</v>
      </c>
      <c r="B172">
        <f>'Newton-Miller_RAW'!B172</f>
        <v>110</v>
      </c>
      <c r="C172">
        <f>'Newton-Miller_RAW'!C172</f>
        <v>120</v>
      </c>
      <c r="D172">
        <f>VLOOKUP('Newton-Miller_RAW'!D172,'Newton-Miller_Convert'!$I$1:$J$6,2,FALSE)</f>
        <v>0.75</v>
      </c>
      <c r="E172">
        <f>VLOOKUP('Newton-Miller_RAW'!E172,'Newton-Miller_Convert'!$I$1:$J$6,2,FALSE)</f>
        <v>0.25</v>
      </c>
      <c r="F172">
        <f t="shared" si="4"/>
        <v>0.25</v>
      </c>
      <c r="G172">
        <f t="shared" si="5"/>
        <v>0.5</v>
      </c>
      <c r="L172" s="8">
        <v>470</v>
      </c>
    </row>
    <row r="173" spans="1:12" x14ac:dyDescent="0.3">
      <c r="A173">
        <v>172</v>
      </c>
      <c r="B173">
        <f>'Newton-Miller_RAW'!B173</f>
        <v>250</v>
      </c>
      <c r="C173">
        <f>'Newton-Miller_RAW'!C173</f>
        <v>299</v>
      </c>
      <c r="D173">
        <f>VLOOKUP('Newton-Miller_RAW'!D173,'Newton-Miller_Convert'!$I$1:$J$6,2,FALSE)</f>
        <v>0.1</v>
      </c>
      <c r="E173">
        <f>VLOOKUP('Newton-Miller_RAW'!E173,'Newton-Miller_Convert'!$I$1:$J$6,2,FALSE)</f>
        <v>0</v>
      </c>
      <c r="F173">
        <f t="shared" si="4"/>
        <v>0</v>
      </c>
      <c r="G173">
        <f t="shared" si="5"/>
        <v>0.1</v>
      </c>
      <c r="L173" s="8">
        <v>480</v>
      </c>
    </row>
    <row r="174" spans="1:12" x14ac:dyDescent="0.3">
      <c r="A174">
        <v>173</v>
      </c>
      <c r="B174">
        <f>'Newton-Miller_RAW'!B174</f>
        <v>300</v>
      </c>
      <c r="C174">
        <f>'Newton-Miller_RAW'!C174</f>
        <v>350</v>
      </c>
      <c r="D174">
        <f>VLOOKUP('Newton-Miller_RAW'!D174,'Newton-Miller_Convert'!$I$1:$J$6,2,FALSE)</f>
        <v>0.25</v>
      </c>
      <c r="E174">
        <f>VLOOKUP('Newton-Miller_RAW'!E174,'Newton-Miller_Convert'!$I$1:$J$6,2,FALSE)</f>
        <v>0</v>
      </c>
      <c r="F174">
        <f t="shared" si="4"/>
        <v>0</v>
      </c>
      <c r="G174">
        <f t="shared" si="5"/>
        <v>0.25</v>
      </c>
      <c r="L174" s="8">
        <v>499</v>
      </c>
    </row>
    <row r="175" spans="1:12" x14ac:dyDescent="0.3">
      <c r="A175">
        <v>174</v>
      </c>
      <c r="B175">
        <f>'Newton-Miller_RAW'!B175</f>
        <v>350</v>
      </c>
      <c r="C175">
        <f>'Newton-Miller_RAW'!C175</f>
        <v>400</v>
      </c>
      <c r="D175">
        <f>VLOOKUP('Newton-Miller_RAW'!D175,'Newton-Miller_Convert'!$I$1:$J$6,2,FALSE)</f>
        <v>0</v>
      </c>
      <c r="E175">
        <f>VLOOKUP('Newton-Miller_RAW'!E175,'Newton-Miller_Convert'!$I$1:$J$6,2,FALSE)</f>
        <v>0</v>
      </c>
      <c r="F175">
        <f t="shared" si="4"/>
        <v>0</v>
      </c>
      <c r="G175">
        <f t="shared" si="5"/>
        <v>0</v>
      </c>
      <c r="L175" s="8">
        <v>500</v>
      </c>
    </row>
    <row r="176" spans="1:12" x14ac:dyDescent="0.3">
      <c r="A176">
        <v>175</v>
      </c>
      <c r="B176">
        <f>'Newton-Miller_RAW'!B176</f>
        <v>20</v>
      </c>
      <c r="C176">
        <f>'Newton-Miller_RAW'!C176</f>
        <v>21</v>
      </c>
      <c r="D176">
        <f>VLOOKUP('Newton-Miller_RAW'!D176,'Newton-Miller_Convert'!$I$1:$J$6,2,FALSE)</f>
        <v>0</v>
      </c>
      <c r="E176">
        <f>VLOOKUP('Newton-Miller_RAW'!E176,'Newton-Miller_Convert'!$I$1:$J$6,2,FALSE)</f>
        <v>0</v>
      </c>
      <c r="F176">
        <f t="shared" si="4"/>
        <v>0</v>
      </c>
      <c r="G176">
        <f t="shared" si="5"/>
        <v>0</v>
      </c>
      <c r="L176" s="8">
        <v>550</v>
      </c>
    </row>
    <row r="177" spans="1:12" x14ac:dyDescent="0.3">
      <c r="A177">
        <v>176</v>
      </c>
      <c r="B177">
        <f>'Newton-Miller_RAW'!B177</f>
        <v>150</v>
      </c>
      <c r="C177">
        <f>'Newton-Miller_RAW'!C177</f>
        <v>200</v>
      </c>
      <c r="D177">
        <f>VLOOKUP('Newton-Miller_RAW'!D177,'Newton-Miller_Convert'!$I$1:$J$6,2,FALSE)</f>
        <v>0.25</v>
      </c>
      <c r="E177">
        <f>VLOOKUP('Newton-Miller_RAW'!E177,'Newton-Miller_Convert'!$I$1:$J$6,2,FALSE)</f>
        <v>0.1</v>
      </c>
      <c r="F177">
        <f t="shared" si="4"/>
        <v>0.1</v>
      </c>
      <c r="G177">
        <f t="shared" si="5"/>
        <v>0.15</v>
      </c>
      <c r="L177" s="8">
        <v>570</v>
      </c>
    </row>
    <row r="178" spans="1:12" x14ac:dyDescent="0.3">
      <c r="A178">
        <v>177</v>
      </c>
      <c r="B178">
        <f>'Newton-Miller_RAW'!B178</f>
        <v>70</v>
      </c>
      <c r="C178">
        <f>'Newton-Miller_RAW'!C178</f>
        <v>95</v>
      </c>
      <c r="D178">
        <f>VLOOKUP('Newton-Miller_RAW'!D178,'Newton-Miller_Convert'!$I$1:$J$6,2,FALSE)</f>
        <v>0.25</v>
      </c>
      <c r="E178">
        <f>VLOOKUP('Newton-Miller_RAW'!E178,'Newton-Miller_Convert'!$I$1:$J$6,2,FALSE)</f>
        <v>0.1</v>
      </c>
      <c r="F178">
        <f t="shared" si="4"/>
        <v>0.1</v>
      </c>
      <c r="G178">
        <f t="shared" si="5"/>
        <v>0.15</v>
      </c>
      <c r="L178" s="8">
        <v>575</v>
      </c>
    </row>
    <row r="179" spans="1:12" x14ac:dyDescent="0.3">
      <c r="A179">
        <v>178</v>
      </c>
      <c r="B179">
        <f>'Newton-Miller_RAW'!B179</f>
        <v>250</v>
      </c>
      <c r="C179">
        <f>'Newton-Miller_RAW'!C179</f>
        <v>300</v>
      </c>
      <c r="D179">
        <f>VLOOKUP('Newton-Miller_RAW'!D179,'Newton-Miller_Convert'!$I$1:$J$6,2,FALSE)</f>
        <v>0.25</v>
      </c>
      <c r="E179">
        <f>VLOOKUP('Newton-Miller_RAW'!E179,'Newton-Miller_Convert'!$I$1:$J$6,2,FALSE)</f>
        <v>0.1</v>
      </c>
      <c r="F179">
        <f t="shared" si="4"/>
        <v>0.1</v>
      </c>
      <c r="G179">
        <f t="shared" si="5"/>
        <v>0.15</v>
      </c>
      <c r="L179" s="8">
        <v>579</v>
      </c>
    </row>
    <row r="180" spans="1:12" x14ac:dyDescent="0.3">
      <c r="A180">
        <v>179</v>
      </c>
      <c r="B180">
        <f>'Newton-Miller_RAW'!B180</f>
        <v>150</v>
      </c>
      <c r="C180">
        <f>'Newton-Miller_RAW'!C180</f>
        <v>200</v>
      </c>
      <c r="D180">
        <f>VLOOKUP('Newton-Miller_RAW'!D180,'Newton-Miller_Convert'!$I$1:$J$6,2,FALSE)</f>
        <v>0.75</v>
      </c>
      <c r="E180">
        <f>VLOOKUP('Newton-Miller_RAW'!E180,'Newton-Miller_Convert'!$I$1:$J$6,2,FALSE)</f>
        <v>0.25</v>
      </c>
      <c r="F180">
        <f t="shared" si="4"/>
        <v>0.25</v>
      </c>
      <c r="G180">
        <f t="shared" si="5"/>
        <v>0.5</v>
      </c>
      <c r="L180" s="8">
        <v>600</v>
      </c>
    </row>
    <row r="181" spans="1:12" x14ac:dyDescent="0.3">
      <c r="A181">
        <v>180</v>
      </c>
      <c r="B181">
        <f>'Newton-Miller_RAW'!B181</f>
        <v>200</v>
      </c>
      <c r="C181">
        <f>'Newton-Miller_RAW'!C181</f>
        <v>280</v>
      </c>
      <c r="D181">
        <f>VLOOKUP('Newton-Miller_RAW'!D181,'Newton-Miller_Convert'!$I$1:$J$6,2,FALSE)</f>
        <v>0.75</v>
      </c>
      <c r="E181">
        <f>VLOOKUP('Newton-Miller_RAW'!E181,'Newton-Miller_Convert'!$I$1:$J$6,2,FALSE)</f>
        <v>0.25</v>
      </c>
      <c r="F181">
        <f t="shared" si="4"/>
        <v>0.25</v>
      </c>
      <c r="G181">
        <f t="shared" si="5"/>
        <v>0.5</v>
      </c>
      <c r="L181" s="8">
        <v>630</v>
      </c>
    </row>
    <row r="182" spans="1:12" x14ac:dyDescent="0.3">
      <c r="A182">
        <v>181</v>
      </c>
      <c r="B182">
        <f>'Newton-Miller_RAW'!B182</f>
        <v>250</v>
      </c>
      <c r="C182">
        <f>'Newton-Miller_RAW'!C182</f>
        <v>350</v>
      </c>
      <c r="D182">
        <f>VLOOKUP('Newton-Miller_RAW'!D182,'Newton-Miller_Convert'!$I$1:$J$6,2,FALSE)</f>
        <v>0.75</v>
      </c>
      <c r="E182">
        <f>VLOOKUP('Newton-Miller_RAW'!E182,'Newton-Miller_Convert'!$I$1:$J$6,2,FALSE)</f>
        <v>0.1</v>
      </c>
      <c r="F182">
        <f t="shared" si="4"/>
        <v>0.1</v>
      </c>
      <c r="G182">
        <f t="shared" si="5"/>
        <v>0.65</v>
      </c>
      <c r="L182" s="8">
        <v>650</v>
      </c>
    </row>
    <row r="183" spans="1:12" x14ac:dyDescent="0.3">
      <c r="A183">
        <v>182</v>
      </c>
      <c r="B183">
        <f>'Newton-Miller_RAW'!B183</f>
        <v>220</v>
      </c>
      <c r="C183">
        <f>'Newton-Miller_RAW'!C183</f>
        <v>280</v>
      </c>
      <c r="D183">
        <f>VLOOKUP('Newton-Miller_RAW'!D183,'Newton-Miller_Convert'!$I$1:$J$6,2,FALSE)</f>
        <v>0.1</v>
      </c>
      <c r="E183">
        <f>VLOOKUP('Newton-Miller_RAW'!E183,'Newton-Miller_Convert'!$I$1:$J$6,2,FALSE)</f>
        <v>0.1</v>
      </c>
      <c r="F183">
        <f t="shared" si="4"/>
        <v>0.1</v>
      </c>
      <c r="G183">
        <f t="shared" si="5"/>
        <v>0</v>
      </c>
      <c r="L183" s="8">
        <v>670</v>
      </c>
    </row>
    <row r="184" spans="1:12" x14ac:dyDescent="0.3">
      <c r="A184">
        <v>183</v>
      </c>
      <c r="B184">
        <f>'Newton-Miller_RAW'!B184</f>
        <v>170</v>
      </c>
      <c r="C184">
        <f>'Newton-Miller_RAW'!C184</f>
        <v>180</v>
      </c>
      <c r="D184">
        <f>VLOOKUP('Newton-Miller_RAW'!D184,'Newton-Miller_Convert'!$I$1:$J$6,2,FALSE)</f>
        <v>0.25</v>
      </c>
      <c r="E184">
        <f>VLOOKUP('Newton-Miller_RAW'!E184,'Newton-Miller_Convert'!$I$1:$J$6,2,FALSE)</f>
        <v>0</v>
      </c>
      <c r="F184">
        <f t="shared" si="4"/>
        <v>0</v>
      </c>
      <c r="G184">
        <f t="shared" si="5"/>
        <v>0.25</v>
      </c>
      <c r="L184" s="8">
        <v>679</v>
      </c>
    </row>
    <row r="185" spans="1:12" x14ac:dyDescent="0.3">
      <c r="A185">
        <v>184</v>
      </c>
      <c r="B185">
        <f>'Newton-Miller_RAW'!B185</f>
        <v>200</v>
      </c>
      <c r="C185">
        <f>'Newton-Miller_RAW'!C185</f>
        <v>300</v>
      </c>
      <c r="D185">
        <f>VLOOKUP('Newton-Miller_RAW'!D185,'Newton-Miller_Convert'!$I$1:$J$6,2,FALSE)</f>
        <v>0.25</v>
      </c>
      <c r="E185">
        <f>VLOOKUP('Newton-Miller_RAW'!E185,'Newton-Miller_Convert'!$I$1:$J$6,2,FALSE)</f>
        <v>0</v>
      </c>
      <c r="F185">
        <f t="shared" si="4"/>
        <v>0</v>
      </c>
      <c r="G185">
        <f t="shared" si="5"/>
        <v>0.25</v>
      </c>
      <c r="L185" s="8">
        <v>699</v>
      </c>
    </row>
    <row r="186" spans="1:12" x14ac:dyDescent="0.3">
      <c r="A186">
        <v>185</v>
      </c>
      <c r="B186">
        <f>'Newton-Miller_RAW'!B186</f>
        <v>350</v>
      </c>
      <c r="C186">
        <f>'Newton-Miller_RAW'!C186</f>
        <v>400</v>
      </c>
      <c r="D186">
        <f>VLOOKUP('Newton-Miller_RAW'!D186,'Newton-Miller_Convert'!$I$1:$J$6,2,FALSE)</f>
        <v>0.75</v>
      </c>
      <c r="E186">
        <f>VLOOKUP('Newton-Miller_RAW'!E186,'Newton-Miller_Convert'!$I$1:$J$6,2,FALSE)</f>
        <v>0.25</v>
      </c>
      <c r="F186">
        <f t="shared" si="4"/>
        <v>0.25</v>
      </c>
      <c r="G186">
        <f t="shared" si="5"/>
        <v>0.5</v>
      </c>
      <c r="L186" s="8">
        <v>700</v>
      </c>
    </row>
    <row r="187" spans="1:12" x14ac:dyDescent="0.3">
      <c r="A187">
        <v>186</v>
      </c>
      <c r="B187">
        <f>'Newton-Miller_RAW'!B187</f>
        <v>250</v>
      </c>
      <c r="C187">
        <f>'Newton-Miller_RAW'!C187</f>
        <v>280</v>
      </c>
      <c r="D187">
        <f>VLOOKUP('Newton-Miller_RAW'!D187,'Newton-Miller_Convert'!$I$1:$J$6,2,FALSE)</f>
        <v>0.1</v>
      </c>
      <c r="E187">
        <f>VLOOKUP('Newton-Miller_RAW'!E187,'Newton-Miller_Convert'!$I$1:$J$6,2,FALSE)</f>
        <v>0</v>
      </c>
      <c r="F187">
        <f t="shared" si="4"/>
        <v>0</v>
      </c>
      <c r="G187">
        <f t="shared" si="5"/>
        <v>0.1</v>
      </c>
      <c r="L187" s="8">
        <v>750</v>
      </c>
    </row>
    <row r="188" spans="1:12" x14ac:dyDescent="0.3">
      <c r="A188">
        <v>187</v>
      </c>
      <c r="B188">
        <f>'Newton-Miller_RAW'!B188</f>
        <v>219</v>
      </c>
      <c r="C188">
        <f>'Newton-Miller_RAW'!C188</f>
        <v>250</v>
      </c>
      <c r="D188">
        <f>VLOOKUP('Newton-Miller_RAW'!D188,'Newton-Miller_Convert'!$I$1:$J$6,2,FALSE)</f>
        <v>0.75</v>
      </c>
      <c r="E188">
        <f>VLOOKUP('Newton-Miller_RAW'!E188,'Newton-Miller_Convert'!$I$1:$J$6,2,FALSE)</f>
        <v>0.1</v>
      </c>
      <c r="F188">
        <f t="shared" si="4"/>
        <v>0.1</v>
      </c>
      <c r="G188">
        <f t="shared" si="5"/>
        <v>0.65</v>
      </c>
      <c r="L188" s="8">
        <v>800</v>
      </c>
    </row>
    <row r="189" spans="1:12" x14ac:dyDescent="0.3">
      <c r="A189">
        <v>188</v>
      </c>
      <c r="B189">
        <f>'Newton-Miller_RAW'!B189</f>
        <v>50</v>
      </c>
      <c r="C189">
        <f>'Newton-Miller_RAW'!C189</f>
        <v>79</v>
      </c>
      <c r="D189">
        <f>VLOOKUP('Newton-Miller_RAW'!D189,'Newton-Miller_Convert'!$I$1:$J$6,2,FALSE)</f>
        <v>0.25</v>
      </c>
      <c r="E189">
        <f>VLOOKUP('Newton-Miller_RAW'!E189,'Newton-Miller_Convert'!$I$1:$J$6,2,FALSE)</f>
        <v>0.1</v>
      </c>
      <c r="F189">
        <f t="shared" si="4"/>
        <v>0.1</v>
      </c>
      <c r="G189">
        <f t="shared" si="5"/>
        <v>0.15</v>
      </c>
      <c r="L189" s="8">
        <v>900</v>
      </c>
    </row>
    <row r="190" spans="1:12" x14ac:dyDescent="0.3">
      <c r="A190">
        <v>189</v>
      </c>
      <c r="B190">
        <f>'Newton-Miller_RAW'!B190</f>
        <v>140</v>
      </c>
      <c r="C190">
        <f>'Newton-Miller_RAW'!C190</f>
        <v>190</v>
      </c>
      <c r="D190">
        <f>VLOOKUP('Newton-Miller_RAW'!D190,'Newton-Miller_Convert'!$I$1:$J$6,2,FALSE)</f>
        <v>0.75</v>
      </c>
      <c r="E190">
        <f>VLOOKUP('Newton-Miller_RAW'!E190,'Newton-Miller_Convert'!$I$1:$J$6,2,FALSE)</f>
        <v>0.75</v>
      </c>
      <c r="F190">
        <f t="shared" si="4"/>
        <v>0.75</v>
      </c>
      <c r="G190">
        <f t="shared" si="5"/>
        <v>0</v>
      </c>
      <c r="L190" s="8">
        <v>1000</v>
      </c>
    </row>
    <row r="191" spans="1:12" x14ac:dyDescent="0.3">
      <c r="A191">
        <v>190</v>
      </c>
      <c r="B191">
        <f>'Newton-Miller_RAW'!B191</f>
        <v>200</v>
      </c>
      <c r="C191">
        <f>'Newton-Miller_RAW'!C191</f>
        <v>250</v>
      </c>
      <c r="D191">
        <f>VLOOKUP('Newton-Miller_RAW'!D191,'Newton-Miller_Convert'!$I$1:$J$6,2,FALSE)</f>
        <v>0.75</v>
      </c>
      <c r="E191">
        <f>VLOOKUP('Newton-Miller_RAW'!E191,'Newton-Miller_Convert'!$I$1:$J$6,2,FALSE)</f>
        <v>0.25</v>
      </c>
      <c r="F191">
        <f t="shared" si="4"/>
        <v>0.25</v>
      </c>
      <c r="G191">
        <f t="shared" si="5"/>
        <v>0.5</v>
      </c>
      <c r="L191" s="8">
        <v>3000</v>
      </c>
    </row>
    <row r="192" spans="1:12" x14ac:dyDescent="0.3">
      <c r="A192">
        <v>191</v>
      </c>
      <c r="B192">
        <f>'Newton-Miller_RAW'!B192</f>
        <v>250</v>
      </c>
      <c r="C192">
        <f>'Newton-Miller_RAW'!C192</f>
        <v>350</v>
      </c>
      <c r="D192">
        <f>VLOOKUP('Newton-Miller_RAW'!D192,'Newton-Miller_Convert'!$I$1:$J$6,2,FALSE)</f>
        <v>0.75</v>
      </c>
      <c r="E192">
        <f>VLOOKUP('Newton-Miller_RAW'!E192,'Newton-Miller_Convert'!$I$1:$J$6,2,FALSE)</f>
        <v>0.1</v>
      </c>
      <c r="F192">
        <f t="shared" si="4"/>
        <v>0.1</v>
      </c>
      <c r="G192">
        <f t="shared" si="5"/>
        <v>0.65</v>
      </c>
    </row>
    <row r="193" spans="1:7" x14ac:dyDescent="0.3">
      <c r="A193">
        <v>192</v>
      </c>
      <c r="B193">
        <f>'Newton-Miller_RAW'!B193</f>
        <v>229</v>
      </c>
      <c r="C193">
        <f>'Newton-Miller_RAW'!C193</f>
        <v>249</v>
      </c>
      <c r="D193">
        <f>VLOOKUP('Newton-Miller_RAW'!D193,'Newton-Miller_Convert'!$I$1:$J$6,2,FALSE)</f>
        <v>0.1</v>
      </c>
      <c r="E193">
        <f>VLOOKUP('Newton-Miller_RAW'!E193,'Newton-Miller_Convert'!$I$1:$J$6,2,FALSE)</f>
        <v>0.1</v>
      </c>
      <c r="F193">
        <f t="shared" si="4"/>
        <v>0.1</v>
      </c>
      <c r="G193">
        <f t="shared" si="5"/>
        <v>0</v>
      </c>
    </row>
    <row r="194" spans="1:7" x14ac:dyDescent="0.3">
      <c r="A194">
        <v>193</v>
      </c>
      <c r="B194">
        <f>'Newton-Miller_RAW'!B194</f>
        <v>240</v>
      </c>
      <c r="C194">
        <f>'Newton-Miller_RAW'!C194</f>
        <v>280</v>
      </c>
      <c r="D194">
        <f>VLOOKUP('Newton-Miller_RAW'!D194,'Newton-Miller_Convert'!$I$1:$J$6,2,FALSE)</f>
        <v>0.25</v>
      </c>
      <c r="E194">
        <f>VLOOKUP('Newton-Miller_RAW'!E194,'Newton-Miller_Convert'!$I$1:$J$6,2,FALSE)</f>
        <v>0.1</v>
      </c>
      <c r="F194">
        <f t="shared" si="4"/>
        <v>0.1</v>
      </c>
      <c r="G194">
        <f t="shared" si="5"/>
        <v>0.15</v>
      </c>
    </row>
    <row r="195" spans="1:7" x14ac:dyDescent="0.3">
      <c r="A195">
        <v>194</v>
      </c>
      <c r="B195">
        <f>'Newton-Miller_RAW'!B195</f>
        <v>50</v>
      </c>
      <c r="C195">
        <f>'Newton-Miller_RAW'!C195</f>
        <v>60</v>
      </c>
      <c r="D195">
        <f>VLOOKUP('Newton-Miller_RAW'!D195,'Newton-Miller_Convert'!$I$1:$J$6,2,FALSE)</f>
        <v>0.75</v>
      </c>
      <c r="E195">
        <f>VLOOKUP('Newton-Miller_RAW'!E195,'Newton-Miller_Convert'!$I$1:$J$6,2,FALSE)</f>
        <v>0.75</v>
      </c>
      <c r="F195">
        <f t="shared" ref="F195:F258" si="6">IF(E195&gt;D195,D195,E195)</f>
        <v>0.75</v>
      </c>
      <c r="G195">
        <f t="shared" ref="G195:G258" si="7">D195-F195</f>
        <v>0</v>
      </c>
    </row>
    <row r="196" spans="1:7" x14ac:dyDescent="0.3">
      <c r="A196">
        <v>195</v>
      </c>
      <c r="B196">
        <f>'Newton-Miller_RAW'!B196</f>
        <v>150</v>
      </c>
      <c r="C196">
        <f>'Newton-Miller_RAW'!C196</f>
        <v>250</v>
      </c>
      <c r="D196">
        <f>VLOOKUP('Newton-Miller_RAW'!D196,'Newton-Miller_Convert'!$I$1:$J$6,2,FALSE)</f>
        <v>0.25</v>
      </c>
      <c r="E196">
        <f>VLOOKUP('Newton-Miller_RAW'!E196,'Newton-Miller_Convert'!$I$1:$J$6,2,FALSE)</f>
        <v>0.1</v>
      </c>
      <c r="F196">
        <f t="shared" si="6"/>
        <v>0.1</v>
      </c>
      <c r="G196">
        <f t="shared" si="7"/>
        <v>0.15</v>
      </c>
    </row>
    <row r="197" spans="1:7" x14ac:dyDescent="0.3">
      <c r="A197">
        <v>196</v>
      </c>
      <c r="B197">
        <f>'Newton-Miller_RAW'!B197</f>
        <v>247</v>
      </c>
      <c r="C197">
        <f>'Newton-Miller_RAW'!C197</f>
        <v>249</v>
      </c>
      <c r="D197">
        <f>VLOOKUP('Newton-Miller_RAW'!D197,'Newton-Miller_Convert'!$I$1:$J$6,2,FALSE)</f>
        <v>0.75</v>
      </c>
      <c r="E197">
        <f>VLOOKUP('Newton-Miller_RAW'!E197,'Newton-Miller_Convert'!$I$1:$J$6,2,FALSE)</f>
        <v>0.75</v>
      </c>
      <c r="F197">
        <f t="shared" si="6"/>
        <v>0.75</v>
      </c>
      <c r="G197">
        <f t="shared" si="7"/>
        <v>0</v>
      </c>
    </row>
    <row r="198" spans="1:7" x14ac:dyDescent="0.3">
      <c r="A198">
        <v>197</v>
      </c>
      <c r="B198">
        <f>'Newton-Miller_RAW'!B198</f>
        <v>200</v>
      </c>
      <c r="C198">
        <f>'Newton-Miller_RAW'!C198</f>
        <v>300</v>
      </c>
      <c r="D198">
        <f>VLOOKUP('Newton-Miller_RAW'!D198,'Newton-Miller_Convert'!$I$1:$J$6,2,FALSE)</f>
        <v>0.75</v>
      </c>
      <c r="E198">
        <f>VLOOKUP('Newton-Miller_RAW'!E198,'Newton-Miller_Convert'!$I$1:$J$6,2,FALSE)</f>
        <v>0.25</v>
      </c>
      <c r="F198">
        <f t="shared" si="6"/>
        <v>0.25</v>
      </c>
      <c r="G198">
        <f t="shared" si="7"/>
        <v>0.5</v>
      </c>
    </row>
    <row r="199" spans="1:7" x14ac:dyDescent="0.3">
      <c r="A199">
        <v>198</v>
      </c>
      <c r="B199">
        <f>'Newton-Miller_RAW'!B199</f>
        <v>100</v>
      </c>
      <c r="C199">
        <f>'Newton-Miller_RAW'!C199</f>
        <v>120</v>
      </c>
      <c r="D199">
        <f>VLOOKUP('Newton-Miller_RAW'!D199,'Newton-Miller_Convert'!$I$1:$J$6,2,FALSE)</f>
        <v>0.1</v>
      </c>
      <c r="E199">
        <f>VLOOKUP('Newton-Miller_RAW'!E199,'Newton-Miller_Convert'!$I$1:$J$6,2,FALSE)</f>
        <v>0.25</v>
      </c>
      <c r="F199">
        <f t="shared" si="6"/>
        <v>0.1</v>
      </c>
      <c r="G199">
        <f t="shared" si="7"/>
        <v>0</v>
      </c>
    </row>
    <row r="200" spans="1:7" x14ac:dyDescent="0.3">
      <c r="A200">
        <v>199</v>
      </c>
      <c r="B200">
        <f>'Newton-Miller_RAW'!B200</f>
        <v>200</v>
      </c>
      <c r="C200">
        <f>'Newton-Miller_RAW'!C200</f>
        <v>300</v>
      </c>
      <c r="D200">
        <f>VLOOKUP('Newton-Miller_RAW'!D200,'Newton-Miller_Convert'!$I$1:$J$6,2,FALSE)</f>
        <v>0.75</v>
      </c>
      <c r="E200">
        <f>VLOOKUP('Newton-Miller_RAW'!E200,'Newton-Miller_Convert'!$I$1:$J$6,2,FALSE)</f>
        <v>0.25</v>
      </c>
      <c r="F200">
        <f t="shared" si="6"/>
        <v>0.25</v>
      </c>
      <c r="G200">
        <f t="shared" si="7"/>
        <v>0.5</v>
      </c>
    </row>
    <row r="201" spans="1:7" x14ac:dyDescent="0.3">
      <c r="A201">
        <v>200</v>
      </c>
      <c r="B201">
        <f>'Newton-Miller_RAW'!B201</f>
        <v>180</v>
      </c>
      <c r="C201">
        <f>'Newton-Miller_RAW'!C201</f>
        <v>190</v>
      </c>
      <c r="D201">
        <f>VLOOKUP('Newton-Miller_RAW'!D201,'Newton-Miller_Convert'!$I$1:$J$6,2,FALSE)</f>
        <v>0.75</v>
      </c>
      <c r="E201">
        <f>VLOOKUP('Newton-Miller_RAW'!E201,'Newton-Miller_Convert'!$I$1:$J$6,2,FALSE)</f>
        <v>0.75</v>
      </c>
      <c r="F201">
        <f t="shared" si="6"/>
        <v>0.75</v>
      </c>
      <c r="G201">
        <f t="shared" si="7"/>
        <v>0</v>
      </c>
    </row>
    <row r="202" spans="1:7" x14ac:dyDescent="0.3">
      <c r="A202">
        <v>201</v>
      </c>
      <c r="B202">
        <f>'Newton-Miller_RAW'!B202</f>
        <v>50</v>
      </c>
      <c r="C202">
        <f>'Newton-Miller_RAW'!C202</f>
        <v>90</v>
      </c>
      <c r="D202">
        <f>VLOOKUP('Newton-Miller_RAW'!D202,'Newton-Miller_Convert'!$I$1:$J$6,2,FALSE)</f>
        <v>0.1</v>
      </c>
      <c r="E202">
        <f>VLOOKUP('Newton-Miller_RAW'!E202,'Newton-Miller_Convert'!$I$1:$J$6,2,FALSE)</f>
        <v>0.1</v>
      </c>
      <c r="F202">
        <f t="shared" si="6"/>
        <v>0.1</v>
      </c>
      <c r="G202">
        <f t="shared" si="7"/>
        <v>0</v>
      </c>
    </row>
    <row r="203" spans="1:7" x14ac:dyDescent="0.3">
      <c r="A203">
        <v>202</v>
      </c>
      <c r="B203">
        <f>'Newton-Miller_RAW'!B203</f>
        <v>150</v>
      </c>
      <c r="C203">
        <f>'Newton-Miller_RAW'!C203</f>
        <v>190</v>
      </c>
      <c r="D203">
        <f>VLOOKUP('Newton-Miller_RAW'!D203,'Newton-Miller_Convert'!$I$1:$J$6,2,FALSE)</f>
        <v>0.75</v>
      </c>
      <c r="E203">
        <f>VLOOKUP('Newton-Miller_RAW'!E203,'Newton-Miller_Convert'!$I$1:$J$6,2,FALSE)</f>
        <v>0.75</v>
      </c>
      <c r="F203">
        <f t="shared" si="6"/>
        <v>0.75</v>
      </c>
      <c r="G203">
        <f t="shared" si="7"/>
        <v>0</v>
      </c>
    </row>
    <row r="204" spans="1:7" x14ac:dyDescent="0.3">
      <c r="A204">
        <v>203</v>
      </c>
      <c r="B204">
        <f>'Newton-Miller_RAW'!B204</f>
        <v>150</v>
      </c>
      <c r="C204">
        <f>'Newton-Miller_RAW'!C204</f>
        <v>200</v>
      </c>
      <c r="D204">
        <f>VLOOKUP('Newton-Miller_RAW'!D204,'Newton-Miller_Convert'!$I$1:$J$6,2,FALSE)</f>
        <v>0</v>
      </c>
      <c r="E204">
        <f>VLOOKUP('Newton-Miller_RAW'!E204,'Newton-Miller_Convert'!$I$1:$J$6,2,FALSE)</f>
        <v>0</v>
      </c>
      <c r="F204">
        <f t="shared" si="6"/>
        <v>0</v>
      </c>
      <c r="G204">
        <f t="shared" si="7"/>
        <v>0</v>
      </c>
    </row>
    <row r="205" spans="1:7" x14ac:dyDescent="0.3">
      <c r="A205">
        <v>204</v>
      </c>
      <c r="B205">
        <f>'Newton-Miller_RAW'!B205</f>
        <v>350</v>
      </c>
      <c r="C205">
        <f>'Newton-Miller_RAW'!C205</f>
        <v>400</v>
      </c>
      <c r="D205">
        <f>VLOOKUP('Newton-Miller_RAW'!D205,'Newton-Miller_Convert'!$I$1:$J$6,2,FALSE)</f>
        <v>0.25</v>
      </c>
      <c r="E205">
        <f>VLOOKUP('Newton-Miller_RAW'!E205,'Newton-Miller_Convert'!$I$1:$J$6,2,FALSE)</f>
        <v>0.25</v>
      </c>
      <c r="F205">
        <f t="shared" si="6"/>
        <v>0.25</v>
      </c>
      <c r="G205">
        <f t="shared" si="7"/>
        <v>0</v>
      </c>
    </row>
    <row r="206" spans="1:7" x14ac:dyDescent="0.3">
      <c r="A206">
        <v>205</v>
      </c>
      <c r="B206">
        <f>'Newton-Miller_RAW'!B206</f>
        <v>280</v>
      </c>
      <c r="C206">
        <f>'Newton-Miller_RAW'!C206</f>
        <v>350</v>
      </c>
      <c r="D206">
        <f>VLOOKUP('Newton-Miller_RAW'!D206,'Newton-Miller_Convert'!$I$1:$J$6,2,FALSE)</f>
        <v>0.25</v>
      </c>
      <c r="E206">
        <f>VLOOKUP('Newton-Miller_RAW'!E206,'Newton-Miller_Convert'!$I$1:$J$6,2,FALSE)</f>
        <v>0.1</v>
      </c>
      <c r="F206">
        <f t="shared" si="6"/>
        <v>0.1</v>
      </c>
      <c r="G206">
        <f t="shared" si="7"/>
        <v>0.15</v>
      </c>
    </row>
    <row r="207" spans="1:7" x14ac:dyDescent="0.3">
      <c r="A207">
        <v>206</v>
      </c>
      <c r="B207">
        <f>'Newton-Miller_RAW'!B207</f>
        <v>250</v>
      </c>
      <c r="C207">
        <f>'Newton-Miller_RAW'!C207</f>
        <v>270</v>
      </c>
      <c r="D207">
        <f>VLOOKUP('Newton-Miller_RAW'!D207,'Newton-Miller_Convert'!$I$1:$J$6,2,FALSE)</f>
        <v>0.1</v>
      </c>
      <c r="E207">
        <f>VLOOKUP('Newton-Miller_RAW'!E207,'Newton-Miller_Convert'!$I$1:$J$6,2,FALSE)</f>
        <v>0</v>
      </c>
      <c r="F207">
        <f t="shared" si="6"/>
        <v>0</v>
      </c>
      <c r="G207">
        <f t="shared" si="7"/>
        <v>0.1</v>
      </c>
    </row>
    <row r="208" spans="1:7" x14ac:dyDescent="0.3">
      <c r="A208">
        <v>207</v>
      </c>
      <c r="B208">
        <f>'Newton-Miller_RAW'!B208</f>
        <v>150</v>
      </c>
      <c r="C208">
        <f>'Newton-Miller_RAW'!C208</f>
        <v>165</v>
      </c>
      <c r="D208">
        <f>VLOOKUP('Newton-Miller_RAW'!D208,'Newton-Miller_Convert'!$I$1:$J$6,2,FALSE)</f>
        <v>0.25</v>
      </c>
      <c r="E208">
        <f>VLOOKUP('Newton-Miller_RAW'!E208,'Newton-Miller_Convert'!$I$1:$J$6,2,FALSE)</f>
        <v>0.25</v>
      </c>
      <c r="F208">
        <f t="shared" si="6"/>
        <v>0.25</v>
      </c>
      <c r="G208">
        <f t="shared" si="7"/>
        <v>0</v>
      </c>
    </row>
    <row r="209" spans="1:7" x14ac:dyDescent="0.3">
      <c r="A209">
        <v>208</v>
      </c>
      <c r="B209">
        <f>'Newton-Miller_RAW'!B209</f>
        <v>150</v>
      </c>
      <c r="C209">
        <f>'Newton-Miller_RAW'!C209</f>
        <v>200</v>
      </c>
      <c r="D209">
        <f>VLOOKUP('Newton-Miller_RAW'!D209,'Newton-Miller_Convert'!$I$1:$J$6,2,FALSE)</f>
        <v>0.25</v>
      </c>
      <c r="E209">
        <f>VLOOKUP('Newton-Miller_RAW'!E209,'Newton-Miller_Convert'!$I$1:$J$6,2,FALSE)</f>
        <v>0.25</v>
      </c>
      <c r="F209">
        <f t="shared" si="6"/>
        <v>0.25</v>
      </c>
      <c r="G209">
        <f t="shared" si="7"/>
        <v>0</v>
      </c>
    </row>
    <row r="210" spans="1:7" x14ac:dyDescent="0.3">
      <c r="A210">
        <v>209</v>
      </c>
      <c r="B210">
        <f>'Newton-Miller_RAW'!B210</f>
        <v>300</v>
      </c>
      <c r="C210">
        <f>'Newton-Miller_RAW'!C210</f>
        <v>400</v>
      </c>
      <c r="D210">
        <f>VLOOKUP('Newton-Miller_RAW'!D210,'Newton-Miller_Convert'!$I$1:$J$6,2,FALSE)</f>
        <v>0.75</v>
      </c>
      <c r="E210">
        <f>VLOOKUP('Newton-Miller_RAW'!E210,'Newton-Miller_Convert'!$I$1:$J$6,2,FALSE)</f>
        <v>0.1</v>
      </c>
      <c r="F210">
        <f t="shared" si="6"/>
        <v>0.1</v>
      </c>
      <c r="G210">
        <f t="shared" si="7"/>
        <v>0.65</v>
      </c>
    </row>
    <row r="211" spans="1:7" x14ac:dyDescent="0.3">
      <c r="A211">
        <v>210</v>
      </c>
      <c r="B211">
        <f>'Newton-Miller_RAW'!B211</f>
        <v>300</v>
      </c>
      <c r="C211">
        <f>'Newton-Miller_RAW'!C211</f>
        <v>350</v>
      </c>
      <c r="D211">
        <f>VLOOKUP('Newton-Miller_RAW'!D211,'Newton-Miller_Convert'!$I$1:$J$6,2,FALSE)</f>
        <v>0.75</v>
      </c>
      <c r="E211">
        <f>VLOOKUP('Newton-Miller_RAW'!E211,'Newton-Miller_Convert'!$I$1:$J$6,2,FALSE)</f>
        <v>0.75</v>
      </c>
      <c r="F211">
        <f t="shared" si="6"/>
        <v>0.75</v>
      </c>
      <c r="G211">
        <f t="shared" si="7"/>
        <v>0</v>
      </c>
    </row>
    <row r="212" spans="1:7" x14ac:dyDescent="0.3">
      <c r="A212">
        <v>211</v>
      </c>
      <c r="B212">
        <f>'Newton-Miller_RAW'!B212</f>
        <v>300</v>
      </c>
      <c r="C212">
        <f>'Newton-Miller_RAW'!C212</f>
        <v>398</v>
      </c>
      <c r="D212">
        <f>VLOOKUP('Newton-Miller_RAW'!D212,'Newton-Miller_Convert'!$I$1:$J$6,2,FALSE)</f>
        <v>0.75</v>
      </c>
      <c r="E212">
        <f>VLOOKUP('Newton-Miller_RAW'!E212,'Newton-Miller_Convert'!$I$1:$J$6,2,FALSE)</f>
        <v>0.75</v>
      </c>
      <c r="F212">
        <f t="shared" si="6"/>
        <v>0.75</v>
      </c>
      <c r="G212">
        <f t="shared" si="7"/>
        <v>0</v>
      </c>
    </row>
    <row r="213" spans="1:7" x14ac:dyDescent="0.3">
      <c r="A213">
        <v>212</v>
      </c>
      <c r="B213">
        <f>'Newton-Miller_RAW'!B213</f>
        <v>100</v>
      </c>
      <c r="C213">
        <f>'Newton-Miller_RAW'!C213</f>
        <v>200</v>
      </c>
      <c r="D213">
        <f>VLOOKUP('Newton-Miller_RAW'!D213,'Newton-Miller_Convert'!$I$1:$J$6,2,FALSE)</f>
        <v>0</v>
      </c>
      <c r="E213">
        <f>VLOOKUP('Newton-Miller_RAW'!E213,'Newton-Miller_Convert'!$I$1:$J$6,2,FALSE)</f>
        <v>0</v>
      </c>
      <c r="F213">
        <f t="shared" si="6"/>
        <v>0</v>
      </c>
      <c r="G213">
        <f t="shared" si="7"/>
        <v>0</v>
      </c>
    </row>
    <row r="214" spans="1:7" x14ac:dyDescent="0.3">
      <c r="A214">
        <v>213</v>
      </c>
      <c r="B214">
        <f>'Newton-Miller_RAW'!B214</f>
        <v>30</v>
      </c>
      <c r="C214">
        <f>'Newton-Miller_RAW'!C214</f>
        <v>50</v>
      </c>
      <c r="D214">
        <f>VLOOKUP('Newton-Miller_RAW'!D214,'Newton-Miller_Convert'!$I$1:$J$6,2,FALSE)</f>
        <v>0.75</v>
      </c>
      <c r="E214">
        <f>VLOOKUP('Newton-Miller_RAW'!E214,'Newton-Miller_Convert'!$I$1:$J$6,2,FALSE)</f>
        <v>0.1</v>
      </c>
      <c r="F214">
        <f t="shared" si="6"/>
        <v>0.1</v>
      </c>
      <c r="G214">
        <f t="shared" si="7"/>
        <v>0.65</v>
      </c>
    </row>
    <row r="215" spans="1:7" x14ac:dyDescent="0.3">
      <c r="A215">
        <v>214</v>
      </c>
      <c r="B215">
        <f>'Newton-Miller_RAW'!B215</f>
        <v>250</v>
      </c>
      <c r="C215">
        <f>'Newton-Miller_RAW'!C215</f>
        <v>280</v>
      </c>
      <c r="D215">
        <f>VLOOKUP('Newton-Miller_RAW'!D215,'Newton-Miller_Convert'!$I$1:$J$6,2,FALSE)</f>
        <v>0.75</v>
      </c>
      <c r="E215">
        <f>VLOOKUP('Newton-Miller_RAW'!E215,'Newton-Miller_Convert'!$I$1:$J$6,2,FALSE)</f>
        <v>0.75</v>
      </c>
      <c r="F215">
        <f t="shared" si="6"/>
        <v>0.75</v>
      </c>
      <c r="G215">
        <f t="shared" si="7"/>
        <v>0</v>
      </c>
    </row>
    <row r="216" spans="1:7" x14ac:dyDescent="0.3">
      <c r="A216">
        <v>215</v>
      </c>
      <c r="B216">
        <f>'Newton-Miller_RAW'!B216</f>
        <v>180</v>
      </c>
      <c r="C216">
        <f>'Newton-Miller_RAW'!C216</f>
        <v>280</v>
      </c>
      <c r="D216">
        <f>VLOOKUP('Newton-Miller_RAW'!D216,'Newton-Miller_Convert'!$I$1:$J$6,2,FALSE)</f>
        <v>0.75</v>
      </c>
      <c r="E216">
        <f>VLOOKUP('Newton-Miller_RAW'!E216,'Newton-Miller_Convert'!$I$1:$J$6,2,FALSE)</f>
        <v>0.25</v>
      </c>
      <c r="F216">
        <f t="shared" si="6"/>
        <v>0.25</v>
      </c>
      <c r="G216">
        <f t="shared" si="7"/>
        <v>0.5</v>
      </c>
    </row>
    <row r="217" spans="1:7" x14ac:dyDescent="0.3">
      <c r="A217">
        <v>216</v>
      </c>
      <c r="B217">
        <f>'Newton-Miller_RAW'!B217</f>
        <v>200</v>
      </c>
      <c r="C217">
        <f>'Newton-Miller_RAW'!C217</f>
        <v>300</v>
      </c>
      <c r="D217">
        <f>VLOOKUP('Newton-Miller_RAW'!D217,'Newton-Miller_Convert'!$I$1:$J$6,2,FALSE)</f>
        <v>0.75</v>
      </c>
      <c r="E217">
        <f>VLOOKUP('Newton-Miller_RAW'!E217,'Newton-Miller_Convert'!$I$1:$J$6,2,FALSE)</f>
        <v>0.25</v>
      </c>
      <c r="F217">
        <f t="shared" si="6"/>
        <v>0.25</v>
      </c>
      <c r="G217">
        <f t="shared" si="7"/>
        <v>0.5</v>
      </c>
    </row>
    <row r="218" spans="1:7" x14ac:dyDescent="0.3">
      <c r="A218">
        <v>217</v>
      </c>
      <c r="B218">
        <f>'Newton-Miller_RAW'!B218</f>
        <v>100</v>
      </c>
      <c r="C218">
        <f>'Newton-Miller_RAW'!C218</f>
        <v>200</v>
      </c>
      <c r="D218">
        <f>VLOOKUP('Newton-Miller_RAW'!D218,'Newton-Miller_Convert'!$I$1:$J$6,2,FALSE)</f>
        <v>0.75</v>
      </c>
      <c r="E218">
        <f>VLOOKUP('Newton-Miller_RAW'!E218,'Newton-Miller_Convert'!$I$1:$J$6,2,FALSE)</f>
        <v>0.25</v>
      </c>
      <c r="F218">
        <f t="shared" si="6"/>
        <v>0.25</v>
      </c>
      <c r="G218">
        <f t="shared" si="7"/>
        <v>0.5</v>
      </c>
    </row>
    <row r="219" spans="1:7" x14ac:dyDescent="0.3">
      <c r="A219">
        <v>218</v>
      </c>
      <c r="B219">
        <f>'Newton-Miller_RAW'!B219</f>
        <v>130</v>
      </c>
      <c r="C219">
        <f>'Newton-Miller_RAW'!C219</f>
        <v>160</v>
      </c>
      <c r="D219">
        <f>VLOOKUP('Newton-Miller_RAW'!D219,'Newton-Miller_Convert'!$I$1:$J$6,2,FALSE)</f>
        <v>0.75</v>
      </c>
      <c r="E219">
        <f>VLOOKUP('Newton-Miller_RAW'!E219,'Newton-Miller_Convert'!$I$1:$J$6,2,FALSE)</f>
        <v>0.1</v>
      </c>
      <c r="F219">
        <f t="shared" si="6"/>
        <v>0.1</v>
      </c>
      <c r="G219">
        <f t="shared" si="7"/>
        <v>0.65</v>
      </c>
    </row>
    <row r="220" spans="1:7" x14ac:dyDescent="0.3">
      <c r="A220">
        <v>219</v>
      </c>
      <c r="B220">
        <f>'Newton-Miller_RAW'!B220</f>
        <v>30</v>
      </c>
      <c r="C220">
        <f>'Newton-Miller_RAW'!C220</f>
        <v>80</v>
      </c>
      <c r="D220">
        <f>VLOOKUP('Newton-Miller_RAW'!D220,'Newton-Miller_Convert'!$I$1:$J$6,2,FALSE)</f>
        <v>0.75</v>
      </c>
      <c r="E220">
        <f>VLOOKUP('Newton-Miller_RAW'!E220,'Newton-Miller_Convert'!$I$1:$J$6,2,FALSE)</f>
        <v>0.1</v>
      </c>
      <c r="F220">
        <f t="shared" si="6"/>
        <v>0.1</v>
      </c>
      <c r="G220">
        <f t="shared" si="7"/>
        <v>0.65</v>
      </c>
    </row>
    <row r="221" spans="1:7" x14ac:dyDescent="0.3">
      <c r="A221">
        <v>220</v>
      </c>
      <c r="B221">
        <f>'Newton-Miller_RAW'!B221</f>
        <v>199</v>
      </c>
      <c r="C221">
        <f>'Newton-Miller_RAW'!C221</f>
        <v>249</v>
      </c>
      <c r="D221">
        <f>VLOOKUP('Newton-Miller_RAW'!D221,'Newton-Miller_Convert'!$I$1:$J$6,2,FALSE)</f>
        <v>0.25</v>
      </c>
      <c r="E221">
        <f>VLOOKUP('Newton-Miller_RAW'!E221,'Newton-Miller_Convert'!$I$1:$J$6,2,FALSE)</f>
        <v>0.1</v>
      </c>
      <c r="F221">
        <f t="shared" si="6"/>
        <v>0.1</v>
      </c>
      <c r="G221">
        <f t="shared" si="7"/>
        <v>0.15</v>
      </c>
    </row>
    <row r="222" spans="1:7" x14ac:dyDescent="0.3">
      <c r="A222">
        <v>221</v>
      </c>
      <c r="B222">
        <f>'Newton-Miller_RAW'!B222</f>
        <v>350</v>
      </c>
      <c r="C222">
        <f>'Newton-Miller_RAW'!C222</f>
        <v>360</v>
      </c>
      <c r="D222">
        <f>VLOOKUP('Newton-Miller_RAW'!D222,'Newton-Miller_Convert'!$I$1:$J$6,2,FALSE)</f>
        <v>0.1</v>
      </c>
      <c r="E222">
        <f>VLOOKUP('Newton-Miller_RAW'!E222,'Newton-Miller_Convert'!$I$1:$J$6,2,FALSE)</f>
        <v>0.1</v>
      </c>
      <c r="F222">
        <f t="shared" si="6"/>
        <v>0.1</v>
      </c>
      <c r="G222">
        <f t="shared" si="7"/>
        <v>0</v>
      </c>
    </row>
    <row r="223" spans="1:7" x14ac:dyDescent="0.3">
      <c r="A223">
        <v>222</v>
      </c>
      <c r="B223">
        <f>'Newton-Miller_RAW'!B223</f>
        <v>270</v>
      </c>
      <c r="C223">
        <f>'Newton-Miller_RAW'!C223</f>
        <v>350</v>
      </c>
      <c r="D223">
        <f>VLOOKUP('Newton-Miller_RAW'!D223,'Newton-Miller_Convert'!$I$1:$J$6,2,FALSE)</f>
        <v>0.1</v>
      </c>
      <c r="E223">
        <f>VLOOKUP('Newton-Miller_RAW'!E223,'Newton-Miller_Convert'!$I$1:$J$6,2,FALSE)</f>
        <v>0.1</v>
      </c>
      <c r="F223">
        <f t="shared" si="6"/>
        <v>0.1</v>
      </c>
      <c r="G223">
        <f t="shared" si="7"/>
        <v>0</v>
      </c>
    </row>
    <row r="224" spans="1:7" x14ac:dyDescent="0.3">
      <c r="A224">
        <v>223</v>
      </c>
      <c r="B224">
        <f>'Newton-Miller_RAW'!B224</f>
        <v>199</v>
      </c>
      <c r="C224">
        <f>'Newton-Miller_RAW'!C224</f>
        <v>299</v>
      </c>
      <c r="D224">
        <f>VLOOKUP('Newton-Miller_RAW'!D224,'Newton-Miller_Convert'!$I$1:$J$6,2,FALSE)</f>
        <v>0.1</v>
      </c>
      <c r="E224">
        <f>VLOOKUP('Newton-Miller_RAW'!E224,'Newton-Miller_Convert'!$I$1:$J$6,2,FALSE)</f>
        <v>0</v>
      </c>
      <c r="F224">
        <f t="shared" si="6"/>
        <v>0</v>
      </c>
      <c r="G224">
        <f t="shared" si="7"/>
        <v>0.1</v>
      </c>
    </row>
    <row r="225" spans="1:7" x14ac:dyDescent="0.3">
      <c r="A225">
        <v>224</v>
      </c>
      <c r="B225">
        <f>'Newton-Miller_RAW'!B225</f>
        <v>270</v>
      </c>
      <c r="C225">
        <f>'Newton-Miller_RAW'!C225</f>
        <v>280</v>
      </c>
      <c r="D225">
        <f>VLOOKUP('Newton-Miller_RAW'!D225,'Newton-Miller_Convert'!$I$1:$J$6,2,FALSE)</f>
        <v>0.25</v>
      </c>
      <c r="E225">
        <f>VLOOKUP('Newton-Miller_RAW'!E225,'Newton-Miller_Convert'!$I$1:$J$6,2,FALSE)</f>
        <v>0.25</v>
      </c>
      <c r="F225">
        <f t="shared" si="6"/>
        <v>0.25</v>
      </c>
      <c r="G225">
        <f t="shared" si="7"/>
        <v>0</v>
      </c>
    </row>
    <row r="226" spans="1:7" x14ac:dyDescent="0.3">
      <c r="A226">
        <v>225</v>
      </c>
      <c r="B226">
        <f>'Newton-Miller_RAW'!B226</f>
        <v>300</v>
      </c>
      <c r="C226">
        <f>'Newton-Miller_RAW'!C226</f>
        <v>350</v>
      </c>
      <c r="D226">
        <f>VLOOKUP('Newton-Miller_RAW'!D226,'Newton-Miller_Convert'!$I$1:$J$6,2,FALSE)</f>
        <v>0.25</v>
      </c>
      <c r="E226">
        <f>VLOOKUP('Newton-Miller_RAW'!E226,'Newton-Miller_Convert'!$I$1:$J$6,2,FALSE)</f>
        <v>0.25</v>
      </c>
      <c r="F226">
        <f t="shared" si="6"/>
        <v>0.25</v>
      </c>
      <c r="G226">
        <f t="shared" si="7"/>
        <v>0</v>
      </c>
    </row>
    <row r="227" spans="1:7" x14ac:dyDescent="0.3">
      <c r="A227">
        <v>226</v>
      </c>
      <c r="B227">
        <f>'Newton-Miller_RAW'!B227</f>
        <v>200</v>
      </c>
      <c r="C227">
        <f>'Newton-Miller_RAW'!C227</f>
        <v>275</v>
      </c>
      <c r="D227">
        <f>VLOOKUP('Newton-Miller_RAW'!D227,'Newton-Miller_Convert'!$I$1:$J$6,2,FALSE)</f>
        <v>0.25</v>
      </c>
      <c r="E227">
        <f>VLOOKUP('Newton-Miller_RAW'!E227,'Newton-Miller_Convert'!$I$1:$J$6,2,FALSE)</f>
        <v>0.1</v>
      </c>
      <c r="F227">
        <f t="shared" si="6"/>
        <v>0.1</v>
      </c>
      <c r="G227">
        <f t="shared" si="7"/>
        <v>0.15</v>
      </c>
    </row>
    <row r="228" spans="1:7" x14ac:dyDescent="0.3">
      <c r="A228">
        <v>227</v>
      </c>
      <c r="B228">
        <f>'Newton-Miller_RAW'!B228</f>
        <v>150</v>
      </c>
      <c r="C228">
        <f>'Newton-Miller_RAW'!C228</f>
        <v>199</v>
      </c>
      <c r="D228">
        <f>VLOOKUP('Newton-Miller_RAW'!D228,'Newton-Miller_Convert'!$I$1:$J$6,2,FALSE)</f>
        <v>0.25</v>
      </c>
      <c r="E228">
        <f>VLOOKUP('Newton-Miller_RAW'!E228,'Newton-Miller_Convert'!$I$1:$J$6,2,FALSE)</f>
        <v>0.1</v>
      </c>
      <c r="F228">
        <f t="shared" si="6"/>
        <v>0.1</v>
      </c>
      <c r="G228">
        <f t="shared" si="7"/>
        <v>0.15</v>
      </c>
    </row>
    <row r="229" spans="1:7" x14ac:dyDescent="0.3">
      <c r="A229">
        <v>228</v>
      </c>
      <c r="B229">
        <f>'Newton-Miller_RAW'!B229</f>
        <v>300</v>
      </c>
      <c r="C229">
        <f>'Newton-Miller_RAW'!C229</f>
        <v>500</v>
      </c>
      <c r="D229">
        <f>VLOOKUP('Newton-Miller_RAW'!D229,'Newton-Miller_Convert'!$I$1:$J$6,2,FALSE)</f>
        <v>0.25</v>
      </c>
      <c r="E229">
        <f>VLOOKUP('Newton-Miller_RAW'!E229,'Newton-Miller_Convert'!$I$1:$J$6,2,FALSE)</f>
        <v>0.1</v>
      </c>
      <c r="F229">
        <f t="shared" si="6"/>
        <v>0.1</v>
      </c>
      <c r="G229">
        <f t="shared" si="7"/>
        <v>0.15</v>
      </c>
    </row>
    <row r="230" spans="1:7" x14ac:dyDescent="0.3">
      <c r="A230">
        <v>229</v>
      </c>
      <c r="B230">
        <f>'Newton-Miller_RAW'!B230</f>
        <v>89</v>
      </c>
      <c r="C230">
        <f>'Newton-Miller_RAW'!C230</f>
        <v>100</v>
      </c>
      <c r="D230">
        <f>VLOOKUP('Newton-Miller_RAW'!D230,'Newton-Miller_Convert'!$I$1:$J$6,2,FALSE)</f>
        <v>0.25</v>
      </c>
      <c r="E230">
        <f>VLOOKUP('Newton-Miller_RAW'!E230,'Newton-Miller_Convert'!$I$1:$J$6,2,FALSE)</f>
        <v>0.25</v>
      </c>
      <c r="F230">
        <f t="shared" si="6"/>
        <v>0.25</v>
      </c>
      <c r="G230">
        <f t="shared" si="7"/>
        <v>0</v>
      </c>
    </row>
    <row r="231" spans="1:7" x14ac:dyDescent="0.3">
      <c r="A231">
        <v>230</v>
      </c>
      <c r="B231">
        <f>'Newton-Miller_RAW'!B231</f>
        <v>150</v>
      </c>
      <c r="C231">
        <f>'Newton-Miller_RAW'!C231</f>
        <v>180</v>
      </c>
      <c r="D231">
        <f>VLOOKUP('Newton-Miller_RAW'!D231,'Newton-Miller_Convert'!$I$1:$J$6,2,FALSE)</f>
        <v>0.25</v>
      </c>
      <c r="E231">
        <f>VLOOKUP('Newton-Miller_RAW'!E231,'Newton-Miller_Convert'!$I$1:$J$6,2,FALSE)</f>
        <v>0.25</v>
      </c>
      <c r="F231">
        <f t="shared" si="6"/>
        <v>0.25</v>
      </c>
      <c r="G231">
        <f t="shared" si="7"/>
        <v>0</v>
      </c>
    </row>
    <row r="232" spans="1:7" x14ac:dyDescent="0.3">
      <c r="A232">
        <v>231</v>
      </c>
      <c r="B232">
        <f>'Newton-Miller_RAW'!B232</f>
        <v>238</v>
      </c>
      <c r="C232">
        <f>'Newton-Miller_RAW'!C232</f>
        <v>239</v>
      </c>
      <c r="D232">
        <f>VLOOKUP('Newton-Miller_RAW'!D232,'Newton-Miller_Convert'!$I$1:$J$6,2,FALSE)</f>
        <v>0.25</v>
      </c>
      <c r="E232">
        <f>VLOOKUP('Newton-Miller_RAW'!E232,'Newton-Miller_Convert'!$I$1:$J$6,2,FALSE)</f>
        <v>0.25</v>
      </c>
      <c r="F232">
        <f t="shared" si="6"/>
        <v>0.25</v>
      </c>
      <c r="G232">
        <f t="shared" si="7"/>
        <v>0</v>
      </c>
    </row>
    <row r="233" spans="1:7" x14ac:dyDescent="0.3">
      <c r="A233">
        <v>232</v>
      </c>
      <c r="B233">
        <f>'Newton-Miller_RAW'!B233</f>
        <v>350</v>
      </c>
      <c r="C233">
        <f>'Newton-Miller_RAW'!C233</f>
        <v>500</v>
      </c>
      <c r="D233">
        <f>VLOOKUP('Newton-Miller_RAW'!D233,'Newton-Miller_Convert'!$I$1:$J$6,2,FALSE)</f>
        <v>0.75</v>
      </c>
      <c r="E233">
        <f>VLOOKUP('Newton-Miller_RAW'!E233,'Newton-Miller_Convert'!$I$1:$J$6,2,FALSE)</f>
        <v>0.1</v>
      </c>
      <c r="F233">
        <f t="shared" si="6"/>
        <v>0.1</v>
      </c>
      <c r="G233">
        <f t="shared" si="7"/>
        <v>0.65</v>
      </c>
    </row>
    <row r="234" spans="1:7" x14ac:dyDescent="0.3">
      <c r="A234">
        <v>233</v>
      </c>
      <c r="B234">
        <f>'Newton-Miller_RAW'!B234</f>
        <v>400</v>
      </c>
      <c r="C234">
        <f>'Newton-Miller_RAW'!C234</f>
        <v>500</v>
      </c>
      <c r="D234">
        <f>VLOOKUP('Newton-Miller_RAW'!D234,'Newton-Miller_Convert'!$I$1:$J$6,2,FALSE)</f>
        <v>0.75</v>
      </c>
      <c r="E234">
        <f>VLOOKUP('Newton-Miller_RAW'!E234,'Newton-Miller_Convert'!$I$1:$J$6,2,FALSE)</f>
        <v>0.25</v>
      </c>
      <c r="F234">
        <f t="shared" si="6"/>
        <v>0.25</v>
      </c>
      <c r="G234">
        <f t="shared" si="7"/>
        <v>0.5</v>
      </c>
    </row>
    <row r="235" spans="1:7" x14ac:dyDescent="0.3">
      <c r="A235">
        <v>234</v>
      </c>
      <c r="B235">
        <f>'Newton-Miller_RAW'!B235</f>
        <v>300</v>
      </c>
      <c r="C235">
        <f>'Newton-Miller_RAW'!C235</f>
        <v>350</v>
      </c>
      <c r="D235">
        <f>VLOOKUP('Newton-Miller_RAW'!D235,'Newton-Miller_Convert'!$I$1:$J$6,2,FALSE)</f>
        <v>0.1</v>
      </c>
      <c r="E235">
        <f>VLOOKUP('Newton-Miller_RAW'!E235,'Newton-Miller_Convert'!$I$1:$J$6,2,FALSE)</f>
        <v>0.1</v>
      </c>
      <c r="F235">
        <f t="shared" si="6"/>
        <v>0.1</v>
      </c>
      <c r="G235">
        <f t="shared" si="7"/>
        <v>0</v>
      </c>
    </row>
    <row r="236" spans="1:7" x14ac:dyDescent="0.3">
      <c r="A236">
        <v>235</v>
      </c>
      <c r="B236">
        <f>'Newton-Miller_RAW'!B236</f>
        <v>200</v>
      </c>
      <c r="C236">
        <f>'Newton-Miller_RAW'!C236</f>
        <v>250</v>
      </c>
      <c r="D236">
        <f>VLOOKUP('Newton-Miller_RAW'!D236,'Newton-Miller_Convert'!$I$1:$J$6,2,FALSE)</f>
        <v>0.25</v>
      </c>
      <c r="E236">
        <f>VLOOKUP('Newton-Miller_RAW'!E236,'Newton-Miller_Convert'!$I$1:$J$6,2,FALSE)</f>
        <v>0.1</v>
      </c>
      <c r="F236">
        <f t="shared" si="6"/>
        <v>0.1</v>
      </c>
      <c r="G236">
        <f t="shared" si="7"/>
        <v>0.15</v>
      </c>
    </row>
    <row r="237" spans="1:7" x14ac:dyDescent="0.3">
      <c r="A237">
        <v>236</v>
      </c>
      <c r="B237">
        <f>'Newton-Miller_RAW'!B237</f>
        <v>200</v>
      </c>
      <c r="C237">
        <f>'Newton-Miller_RAW'!C237</f>
        <v>250</v>
      </c>
      <c r="D237">
        <f>VLOOKUP('Newton-Miller_RAW'!D237,'Newton-Miller_Convert'!$I$1:$J$6,2,FALSE)</f>
        <v>0.1</v>
      </c>
      <c r="E237">
        <f>VLOOKUP('Newton-Miller_RAW'!E237,'Newton-Miller_Convert'!$I$1:$J$6,2,FALSE)</f>
        <v>0.25</v>
      </c>
      <c r="F237">
        <f t="shared" si="6"/>
        <v>0.1</v>
      </c>
      <c r="G237">
        <f t="shared" si="7"/>
        <v>0</v>
      </c>
    </row>
    <row r="238" spans="1:7" x14ac:dyDescent="0.3">
      <c r="A238">
        <v>237</v>
      </c>
      <c r="B238">
        <f>'Newton-Miller_RAW'!B238</f>
        <v>150</v>
      </c>
      <c r="C238">
        <f>'Newton-Miller_RAW'!C238</f>
        <v>155</v>
      </c>
      <c r="D238">
        <f>VLOOKUP('Newton-Miller_RAW'!D238,'Newton-Miller_Convert'!$I$1:$J$6,2,FALSE)</f>
        <v>0.25</v>
      </c>
      <c r="E238">
        <f>VLOOKUP('Newton-Miller_RAW'!E238,'Newton-Miller_Convert'!$I$1:$J$6,2,FALSE)</f>
        <v>0.1</v>
      </c>
      <c r="F238">
        <f t="shared" si="6"/>
        <v>0.1</v>
      </c>
      <c r="G238">
        <f t="shared" si="7"/>
        <v>0.15</v>
      </c>
    </row>
    <row r="239" spans="1:7" x14ac:dyDescent="0.3">
      <c r="A239">
        <v>238</v>
      </c>
      <c r="B239">
        <f>'Newton-Miller_RAW'!B239</f>
        <v>200</v>
      </c>
      <c r="C239">
        <f>'Newton-Miller_RAW'!C239</f>
        <v>250</v>
      </c>
      <c r="D239">
        <f>VLOOKUP('Newton-Miller_RAW'!D239,'Newton-Miller_Convert'!$I$1:$J$6,2,FALSE)</f>
        <v>0.1</v>
      </c>
      <c r="E239">
        <f>VLOOKUP('Newton-Miller_RAW'!E239,'Newton-Miller_Convert'!$I$1:$J$6,2,FALSE)</f>
        <v>0.1</v>
      </c>
      <c r="F239">
        <f t="shared" si="6"/>
        <v>0.1</v>
      </c>
      <c r="G239">
        <f t="shared" si="7"/>
        <v>0</v>
      </c>
    </row>
    <row r="240" spans="1:7" x14ac:dyDescent="0.3">
      <c r="A240">
        <v>239</v>
      </c>
      <c r="B240">
        <f>'Newton-Miller_RAW'!B240</f>
        <v>100</v>
      </c>
      <c r="C240">
        <f>'Newton-Miller_RAW'!C240</f>
        <v>101</v>
      </c>
      <c r="D240">
        <f>VLOOKUP('Newton-Miller_RAW'!D240,'Newton-Miller_Convert'!$I$1:$J$6,2,FALSE)</f>
        <v>0.1</v>
      </c>
      <c r="E240">
        <f>VLOOKUP('Newton-Miller_RAW'!E240,'Newton-Miller_Convert'!$I$1:$J$6,2,FALSE)</f>
        <v>0</v>
      </c>
      <c r="F240">
        <f t="shared" si="6"/>
        <v>0</v>
      </c>
      <c r="G240">
        <f t="shared" si="7"/>
        <v>0.1</v>
      </c>
    </row>
    <row r="241" spans="1:7" x14ac:dyDescent="0.3">
      <c r="A241">
        <v>240</v>
      </c>
      <c r="B241">
        <f>'Newton-Miller_RAW'!B241</f>
        <v>50</v>
      </c>
      <c r="C241">
        <f>'Newton-Miller_RAW'!C241</f>
        <v>70</v>
      </c>
      <c r="D241">
        <f>VLOOKUP('Newton-Miller_RAW'!D241,'Newton-Miller_Convert'!$I$1:$J$6,2,FALSE)</f>
        <v>0</v>
      </c>
      <c r="E241">
        <f>VLOOKUP('Newton-Miller_RAW'!E241,'Newton-Miller_Convert'!$I$1:$J$6,2,FALSE)</f>
        <v>0</v>
      </c>
      <c r="F241">
        <f t="shared" si="6"/>
        <v>0</v>
      </c>
      <c r="G241">
        <f t="shared" si="7"/>
        <v>0</v>
      </c>
    </row>
    <row r="242" spans="1:7" x14ac:dyDescent="0.3">
      <c r="A242">
        <v>241</v>
      </c>
      <c r="B242">
        <f>'Newton-Miller_RAW'!B242</f>
        <v>120</v>
      </c>
      <c r="C242">
        <f>'Newton-Miller_RAW'!C242</f>
        <v>150</v>
      </c>
      <c r="D242">
        <f>VLOOKUP('Newton-Miller_RAW'!D242,'Newton-Miller_Convert'!$I$1:$J$6,2,FALSE)</f>
        <v>0.75</v>
      </c>
      <c r="E242">
        <f>VLOOKUP('Newton-Miller_RAW'!E242,'Newton-Miller_Convert'!$I$1:$J$6,2,FALSE)</f>
        <v>0.25</v>
      </c>
      <c r="F242">
        <f t="shared" si="6"/>
        <v>0.25</v>
      </c>
      <c r="G242">
        <f t="shared" si="7"/>
        <v>0.5</v>
      </c>
    </row>
    <row r="243" spans="1:7" x14ac:dyDescent="0.3">
      <c r="A243">
        <v>242</v>
      </c>
      <c r="B243">
        <f>'Newton-Miller_RAW'!B243</f>
        <v>150</v>
      </c>
      <c r="C243">
        <f>'Newton-Miller_RAW'!C243</f>
        <v>309</v>
      </c>
      <c r="D243">
        <f>VLOOKUP('Newton-Miller_RAW'!D243,'Newton-Miller_Convert'!$I$1:$J$6,2,FALSE)</f>
        <v>0.75</v>
      </c>
      <c r="E243">
        <f>VLOOKUP('Newton-Miller_RAW'!E243,'Newton-Miller_Convert'!$I$1:$J$6,2,FALSE)</f>
        <v>0.1</v>
      </c>
      <c r="F243">
        <f t="shared" si="6"/>
        <v>0.1</v>
      </c>
      <c r="G243">
        <f t="shared" si="7"/>
        <v>0.65</v>
      </c>
    </row>
    <row r="244" spans="1:7" x14ac:dyDescent="0.3">
      <c r="A244">
        <v>243</v>
      </c>
      <c r="B244">
        <f>'Newton-Miller_RAW'!B244</f>
        <v>200</v>
      </c>
      <c r="C244">
        <f>'Newton-Miller_RAW'!C244</f>
        <v>400</v>
      </c>
      <c r="D244">
        <f>VLOOKUP('Newton-Miller_RAW'!D244,'Newton-Miller_Convert'!$I$1:$J$6,2,FALSE)</f>
        <v>0.75</v>
      </c>
      <c r="E244">
        <f>VLOOKUP('Newton-Miller_RAW'!E244,'Newton-Miller_Convert'!$I$1:$J$6,2,FALSE)</f>
        <v>0.25</v>
      </c>
      <c r="F244">
        <f t="shared" si="6"/>
        <v>0.25</v>
      </c>
      <c r="G244">
        <f t="shared" si="7"/>
        <v>0.5</v>
      </c>
    </row>
    <row r="245" spans="1:7" x14ac:dyDescent="0.3">
      <c r="A245">
        <v>244</v>
      </c>
      <c r="B245">
        <f>'Newton-Miller_RAW'!B245</f>
        <v>500</v>
      </c>
      <c r="C245">
        <f>'Newton-Miller_RAW'!C245</f>
        <v>575</v>
      </c>
      <c r="D245">
        <f>VLOOKUP('Newton-Miller_RAW'!D245,'Newton-Miller_Convert'!$I$1:$J$6,2,FALSE)</f>
        <v>0.25</v>
      </c>
      <c r="E245">
        <f>VLOOKUP('Newton-Miller_RAW'!E245,'Newton-Miller_Convert'!$I$1:$J$6,2,FALSE)</f>
        <v>0.1</v>
      </c>
      <c r="F245">
        <f t="shared" si="6"/>
        <v>0.1</v>
      </c>
      <c r="G245">
        <f t="shared" si="7"/>
        <v>0.15</v>
      </c>
    </row>
    <row r="246" spans="1:7" x14ac:dyDescent="0.3">
      <c r="A246">
        <v>245</v>
      </c>
      <c r="B246">
        <f>'Newton-Miller_RAW'!B246</f>
        <v>250</v>
      </c>
      <c r="C246">
        <f>'Newton-Miller_RAW'!C246</f>
        <v>280</v>
      </c>
      <c r="D246">
        <f>VLOOKUP('Newton-Miller_RAW'!D246,'Newton-Miller_Convert'!$I$1:$J$6,2,FALSE)</f>
        <v>0.25</v>
      </c>
      <c r="E246">
        <f>VLOOKUP('Newton-Miller_RAW'!E246,'Newton-Miller_Convert'!$I$1:$J$6,2,FALSE)</f>
        <v>0.25</v>
      </c>
      <c r="F246">
        <f t="shared" si="6"/>
        <v>0.25</v>
      </c>
      <c r="G246">
        <f t="shared" si="7"/>
        <v>0</v>
      </c>
    </row>
    <row r="247" spans="1:7" x14ac:dyDescent="0.3">
      <c r="A247">
        <v>246</v>
      </c>
      <c r="B247">
        <f>'Newton-Miller_RAW'!B247</f>
        <v>200</v>
      </c>
      <c r="C247">
        <f>'Newton-Miller_RAW'!C247</f>
        <v>250</v>
      </c>
      <c r="D247">
        <f>VLOOKUP('Newton-Miller_RAW'!D247,'Newton-Miller_Convert'!$I$1:$J$6,2,FALSE)</f>
        <v>0.75</v>
      </c>
      <c r="E247">
        <f>VLOOKUP('Newton-Miller_RAW'!E247,'Newton-Miller_Convert'!$I$1:$J$6,2,FALSE)</f>
        <v>0.75</v>
      </c>
      <c r="F247">
        <f t="shared" si="6"/>
        <v>0.75</v>
      </c>
      <c r="G247">
        <f t="shared" si="7"/>
        <v>0</v>
      </c>
    </row>
    <row r="248" spans="1:7" x14ac:dyDescent="0.3">
      <c r="A248">
        <v>247</v>
      </c>
      <c r="B248">
        <f>'Newton-Miller_RAW'!B248</f>
        <v>170</v>
      </c>
      <c r="C248">
        <f>'Newton-Miller_RAW'!C248</f>
        <v>200</v>
      </c>
      <c r="D248">
        <f>VLOOKUP('Newton-Miller_RAW'!D248,'Newton-Miller_Convert'!$I$1:$J$6,2,FALSE)</f>
        <v>0.75</v>
      </c>
      <c r="E248">
        <f>VLOOKUP('Newton-Miller_RAW'!E248,'Newton-Miller_Convert'!$I$1:$J$6,2,FALSE)</f>
        <v>0.75</v>
      </c>
      <c r="F248">
        <f t="shared" si="6"/>
        <v>0.75</v>
      </c>
      <c r="G248">
        <f t="shared" si="7"/>
        <v>0</v>
      </c>
    </row>
    <row r="249" spans="1:7" x14ac:dyDescent="0.3">
      <c r="A249">
        <v>248</v>
      </c>
      <c r="B249">
        <f>'Newton-Miller_RAW'!B249</f>
        <v>150</v>
      </c>
      <c r="C249">
        <f>'Newton-Miller_RAW'!C249</f>
        <v>200</v>
      </c>
      <c r="D249">
        <f>VLOOKUP('Newton-Miller_RAW'!D249,'Newton-Miller_Convert'!$I$1:$J$6,2,FALSE)</f>
        <v>0.25</v>
      </c>
      <c r="E249">
        <f>VLOOKUP('Newton-Miller_RAW'!E249,'Newton-Miller_Convert'!$I$1:$J$6,2,FALSE)</f>
        <v>0.1</v>
      </c>
      <c r="F249">
        <f t="shared" si="6"/>
        <v>0.1</v>
      </c>
      <c r="G249">
        <f t="shared" si="7"/>
        <v>0.15</v>
      </c>
    </row>
    <row r="250" spans="1:7" x14ac:dyDescent="0.3">
      <c r="A250">
        <v>249</v>
      </c>
      <c r="B250">
        <f>'Newton-Miller_RAW'!B250</f>
        <v>126</v>
      </c>
      <c r="C250">
        <f>'Newton-Miller_RAW'!C250</f>
        <v>127</v>
      </c>
      <c r="D250">
        <f>VLOOKUP('Newton-Miller_RAW'!D250,'Newton-Miller_Convert'!$I$1:$J$6,2,FALSE)</f>
        <v>0.25</v>
      </c>
      <c r="E250">
        <f>VLOOKUP('Newton-Miller_RAW'!E250,'Newton-Miller_Convert'!$I$1:$J$6,2,FALSE)</f>
        <v>0.75</v>
      </c>
      <c r="F250">
        <f t="shared" si="6"/>
        <v>0.25</v>
      </c>
      <c r="G250">
        <f t="shared" si="7"/>
        <v>0</v>
      </c>
    </row>
    <row r="251" spans="1:7" x14ac:dyDescent="0.3">
      <c r="A251">
        <v>250</v>
      </c>
      <c r="B251">
        <f>'Newton-Miller_RAW'!B251</f>
        <v>250</v>
      </c>
      <c r="C251">
        <f>'Newton-Miller_RAW'!C251</f>
        <v>300</v>
      </c>
      <c r="D251">
        <f>VLOOKUP('Newton-Miller_RAW'!D251,'Newton-Miller_Convert'!$I$1:$J$6,2,FALSE)</f>
        <v>0.75</v>
      </c>
      <c r="E251">
        <f>VLOOKUP('Newton-Miller_RAW'!E251,'Newton-Miller_Convert'!$I$1:$J$6,2,FALSE)</f>
        <v>0.75</v>
      </c>
      <c r="F251">
        <f t="shared" si="6"/>
        <v>0.75</v>
      </c>
      <c r="G251">
        <f t="shared" si="7"/>
        <v>0</v>
      </c>
    </row>
    <row r="252" spans="1:7" x14ac:dyDescent="0.3">
      <c r="A252">
        <v>251</v>
      </c>
      <c r="B252">
        <f>'Newton-Miller_RAW'!B252</f>
        <v>100</v>
      </c>
      <c r="C252">
        <f>'Newton-Miller_RAW'!C252</f>
        <v>120</v>
      </c>
      <c r="D252">
        <f>VLOOKUP('Newton-Miller_RAW'!D252,'Newton-Miller_Convert'!$I$1:$J$6,2,FALSE)</f>
        <v>0.25</v>
      </c>
      <c r="E252">
        <f>VLOOKUP('Newton-Miller_RAW'!E252,'Newton-Miller_Convert'!$I$1:$J$6,2,FALSE)</f>
        <v>0.1</v>
      </c>
      <c r="F252">
        <f t="shared" si="6"/>
        <v>0.1</v>
      </c>
      <c r="G252">
        <f t="shared" si="7"/>
        <v>0.15</v>
      </c>
    </row>
    <row r="253" spans="1:7" x14ac:dyDescent="0.3">
      <c r="A253">
        <v>252</v>
      </c>
      <c r="B253">
        <f>'Newton-Miller_RAW'!B253</f>
        <v>250</v>
      </c>
      <c r="C253">
        <f>'Newton-Miller_RAW'!C253</f>
        <v>270</v>
      </c>
      <c r="D253">
        <f>VLOOKUP('Newton-Miller_RAW'!D253,'Newton-Miller_Convert'!$I$1:$J$6,2,FALSE)</f>
        <v>0.25</v>
      </c>
      <c r="E253">
        <f>VLOOKUP('Newton-Miller_RAW'!E253,'Newton-Miller_Convert'!$I$1:$J$6,2,FALSE)</f>
        <v>0.25</v>
      </c>
      <c r="F253">
        <f t="shared" si="6"/>
        <v>0.25</v>
      </c>
      <c r="G253">
        <f t="shared" si="7"/>
        <v>0</v>
      </c>
    </row>
    <row r="254" spans="1:7" x14ac:dyDescent="0.3">
      <c r="A254">
        <v>253</v>
      </c>
      <c r="B254">
        <f>'Newton-Miller_RAW'!B254</f>
        <v>100</v>
      </c>
      <c r="C254">
        <f>'Newton-Miller_RAW'!C254</f>
        <v>120</v>
      </c>
      <c r="D254">
        <f>VLOOKUP('Newton-Miller_RAW'!D254,'Newton-Miller_Convert'!$I$1:$J$6,2,FALSE)</f>
        <v>0.75</v>
      </c>
      <c r="E254">
        <f>VLOOKUP('Newton-Miller_RAW'!E254,'Newton-Miller_Convert'!$I$1:$J$6,2,FALSE)</f>
        <v>0.75</v>
      </c>
      <c r="F254">
        <f t="shared" si="6"/>
        <v>0.75</v>
      </c>
      <c r="G254">
        <f t="shared" si="7"/>
        <v>0</v>
      </c>
    </row>
    <row r="255" spans="1:7" x14ac:dyDescent="0.3">
      <c r="A255">
        <v>254</v>
      </c>
      <c r="B255">
        <f>'Newton-Miller_RAW'!B255</f>
        <v>189</v>
      </c>
      <c r="C255">
        <f>'Newton-Miller_RAW'!C255</f>
        <v>220</v>
      </c>
      <c r="D255">
        <f>VLOOKUP('Newton-Miller_RAW'!D255,'Newton-Miller_Convert'!$I$1:$J$6,2,FALSE)</f>
        <v>0.1</v>
      </c>
      <c r="E255">
        <f>VLOOKUP('Newton-Miller_RAW'!E255,'Newton-Miller_Convert'!$I$1:$J$6,2,FALSE)</f>
        <v>0.1</v>
      </c>
      <c r="F255">
        <f t="shared" si="6"/>
        <v>0.1</v>
      </c>
      <c r="G255">
        <f t="shared" si="7"/>
        <v>0</v>
      </c>
    </row>
    <row r="256" spans="1:7" x14ac:dyDescent="0.3">
      <c r="A256">
        <v>255</v>
      </c>
      <c r="B256">
        <f>'Newton-Miller_RAW'!B256</f>
        <v>40</v>
      </c>
      <c r="C256">
        <f>'Newton-Miller_RAW'!C256</f>
        <v>50</v>
      </c>
      <c r="D256">
        <f>VLOOKUP('Newton-Miller_RAW'!D256,'Newton-Miller_Convert'!$I$1:$J$6,2,FALSE)</f>
        <v>0.25</v>
      </c>
      <c r="E256">
        <f>VLOOKUP('Newton-Miller_RAW'!E256,'Newton-Miller_Convert'!$I$1:$J$6,2,FALSE)</f>
        <v>0.1</v>
      </c>
      <c r="F256">
        <f t="shared" si="6"/>
        <v>0.1</v>
      </c>
      <c r="G256">
        <f t="shared" si="7"/>
        <v>0.15</v>
      </c>
    </row>
    <row r="257" spans="1:7" x14ac:dyDescent="0.3">
      <c r="A257">
        <v>256</v>
      </c>
      <c r="B257">
        <f>'Newton-Miller_RAW'!B257</f>
        <v>30</v>
      </c>
      <c r="C257">
        <f>'Newton-Miller_RAW'!C257</f>
        <v>35</v>
      </c>
      <c r="D257">
        <f>VLOOKUP('Newton-Miller_RAW'!D257,'Newton-Miller_Convert'!$I$1:$J$6,2,FALSE)</f>
        <v>0.75</v>
      </c>
      <c r="E257">
        <f>VLOOKUP('Newton-Miller_RAW'!E257,'Newton-Miller_Convert'!$I$1:$J$6,2,FALSE)</f>
        <v>0.75</v>
      </c>
      <c r="F257">
        <f t="shared" si="6"/>
        <v>0.75</v>
      </c>
      <c r="G257">
        <f t="shared" si="7"/>
        <v>0</v>
      </c>
    </row>
    <row r="258" spans="1:7" x14ac:dyDescent="0.3">
      <c r="A258">
        <v>257</v>
      </c>
      <c r="B258">
        <f>'Newton-Miller_RAW'!B258</f>
        <v>249</v>
      </c>
      <c r="C258">
        <f>'Newton-Miller_RAW'!C258</f>
        <v>300</v>
      </c>
      <c r="D258">
        <f>VLOOKUP('Newton-Miller_RAW'!D258,'Newton-Miller_Convert'!$I$1:$J$6,2,FALSE)</f>
        <v>0.1</v>
      </c>
      <c r="E258">
        <f>VLOOKUP('Newton-Miller_RAW'!E258,'Newton-Miller_Convert'!$I$1:$J$6,2,FALSE)</f>
        <v>0</v>
      </c>
      <c r="F258">
        <f t="shared" si="6"/>
        <v>0</v>
      </c>
      <c r="G258">
        <f t="shared" si="7"/>
        <v>0.1</v>
      </c>
    </row>
    <row r="259" spans="1:7" x14ac:dyDescent="0.3">
      <c r="A259">
        <v>258</v>
      </c>
      <c r="B259">
        <f>'Newton-Miller_RAW'!B259</f>
        <v>300</v>
      </c>
      <c r="C259">
        <f>'Newton-Miller_RAW'!C259</f>
        <v>380</v>
      </c>
      <c r="D259">
        <f>VLOOKUP('Newton-Miller_RAW'!D259,'Newton-Miller_Convert'!$I$1:$J$6,2,FALSE)</f>
        <v>0.75</v>
      </c>
      <c r="E259">
        <f>VLOOKUP('Newton-Miller_RAW'!E259,'Newton-Miller_Convert'!$I$1:$J$6,2,FALSE)</f>
        <v>0.75</v>
      </c>
      <c r="F259">
        <f t="shared" ref="F259:F322" si="8">IF(E259&gt;D259,D259,E259)</f>
        <v>0.75</v>
      </c>
      <c r="G259">
        <f t="shared" ref="G259:G322" si="9">D259-F259</f>
        <v>0</v>
      </c>
    </row>
    <row r="260" spans="1:7" x14ac:dyDescent="0.3">
      <c r="A260">
        <v>259</v>
      </c>
      <c r="B260">
        <f>'Newton-Miller_RAW'!B260</f>
        <v>260</v>
      </c>
      <c r="C260">
        <f>'Newton-Miller_RAW'!C260</f>
        <v>360</v>
      </c>
      <c r="D260">
        <f>VLOOKUP('Newton-Miller_RAW'!D260,'Newton-Miller_Convert'!$I$1:$J$6,2,FALSE)</f>
        <v>0.75</v>
      </c>
      <c r="E260">
        <f>VLOOKUP('Newton-Miller_RAW'!E260,'Newton-Miller_Convert'!$I$1:$J$6,2,FALSE)</f>
        <v>0.25</v>
      </c>
      <c r="F260">
        <f t="shared" si="8"/>
        <v>0.25</v>
      </c>
      <c r="G260">
        <f t="shared" si="9"/>
        <v>0.5</v>
      </c>
    </row>
    <row r="261" spans="1:7" x14ac:dyDescent="0.3">
      <c r="A261">
        <v>260</v>
      </c>
      <c r="B261">
        <f>'Newton-Miller_RAW'!B261</f>
        <v>350</v>
      </c>
      <c r="C261">
        <f>'Newton-Miller_RAW'!C261</f>
        <v>400</v>
      </c>
      <c r="D261">
        <f>VLOOKUP('Newton-Miller_RAW'!D261,'Newton-Miller_Convert'!$I$1:$J$6,2,FALSE)</f>
        <v>0.1</v>
      </c>
      <c r="E261">
        <f>VLOOKUP('Newton-Miller_RAW'!E261,'Newton-Miller_Convert'!$I$1:$J$6,2,FALSE)</f>
        <v>0.1</v>
      </c>
      <c r="F261">
        <f t="shared" si="8"/>
        <v>0.1</v>
      </c>
      <c r="G261">
        <f t="shared" si="9"/>
        <v>0</v>
      </c>
    </row>
    <row r="262" spans="1:7" x14ac:dyDescent="0.3">
      <c r="A262">
        <v>261</v>
      </c>
      <c r="B262">
        <f>'Newton-Miller_RAW'!B262</f>
        <v>210</v>
      </c>
      <c r="C262">
        <f>'Newton-Miller_RAW'!C262</f>
        <v>350</v>
      </c>
      <c r="D262">
        <f>VLOOKUP('Newton-Miller_RAW'!D262,'Newton-Miller_Convert'!$I$1:$J$6,2,FALSE)</f>
        <v>0.75</v>
      </c>
      <c r="E262">
        <f>VLOOKUP('Newton-Miller_RAW'!E262,'Newton-Miller_Convert'!$I$1:$J$6,2,FALSE)</f>
        <v>0.25</v>
      </c>
      <c r="F262">
        <f t="shared" si="8"/>
        <v>0.25</v>
      </c>
      <c r="G262">
        <f t="shared" si="9"/>
        <v>0.5</v>
      </c>
    </row>
    <row r="263" spans="1:7" x14ac:dyDescent="0.3">
      <c r="A263">
        <v>262</v>
      </c>
      <c r="B263">
        <f>'Newton-Miller_RAW'!B263</f>
        <v>90</v>
      </c>
      <c r="C263">
        <f>'Newton-Miller_RAW'!C263</f>
        <v>130</v>
      </c>
      <c r="D263">
        <f>VLOOKUP('Newton-Miller_RAW'!D263,'Newton-Miller_Convert'!$I$1:$J$6,2,FALSE)</f>
        <v>0.25</v>
      </c>
      <c r="E263">
        <f>VLOOKUP('Newton-Miller_RAW'!E263,'Newton-Miller_Convert'!$I$1:$J$6,2,FALSE)</f>
        <v>0.1</v>
      </c>
      <c r="F263">
        <f t="shared" si="8"/>
        <v>0.1</v>
      </c>
      <c r="G263">
        <f t="shared" si="9"/>
        <v>0.15</v>
      </c>
    </row>
    <row r="264" spans="1:7" x14ac:dyDescent="0.3">
      <c r="A264">
        <v>263</v>
      </c>
      <c r="B264">
        <f>'Newton-Miller_RAW'!B264</f>
        <v>200</v>
      </c>
      <c r="C264">
        <f>'Newton-Miller_RAW'!C264</f>
        <v>250</v>
      </c>
      <c r="D264">
        <f>VLOOKUP('Newton-Miller_RAW'!D264,'Newton-Miller_Convert'!$I$1:$J$6,2,FALSE)</f>
        <v>0.75</v>
      </c>
      <c r="E264">
        <f>VLOOKUP('Newton-Miller_RAW'!E264,'Newton-Miller_Convert'!$I$1:$J$6,2,FALSE)</f>
        <v>0.75</v>
      </c>
      <c r="F264">
        <f t="shared" si="8"/>
        <v>0.75</v>
      </c>
      <c r="G264">
        <f t="shared" si="9"/>
        <v>0</v>
      </c>
    </row>
    <row r="265" spans="1:7" x14ac:dyDescent="0.3">
      <c r="A265">
        <v>264</v>
      </c>
      <c r="B265">
        <f>'Newton-Miller_RAW'!B265</f>
        <v>100</v>
      </c>
      <c r="C265">
        <f>'Newton-Miller_RAW'!C265</f>
        <v>150</v>
      </c>
      <c r="D265">
        <f>VLOOKUP('Newton-Miller_RAW'!D265,'Newton-Miller_Convert'!$I$1:$J$6,2,FALSE)</f>
        <v>0.75</v>
      </c>
      <c r="E265">
        <f>VLOOKUP('Newton-Miller_RAW'!E265,'Newton-Miller_Convert'!$I$1:$J$6,2,FALSE)</f>
        <v>0.75</v>
      </c>
      <c r="F265">
        <f t="shared" si="8"/>
        <v>0.75</v>
      </c>
      <c r="G265">
        <f t="shared" si="9"/>
        <v>0</v>
      </c>
    </row>
    <row r="266" spans="1:7" x14ac:dyDescent="0.3">
      <c r="A266">
        <v>265</v>
      </c>
      <c r="B266">
        <f>'Newton-Miller_RAW'!B266</f>
        <v>250</v>
      </c>
      <c r="C266">
        <f>'Newton-Miller_RAW'!C266</f>
        <v>300</v>
      </c>
      <c r="D266">
        <f>VLOOKUP('Newton-Miller_RAW'!D266,'Newton-Miller_Convert'!$I$1:$J$6,2,FALSE)</f>
        <v>0.75</v>
      </c>
      <c r="E266">
        <f>VLOOKUP('Newton-Miller_RAW'!E266,'Newton-Miller_Convert'!$I$1:$J$6,2,FALSE)</f>
        <v>0.25</v>
      </c>
      <c r="F266">
        <f t="shared" si="8"/>
        <v>0.25</v>
      </c>
      <c r="G266">
        <f t="shared" si="9"/>
        <v>0.5</v>
      </c>
    </row>
    <row r="267" spans="1:7" x14ac:dyDescent="0.3">
      <c r="A267">
        <v>266</v>
      </c>
      <c r="B267">
        <f>'Newton-Miller_RAW'!B267</f>
        <v>150</v>
      </c>
      <c r="C267">
        <f>'Newton-Miller_RAW'!C267</f>
        <v>170</v>
      </c>
      <c r="D267">
        <f>VLOOKUP('Newton-Miller_RAW'!D267,'Newton-Miller_Convert'!$I$1:$J$6,2,FALSE)</f>
        <v>0.25</v>
      </c>
      <c r="E267">
        <f>VLOOKUP('Newton-Miller_RAW'!E267,'Newton-Miller_Convert'!$I$1:$J$6,2,FALSE)</f>
        <v>0.25</v>
      </c>
      <c r="F267">
        <f t="shared" si="8"/>
        <v>0.25</v>
      </c>
      <c r="G267">
        <f t="shared" si="9"/>
        <v>0</v>
      </c>
    </row>
    <row r="268" spans="1:7" x14ac:dyDescent="0.3">
      <c r="A268">
        <v>267</v>
      </c>
      <c r="B268">
        <f>'Newton-Miller_RAW'!B268</f>
        <v>200</v>
      </c>
      <c r="C268">
        <f>'Newton-Miller_RAW'!C268</f>
        <v>250</v>
      </c>
      <c r="D268">
        <f>VLOOKUP('Newton-Miller_RAW'!D268,'Newton-Miller_Convert'!$I$1:$J$6,2,FALSE)</f>
        <v>0.25</v>
      </c>
      <c r="E268">
        <f>VLOOKUP('Newton-Miller_RAW'!E268,'Newton-Miller_Convert'!$I$1:$J$6,2,FALSE)</f>
        <v>0.1</v>
      </c>
      <c r="F268">
        <f t="shared" si="8"/>
        <v>0.1</v>
      </c>
      <c r="G268">
        <f t="shared" si="9"/>
        <v>0.15</v>
      </c>
    </row>
    <row r="269" spans="1:7" x14ac:dyDescent="0.3">
      <c r="A269">
        <v>268</v>
      </c>
      <c r="B269">
        <f>'Newton-Miller_RAW'!B269</f>
        <v>70</v>
      </c>
      <c r="C269">
        <f>'Newton-Miller_RAW'!C269</f>
        <v>120</v>
      </c>
      <c r="D269">
        <f>VLOOKUP('Newton-Miller_RAW'!D269,'Newton-Miller_Convert'!$I$1:$J$6,2,FALSE)</f>
        <v>0.75</v>
      </c>
      <c r="E269">
        <f>VLOOKUP('Newton-Miller_RAW'!E269,'Newton-Miller_Convert'!$I$1:$J$6,2,FALSE)</f>
        <v>0.1</v>
      </c>
      <c r="F269">
        <f t="shared" si="8"/>
        <v>0.1</v>
      </c>
      <c r="G269">
        <f t="shared" si="9"/>
        <v>0.65</v>
      </c>
    </row>
    <row r="270" spans="1:7" x14ac:dyDescent="0.3">
      <c r="A270">
        <v>269</v>
      </c>
      <c r="B270">
        <f>'Newton-Miller_RAW'!B270</f>
        <v>50</v>
      </c>
      <c r="C270">
        <f>'Newton-Miller_RAW'!C270</f>
        <v>60</v>
      </c>
      <c r="D270">
        <f>VLOOKUP('Newton-Miller_RAW'!D270,'Newton-Miller_Convert'!$I$1:$J$6,2,FALSE)</f>
        <v>0.1</v>
      </c>
      <c r="E270">
        <f>VLOOKUP('Newton-Miller_RAW'!E270,'Newton-Miller_Convert'!$I$1:$J$6,2,FALSE)</f>
        <v>0.25</v>
      </c>
      <c r="F270">
        <f t="shared" si="8"/>
        <v>0.1</v>
      </c>
      <c r="G270">
        <f t="shared" si="9"/>
        <v>0</v>
      </c>
    </row>
    <row r="271" spans="1:7" x14ac:dyDescent="0.3">
      <c r="A271">
        <v>270</v>
      </c>
      <c r="B271">
        <f>'Newton-Miller_RAW'!B271</f>
        <v>188</v>
      </c>
      <c r="C271">
        <f>'Newton-Miller_RAW'!C271</f>
        <v>288</v>
      </c>
      <c r="D271">
        <f>VLOOKUP('Newton-Miller_RAW'!D271,'Newton-Miller_Convert'!$I$1:$J$6,2,FALSE)</f>
        <v>0.1</v>
      </c>
      <c r="E271">
        <f>VLOOKUP('Newton-Miller_RAW'!E271,'Newton-Miller_Convert'!$I$1:$J$6,2,FALSE)</f>
        <v>0</v>
      </c>
      <c r="F271">
        <f t="shared" si="8"/>
        <v>0</v>
      </c>
      <c r="G271">
        <f t="shared" si="9"/>
        <v>0.1</v>
      </c>
    </row>
    <row r="272" spans="1:7" x14ac:dyDescent="0.3">
      <c r="A272">
        <v>271</v>
      </c>
      <c r="B272">
        <f>'Newton-Miller_RAW'!B272</f>
        <v>135</v>
      </c>
      <c r="C272">
        <f>'Newton-Miller_RAW'!C272</f>
        <v>140</v>
      </c>
      <c r="D272">
        <f>VLOOKUP('Newton-Miller_RAW'!D272,'Newton-Miller_Convert'!$I$1:$J$6,2,FALSE)</f>
        <v>0.75</v>
      </c>
      <c r="E272">
        <f>VLOOKUP('Newton-Miller_RAW'!E272,'Newton-Miller_Convert'!$I$1:$J$6,2,FALSE)</f>
        <v>0.75</v>
      </c>
      <c r="F272">
        <f t="shared" si="8"/>
        <v>0.75</v>
      </c>
      <c r="G272">
        <f t="shared" si="9"/>
        <v>0</v>
      </c>
    </row>
    <row r="273" spans="1:7" x14ac:dyDescent="0.3">
      <c r="A273">
        <v>272</v>
      </c>
      <c r="B273">
        <f>'Newton-Miller_RAW'!B273</f>
        <v>200</v>
      </c>
      <c r="C273">
        <f>'Newton-Miller_RAW'!C273</f>
        <v>225</v>
      </c>
      <c r="D273">
        <f>VLOOKUP('Newton-Miller_RAW'!D273,'Newton-Miller_Convert'!$I$1:$J$6,2,FALSE)</f>
        <v>0.25</v>
      </c>
      <c r="E273">
        <f>VLOOKUP('Newton-Miller_RAW'!E273,'Newton-Miller_Convert'!$I$1:$J$6,2,FALSE)</f>
        <v>0</v>
      </c>
      <c r="F273">
        <f t="shared" si="8"/>
        <v>0</v>
      </c>
      <c r="G273">
        <f t="shared" si="9"/>
        <v>0.25</v>
      </c>
    </row>
    <row r="274" spans="1:7" x14ac:dyDescent="0.3">
      <c r="A274">
        <v>273</v>
      </c>
      <c r="B274">
        <f>'Newton-Miller_RAW'!B274</f>
        <v>200</v>
      </c>
      <c r="C274">
        <f>'Newton-Miller_RAW'!C274</f>
        <v>400</v>
      </c>
      <c r="D274">
        <f>VLOOKUP('Newton-Miller_RAW'!D274,'Newton-Miller_Convert'!$I$1:$J$6,2,FALSE)</f>
        <v>0.25</v>
      </c>
      <c r="E274">
        <f>VLOOKUP('Newton-Miller_RAW'!E274,'Newton-Miller_Convert'!$I$1:$J$6,2,FALSE)</f>
        <v>0.1</v>
      </c>
      <c r="F274">
        <f t="shared" si="8"/>
        <v>0.1</v>
      </c>
      <c r="G274">
        <f t="shared" si="9"/>
        <v>0.15</v>
      </c>
    </row>
    <row r="275" spans="1:7" x14ac:dyDescent="0.3">
      <c r="A275">
        <v>274</v>
      </c>
      <c r="B275">
        <f>'Newton-Miller_RAW'!B275</f>
        <v>130</v>
      </c>
      <c r="C275">
        <f>'Newton-Miller_RAW'!C275</f>
        <v>200</v>
      </c>
      <c r="D275">
        <f>VLOOKUP('Newton-Miller_RAW'!D275,'Newton-Miller_Convert'!$I$1:$J$6,2,FALSE)</f>
        <v>0.25</v>
      </c>
      <c r="E275">
        <f>VLOOKUP('Newton-Miller_RAW'!E275,'Newton-Miller_Convert'!$I$1:$J$6,2,FALSE)</f>
        <v>0.1</v>
      </c>
      <c r="F275">
        <f t="shared" si="8"/>
        <v>0.1</v>
      </c>
      <c r="G275">
        <f t="shared" si="9"/>
        <v>0.15</v>
      </c>
    </row>
    <row r="276" spans="1:7" x14ac:dyDescent="0.3">
      <c r="A276">
        <v>275</v>
      </c>
      <c r="B276">
        <f>'Newton-Miller_RAW'!B276</f>
        <v>100</v>
      </c>
      <c r="C276">
        <f>'Newton-Miller_RAW'!C276</f>
        <v>150</v>
      </c>
      <c r="D276">
        <f>VLOOKUP('Newton-Miller_RAW'!D276,'Newton-Miller_Convert'!$I$1:$J$6,2,FALSE)</f>
        <v>0.25</v>
      </c>
      <c r="E276">
        <f>VLOOKUP('Newton-Miller_RAW'!E276,'Newton-Miller_Convert'!$I$1:$J$6,2,FALSE)</f>
        <v>0.1</v>
      </c>
      <c r="F276">
        <f t="shared" si="8"/>
        <v>0.1</v>
      </c>
      <c r="G276">
        <f t="shared" si="9"/>
        <v>0.15</v>
      </c>
    </row>
    <row r="277" spans="1:7" x14ac:dyDescent="0.3">
      <c r="A277">
        <v>276</v>
      </c>
      <c r="B277">
        <f>'Newton-Miller_RAW'!B277</f>
        <v>350</v>
      </c>
      <c r="C277">
        <f>'Newton-Miller_RAW'!C277</f>
        <v>380</v>
      </c>
      <c r="D277">
        <f>VLOOKUP('Newton-Miller_RAW'!D277,'Newton-Miller_Convert'!$I$1:$J$6,2,FALSE)</f>
        <v>0.25</v>
      </c>
      <c r="E277">
        <f>VLOOKUP('Newton-Miller_RAW'!E277,'Newton-Miller_Convert'!$I$1:$J$6,2,FALSE)</f>
        <v>0.1</v>
      </c>
      <c r="F277">
        <f t="shared" si="8"/>
        <v>0.1</v>
      </c>
      <c r="G277">
        <f t="shared" si="9"/>
        <v>0.15</v>
      </c>
    </row>
    <row r="278" spans="1:7" x14ac:dyDescent="0.3">
      <c r="A278">
        <v>277</v>
      </c>
      <c r="B278">
        <f>'Newton-Miller_RAW'!B278</f>
        <v>180</v>
      </c>
      <c r="C278">
        <f>'Newton-Miller_RAW'!C278</f>
        <v>250</v>
      </c>
      <c r="D278">
        <f>VLOOKUP('Newton-Miller_RAW'!D278,'Newton-Miller_Convert'!$I$1:$J$6,2,FALSE)</f>
        <v>0</v>
      </c>
      <c r="E278">
        <f>VLOOKUP('Newton-Miller_RAW'!E278,'Newton-Miller_Convert'!$I$1:$J$6,2,FALSE)</f>
        <v>0</v>
      </c>
      <c r="F278">
        <f t="shared" si="8"/>
        <v>0</v>
      </c>
      <c r="G278">
        <f t="shared" si="9"/>
        <v>0</v>
      </c>
    </row>
    <row r="279" spans="1:7" x14ac:dyDescent="0.3">
      <c r="A279">
        <v>278</v>
      </c>
      <c r="B279">
        <f>'Newton-Miller_RAW'!B279</f>
        <v>100</v>
      </c>
      <c r="C279">
        <f>'Newton-Miller_RAW'!C279</f>
        <v>150</v>
      </c>
      <c r="D279">
        <f>VLOOKUP('Newton-Miller_RAW'!D279,'Newton-Miller_Convert'!$I$1:$J$6,2,FALSE)</f>
        <v>0.75</v>
      </c>
      <c r="E279">
        <f>VLOOKUP('Newton-Miller_RAW'!E279,'Newton-Miller_Convert'!$I$1:$J$6,2,FALSE)</f>
        <v>0.25</v>
      </c>
      <c r="F279">
        <f t="shared" si="8"/>
        <v>0.25</v>
      </c>
      <c r="G279">
        <f t="shared" si="9"/>
        <v>0.5</v>
      </c>
    </row>
    <row r="280" spans="1:7" x14ac:dyDescent="0.3">
      <c r="A280">
        <v>279</v>
      </c>
      <c r="B280">
        <f>'Newton-Miller_RAW'!B280</f>
        <v>100</v>
      </c>
      <c r="C280">
        <f>'Newton-Miller_RAW'!C280</f>
        <v>140</v>
      </c>
      <c r="D280">
        <f>VLOOKUP('Newton-Miller_RAW'!D280,'Newton-Miller_Convert'!$I$1:$J$6,2,FALSE)</f>
        <v>0.75</v>
      </c>
      <c r="E280">
        <f>VLOOKUP('Newton-Miller_RAW'!E280,'Newton-Miller_Convert'!$I$1:$J$6,2,FALSE)</f>
        <v>0.25</v>
      </c>
      <c r="F280">
        <f t="shared" si="8"/>
        <v>0.25</v>
      </c>
      <c r="G280">
        <f t="shared" si="9"/>
        <v>0.5</v>
      </c>
    </row>
    <row r="281" spans="1:7" x14ac:dyDescent="0.3">
      <c r="A281">
        <v>280</v>
      </c>
      <c r="B281">
        <f>'Newton-Miller_RAW'!B281</f>
        <v>350</v>
      </c>
      <c r="C281">
        <f>'Newton-Miller_RAW'!C281</f>
        <v>750</v>
      </c>
      <c r="D281">
        <f>VLOOKUP('Newton-Miller_RAW'!D281,'Newton-Miller_Convert'!$I$1:$J$6,2,FALSE)</f>
        <v>0.25</v>
      </c>
      <c r="E281">
        <f>VLOOKUP('Newton-Miller_RAW'!E281,'Newton-Miller_Convert'!$I$1:$J$6,2,FALSE)</f>
        <v>0</v>
      </c>
      <c r="F281">
        <f t="shared" si="8"/>
        <v>0</v>
      </c>
      <c r="G281">
        <f t="shared" si="9"/>
        <v>0.25</v>
      </c>
    </row>
    <row r="282" spans="1:7" x14ac:dyDescent="0.3">
      <c r="A282">
        <v>281</v>
      </c>
      <c r="B282">
        <f>'Newton-Miller_RAW'!B282</f>
        <v>20</v>
      </c>
      <c r="C282">
        <f>'Newton-Miller_RAW'!C282</f>
        <v>22</v>
      </c>
      <c r="D282">
        <f>VLOOKUP('Newton-Miller_RAW'!D282,'Newton-Miller_Convert'!$I$1:$J$6,2,FALSE)</f>
        <v>0.25</v>
      </c>
      <c r="E282">
        <f>VLOOKUP('Newton-Miller_RAW'!E282,'Newton-Miller_Convert'!$I$1:$J$6,2,FALSE)</f>
        <v>0.1</v>
      </c>
      <c r="F282">
        <f t="shared" si="8"/>
        <v>0.1</v>
      </c>
      <c r="G282">
        <f t="shared" si="9"/>
        <v>0.15</v>
      </c>
    </row>
    <row r="283" spans="1:7" x14ac:dyDescent="0.3">
      <c r="A283">
        <v>282</v>
      </c>
      <c r="B283">
        <f>'Newton-Miller_RAW'!B283</f>
        <v>140</v>
      </c>
      <c r="C283">
        <f>'Newton-Miller_RAW'!C283</f>
        <v>150</v>
      </c>
      <c r="D283">
        <f>VLOOKUP('Newton-Miller_RAW'!D283,'Newton-Miller_Convert'!$I$1:$J$6,2,FALSE)</f>
        <v>0.25</v>
      </c>
      <c r="E283">
        <f>VLOOKUP('Newton-Miller_RAW'!E283,'Newton-Miller_Convert'!$I$1:$J$6,2,FALSE)</f>
        <v>0.1</v>
      </c>
      <c r="F283">
        <f t="shared" si="8"/>
        <v>0.1</v>
      </c>
      <c r="G283">
        <f t="shared" si="9"/>
        <v>0.15</v>
      </c>
    </row>
    <row r="284" spans="1:7" x14ac:dyDescent="0.3">
      <c r="A284">
        <v>283</v>
      </c>
      <c r="B284">
        <f>'Newton-Miller_RAW'!B284</f>
        <v>300</v>
      </c>
      <c r="C284">
        <f>'Newton-Miller_RAW'!C284</f>
        <v>400</v>
      </c>
      <c r="D284">
        <f>VLOOKUP('Newton-Miller_RAW'!D284,'Newton-Miller_Convert'!$I$1:$J$6,2,FALSE)</f>
        <v>0.75</v>
      </c>
      <c r="E284">
        <f>VLOOKUP('Newton-Miller_RAW'!E284,'Newton-Miller_Convert'!$I$1:$J$6,2,FALSE)</f>
        <v>0.1</v>
      </c>
      <c r="F284">
        <f t="shared" si="8"/>
        <v>0.1</v>
      </c>
      <c r="G284">
        <f t="shared" si="9"/>
        <v>0.65</v>
      </c>
    </row>
    <row r="285" spans="1:7" x14ac:dyDescent="0.3">
      <c r="A285">
        <v>284</v>
      </c>
      <c r="B285">
        <f>'Newton-Miller_RAW'!B285</f>
        <v>399</v>
      </c>
      <c r="C285">
        <f>'Newton-Miller_RAW'!C285</f>
        <v>400</v>
      </c>
      <c r="D285">
        <f>VLOOKUP('Newton-Miller_RAW'!D285,'Newton-Miller_Convert'!$I$1:$J$6,2,FALSE)</f>
        <v>0.1</v>
      </c>
      <c r="E285">
        <f>VLOOKUP('Newton-Miller_RAW'!E285,'Newton-Miller_Convert'!$I$1:$J$6,2,FALSE)</f>
        <v>0</v>
      </c>
      <c r="F285">
        <f t="shared" si="8"/>
        <v>0</v>
      </c>
      <c r="G285">
        <f t="shared" si="9"/>
        <v>0.1</v>
      </c>
    </row>
    <row r="286" spans="1:7" x14ac:dyDescent="0.3">
      <c r="A286">
        <v>285</v>
      </c>
      <c r="B286">
        <f>'Newton-Miller_RAW'!B286</f>
        <v>150</v>
      </c>
      <c r="C286">
        <f>'Newton-Miller_RAW'!C286</f>
        <v>200</v>
      </c>
      <c r="D286">
        <f>VLOOKUP('Newton-Miller_RAW'!D286,'Newton-Miller_Convert'!$I$1:$J$6,2,FALSE)</f>
        <v>0.25</v>
      </c>
      <c r="E286">
        <f>VLOOKUP('Newton-Miller_RAW'!E286,'Newton-Miller_Convert'!$I$1:$J$6,2,FALSE)</f>
        <v>0.1</v>
      </c>
      <c r="F286">
        <f t="shared" si="8"/>
        <v>0.1</v>
      </c>
      <c r="G286">
        <f t="shared" si="9"/>
        <v>0.15</v>
      </c>
    </row>
    <row r="287" spans="1:7" x14ac:dyDescent="0.3">
      <c r="A287">
        <v>286</v>
      </c>
      <c r="B287">
        <f>'Newton-Miller_RAW'!B287</f>
        <v>72</v>
      </c>
      <c r="C287">
        <f>'Newton-Miller_RAW'!C287</f>
        <v>73</v>
      </c>
      <c r="D287">
        <f>VLOOKUP('Newton-Miller_RAW'!D287,'Newton-Miller_Convert'!$I$1:$J$6,2,FALSE)</f>
        <v>0.75</v>
      </c>
      <c r="E287">
        <f>VLOOKUP('Newton-Miller_RAW'!E287,'Newton-Miller_Convert'!$I$1:$J$6,2,FALSE)</f>
        <v>0.75</v>
      </c>
      <c r="F287">
        <f t="shared" si="8"/>
        <v>0.75</v>
      </c>
      <c r="G287">
        <f t="shared" si="9"/>
        <v>0</v>
      </c>
    </row>
    <row r="288" spans="1:7" x14ac:dyDescent="0.3">
      <c r="A288">
        <v>287</v>
      </c>
      <c r="B288">
        <f>'Newton-Miller_RAW'!B288</f>
        <v>250</v>
      </c>
      <c r="C288">
        <f>'Newton-Miller_RAW'!C288</f>
        <v>300</v>
      </c>
      <c r="D288">
        <f>VLOOKUP('Newton-Miller_RAW'!D288,'Newton-Miller_Convert'!$I$1:$J$6,2,FALSE)</f>
        <v>0.75</v>
      </c>
      <c r="E288">
        <f>VLOOKUP('Newton-Miller_RAW'!E288,'Newton-Miller_Convert'!$I$1:$J$6,2,FALSE)</f>
        <v>0.75</v>
      </c>
      <c r="F288">
        <f t="shared" si="8"/>
        <v>0.75</v>
      </c>
      <c r="G288">
        <f t="shared" si="9"/>
        <v>0</v>
      </c>
    </row>
    <row r="289" spans="1:7" x14ac:dyDescent="0.3">
      <c r="A289">
        <v>288</v>
      </c>
      <c r="B289">
        <f>'Newton-Miller_RAW'!B289</f>
        <v>160</v>
      </c>
      <c r="C289">
        <f>'Newton-Miller_RAW'!C289</f>
        <v>190</v>
      </c>
      <c r="D289">
        <f>VLOOKUP('Newton-Miller_RAW'!D289,'Newton-Miller_Convert'!$I$1:$J$6,2,FALSE)</f>
        <v>0.25</v>
      </c>
      <c r="E289">
        <f>VLOOKUP('Newton-Miller_RAW'!E289,'Newton-Miller_Convert'!$I$1:$J$6,2,FALSE)</f>
        <v>0.1</v>
      </c>
      <c r="F289">
        <f t="shared" si="8"/>
        <v>0.1</v>
      </c>
      <c r="G289">
        <f t="shared" si="9"/>
        <v>0.15</v>
      </c>
    </row>
    <row r="290" spans="1:7" x14ac:dyDescent="0.3">
      <c r="A290">
        <v>289</v>
      </c>
      <c r="B290">
        <f>'Newton-Miller_RAW'!B290</f>
        <v>160</v>
      </c>
      <c r="C290">
        <f>'Newton-Miller_RAW'!C290</f>
        <v>180</v>
      </c>
      <c r="D290">
        <f>VLOOKUP('Newton-Miller_RAW'!D290,'Newton-Miller_Convert'!$I$1:$J$6,2,FALSE)</f>
        <v>0.1</v>
      </c>
      <c r="E290">
        <f>VLOOKUP('Newton-Miller_RAW'!E290,'Newton-Miller_Convert'!$I$1:$J$6,2,FALSE)</f>
        <v>0.1</v>
      </c>
      <c r="F290">
        <f t="shared" si="8"/>
        <v>0.1</v>
      </c>
      <c r="G290">
        <f t="shared" si="9"/>
        <v>0</v>
      </c>
    </row>
    <row r="291" spans="1:7" x14ac:dyDescent="0.3">
      <c r="A291">
        <v>290</v>
      </c>
      <c r="B291">
        <f>'Newton-Miller_RAW'!B291</f>
        <v>200</v>
      </c>
      <c r="C291">
        <f>'Newton-Miller_RAW'!C291</f>
        <v>270</v>
      </c>
      <c r="D291">
        <f>VLOOKUP('Newton-Miller_RAW'!D291,'Newton-Miller_Convert'!$I$1:$J$6,2,FALSE)</f>
        <v>0.75</v>
      </c>
      <c r="E291">
        <f>VLOOKUP('Newton-Miller_RAW'!E291,'Newton-Miller_Convert'!$I$1:$J$6,2,FALSE)</f>
        <v>0</v>
      </c>
      <c r="F291">
        <f t="shared" si="8"/>
        <v>0</v>
      </c>
      <c r="G291">
        <f t="shared" si="9"/>
        <v>0.75</v>
      </c>
    </row>
    <row r="292" spans="1:7" x14ac:dyDescent="0.3">
      <c r="A292">
        <v>291</v>
      </c>
      <c r="B292">
        <f>'Newton-Miller_RAW'!B292</f>
        <v>250</v>
      </c>
      <c r="C292">
        <f>'Newton-Miller_RAW'!C292</f>
        <v>300</v>
      </c>
      <c r="D292">
        <f>VLOOKUP('Newton-Miller_RAW'!D292,'Newton-Miller_Convert'!$I$1:$J$6,2,FALSE)</f>
        <v>0.75</v>
      </c>
      <c r="E292">
        <f>VLOOKUP('Newton-Miller_RAW'!E292,'Newton-Miller_Convert'!$I$1:$J$6,2,FALSE)</f>
        <v>0.25</v>
      </c>
      <c r="F292">
        <f t="shared" si="8"/>
        <v>0.25</v>
      </c>
      <c r="G292">
        <f t="shared" si="9"/>
        <v>0.5</v>
      </c>
    </row>
    <row r="293" spans="1:7" x14ac:dyDescent="0.3">
      <c r="A293">
        <v>292</v>
      </c>
      <c r="B293">
        <f>'Newton-Miller_RAW'!B293</f>
        <v>200</v>
      </c>
      <c r="C293">
        <f>'Newton-Miller_RAW'!C293</f>
        <v>350</v>
      </c>
      <c r="D293">
        <f>VLOOKUP('Newton-Miller_RAW'!D293,'Newton-Miller_Convert'!$I$1:$J$6,2,FALSE)</f>
        <v>0</v>
      </c>
      <c r="E293">
        <f>VLOOKUP('Newton-Miller_RAW'!E293,'Newton-Miller_Convert'!$I$1:$J$6,2,FALSE)</f>
        <v>0</v>
      </c>
      <c r="F293">
        <f t="shared" si="8"/>
        <v>0</v>
      </c>
      <c r="G293">
        <f t="shared" si="9"/>
        <v>0</v>
      </c>
    </row>
    <row r="294" spans="1:7" x14ac:dyDescent="0.3">
      <c r="A294">
        <v>293</v>
      </c>
      <c r="B294">
        <f>'Newton-Miller_RAW'!B294</f>
        <v>279</v>
      </c>
      <c r="C294">
        <f>'Newton-Miller_RAW'!C294</f>
        <v>300</v>
      </c>
      <c r="D294">
        <f>VLOOKUP('Newton-Miller_RAW'!D294,'Newton-Miller_Convert'!$I$1:$J$6,2,FALSE)</f>
        <v>0.75</v>
      </c>
      <c r="E294">
        <f>VLOOKUP('Newton-Miller_RAW'!E294,'Newton-Miller_Convert'!$I$1:$J$6,2,FALSE)</f>
        <v>0.25</v>
      </c>
      <c r="F294">
        <f t="shared" si="8"/>
        <v>0.25</v>
      </c>
      <c r="G294">
        <f t="shared" si="9"/>
        <v>0.5</v>
      </c>
    </row>
    <row r="295" spans="1:7" x14ac:dyDescent="0.3">
      <c r="A295">
        <v>294</v>
      </c>
      <c r="B295">
        <f>'Newton-Miller_RAW'!B295</f>
        <v>100</v>
      </c>
      <c r="C295">
        <f>'Newton-Miller_RAW'!C295</f>
        <v>149</v>
      </c>
      <c r="D295">
        <f>VLOOKUP('Newton-Miller_RAW'!D295,'Newton-Miller_Convert'!$I$1:$J$6,2,FALSE)</f>
        <v>0.1</v>
      </c>
      <c r="E295">
        <f>VLOOKUP('Newton-Miller_RAW'!E295,'Newton-Miller_Convert'!$I$1:$J$6,2,FALSE)</f>
        <v>0.1</v>
      </c>
      <c r="F295">
        <f t="shared" si="8"/>
        <v>0.1</v>
      </c>
      <c r="G295">
        <f t="shared" si="9"/>
        <v>0</v>
      </c>
    </row>
    <row r="296" spans="1:7" x14ac:dyDescent="0.3">
      <c r="A296">
        <v>295</v>
      </c>
      <c r="B296">
        <f>'Newton-Miller_RAW'!B296</f>
        <v>200</v>
      </c>
      <c r="C296">
        <f>'Newton-Miller_RAW'!C296</f>
        <v>300</v>
      </c>
      <c r="D296">
        <f>VLOOKUP('Newton-Miller_RAW'!D296,'Newton-Miller_Convert'!$I$1:$J$6,2,FALSE)</f>
        <v>0.25</v>
      </c>
      <c r="E296">
        <f>VLOOKUP('Newton-Miller_RAW'!E296,'Newton-Miller_Convert'!$I$1:$J$6,2,FALSE)</f>
        <v>0.25</v>
      </c>
      <c r="F296">
        <f t="shared" si="8"/>
        <v>0.25</v>
      </c>
      <c r="G296">
        <f t="shared" si="9"/>
        <v>0</v>
      </c>
    </row>
    <row r="297" spans="1:7" x14ac:dyDescent="0.3">
      <c r="A297">
        <v>296</v>
      </c>
      <c r="B297">
        <f>'Newton-Miller_RAW'!B297</f>
        <v>300</v>
      </c>
      <c r="C297">
        <f>'Newton-Miller_RAW'!C297</f>
        <v>306</v>
      </c>
      <c r="D297">
        <f>VLOOKUP('Newton-Miller_RAW'!D297,'Newton-Miller_Convert'!$I$1:$J$6,2,FALSE)</f>
        <v>0.75</v>
      </c>
      <c r="E297">
        <f>VLOOKUP('Newton-Miller_RAW'!E297,'Newton-Miller_Convert'!$I$1:$J$6,2,FALSE)</f>
        <v>0.1</v>
      </c>
      <c r="F297">
        <f t="shared" si="8"/>
        <v>0.1</v>
      </c>
      <c r="G297">
        <f t="shared" si="9"/>
        <v>0.65</v>
      </c>
    </row>
    <row r="298" spans="1:7" x14ac:dyDescent="0.3">
      <c r="A298">
        <v>297</v>
      </c>
      <c r="B298">
        <f>'Newton-Miller_RAW'!B298</f>
        <v>600</v>
      </c>
      <c r="C298">
        <f>'Newton-Miller_RAW'!C298</f>
        <v>700</v>
      </c>
      <c r="D298">
        <f>VLOOKUP('Newton-Miller_RAW'!D298,'Newton-Miller_Convert'!$I$1:$J$6,2,FALSE)</f>
        <v>0.75</v>
      </c>
      <c r="E298">
        <f>VLOOKUP('Newton-Miller_RAW'!E298,'Newton-Miller_Convert'!$I$1:$J$6,2,FALSE)</f>
        <v>0.25</v>
      </c>
      <c r="F298">
        <f t="shared" si="8"/>
        <v>0.25</v>
      </c>
      <c r="G298">
        <f t="shared" si="9"/>
        <v>0.5</v>
      </c>
    </row>
    <row r="299" spans="1:7" x14ac:dyDescent="0.3">
      <c r="A299">
        <v>298</v>
      </c>
      <c r="B299">
        <f>'Newton-Miller_RAW'!B299</f>
        <v>100</v>
      </c>
      <c r="C299">
        <f>'Newton-Miller_RAW'!C299</f>
        <v>150</v>
      </c>
      <c r="D299">
        <f>VLOOKUP('Newton-Miller_RAW'!D299,'Newton-Miller_Convert'!$I$1:$J$6,2,FALSE)</f>
        <v>0.75</v>
      </c>
      <c r="E299">
        <f>VLOOKUP('Newton-Miller_RAW'!E299,'Newton-Miller_Convert'!$I$1:$J$6,2,FALSE)</f>
        <v>0.1</v>
      </c>
      <c r="F299">
        <f t="shared" si="8"/>
        <v>0.1</v>
      </c>
      <c r="G299">
        <f t="shared" si="9"/>
        <v>0.65</v>
      </c>
    </row>
    <row r="300" spans="1:7" x14ac:dyDescent="0.3">
      <c r="A300">
        <v>299</v>
      </c>
      <c r="B300">
        <f>'Newton-Miller_RAW'!B300</f>
        <v>142</v>
      </c>
      <c r="C300">
        <f>'Newton-Miller_RAW'!C300</f>
        <v>146</v>
      </c>
      <c r="D300">
        <f>VLOOKUP('Newton-Miller_RAW'!D300,'Newton-Miller_Convert'!$I$1:$J$6,2,FALSE)</f>
        <v>0.75</v>
      </c>
      <c r="E300">
        <f>VLOOKUP('Newton-Miller_RAW'!E300,'Newton-Miller_Convert'!$I$1:$J$6,2,FALSE)</f>
        <v>0.75</v>
      </c>
      <c r="F300">
        <f t="shared" si="8"/>
        <v>0.75</v>
      </c>
      <c r="G300">
        <f t="shared" si="9"/>
        <v>0</v>
      </c>
    </row>
    <row r="301" spans="1:7" x14ac:dyDescent="0.3">
      <c r="A301">
        <v>300</v>
      </c>
      <c r="B301">
        <f>'Newton-Miller_RAW'!B301</f>
        <v>150</v>
      </c>
      <c r="C301">
        <f>'Newton-Miller_RAW'!C301</f>
        <v>170</v>
      </c>
      <c r="D301">
        <f>VLOOKUP('Newton-Miller_RAW'!D301,'Newton-Miller_Convert'!$I$1:$J$6,2,FALSE)</f>
        <v>0.75</v>
      </c>
      <c r="E301">
        <f>VLOOKUP('Newton-Miller_RAW'!E301,'Newton-Miller_Convert'!$I$1:$J$6,2,FALSE)</f>
        <v>0.25</v>
      </c>
      <c r="F301">
        <f t="shared" si="8"/>
        <v>0.25</v>
      </c>
      <c r="G301">
        <f t="shared" si="9"/>
        <v>0.5</v>
      </c>
    </row>
    <row r="302" spans="1:7" x14ac:dyDescent="0.3">
      <c r="A302">
        <v>301</v>
      </c>
      <c r="B302">
        <f>'Newton-Miller_RAW'!B302</f>
        <v>150</v>
      </c>
      <c r="C302">
        <f>'Newton-Miller_RAW'!C302</f>
        <v>200</v>
      </c>
      <c r="D302">
        <f>VLOOKUP('Newton-Miller_RAW'!D302,'Newton-Miller_Convert'!$I$1:$J$6,2,FALSE)</f>
        <v>0.75</v>
      </c>
      <c r="E302">
        <f>VLOOKUP('Newton-Miller_RAW'!E302,'Newton-Miller_Convert'!$I$1:$J$6,2,FALSE)</f>
        <v>0.75</v>
      </c>
      <c r="F302">
        <f t="shared" si="8"/>
        <v>0.75</v>
      </c>
      <c r="G302">
        <f t="shared" si="9"/>
        <v>0</v>
      </c>
    </row>
    <row r="303" spans="1:7" x14ac:dyDescent="0.3">
      <c r="A303">
        <v>302</v>
      </c>
      <c r="B303">
        <f>'Newton-Miller_RAW'!B303</f>
        <v>500</v>
      </c>
      <c r="C303">
        <f>'Newton-Miller_RAW'!C303</f>
        <v>550</v>
      </c>
      <c r="D303">
        <f>VLOOKUP('Newton-Miller_RAW'!D303,'Newton-Miller_Convert'!$I$1:$J$6,2,FALSE)</f>
        <v>0.75</v>
      </c>
      <c r="E303">
        <f>VLOOKUP('Newton-Miller_RAW'!E303,'Newton-Miller_Convert'!$I$1:$J$6,2,FALSE)</f>
        <v>0.25</v>
      </c>
      <c r="F303">
        <f t="shared" si="8"/>
        <v>0.25</v>
      </c>
      <c r="G303">
        <f t="shared" si="9"/>
        <v>0.5</v>
      </c>
    </row>
    <row r="304" spans="1:7" x14ac:dyDescent="0.3">
      <c r="A304">
        <v>303</v>
      </c>
      <c r="B304">
        <f>'Newton-Miller_RAW'!B304</f>
        <v>260</v>
      </c>
      <c r="C304">
        <f>'Newton-Miller_RAW'!C304</f>
        <v>280</v>
      </c>
      <c r="D304">
        <f>VLOOKUP('Newton-Miller_RAW'!D304,'Newton-Miller_Convert'!$I$1:$J$6,2,FALSE)</f>
        <v>0.75</v>
      </c>
      <c r="E304">
        <f>VLOOKUP('Newton-Miller_RAW'!E304,'Newton-Miller_Convert'!$I$1:$J$6,2,FALSE)</f>
        <v>0.25</v>
      </c>
      <c r="F304">
        <f t="shared" si="8"/>
        <v>0.25</v>
      </c>
      <c r="G304">
        <f t="shared" si="9"/>
        <v>0.5</v>
      </c>
    </row>
    <row r="305" spans="1:7" x14ac:dyDescent="0.3">
      <c r="A305">
        <v>304</v>
      </c>
      <c r="B305">
        <f>'Newton-Miller_RAW'!B305</f>
        <v>300</v>
      </c>
      <c r="C305">
        <f>'Newton-Miller_RAW'!C305</f>
        <v>390</v>
      </c>
      <c r="D305">
        <f>VLOOKUP('Newton-Miller_RAW'!D305,'Newton-Miller_Convert'!$I$1:$J$6,2,FALSE)</f>
        <v>0.75</v>
      </c>
      <c r="E305">
        <f>VLOOKUP('Newton-Miller_RAW'!E305,'Newton-Miller_Convert'!$I$1:$J$6,2,FALSE)</f>
        <v>0.75</v>
      </c>
      <c r="F305">
        <f t="shared" si="8"/>
        <v>0.75</v>
      </c>
      <c r="G305">
        <f t="shared" si="9"/>
        <v>0</v>
      </c>
    </row>
    <row r="306" spans="1:7" x14ac:dyDescent="0.3">
      <c r="A306">
        <v>305</v>
      </c>
      <c r="B306">
        <f>'Newton-Miller_RAW'!B306</f>
        <v>200</v>
      </c>
      <c r="C306">
        <f>'Newton-Miller_RAW'!C306</f>
        <v>250</v>
      </c>
      <c r="D306">
        <f>VLOOKUP('Newton-Miller_RAW'!D306,'Newton-Miller_Convert'!$I$1:$J$6,2,FALSE)</f>
        <v>0.75</v>
      </c>
      <c r="E306">
        <f>VLOOKUP('Newton-Miller_RAW'!E306,'Newton-Miller_Convert'!$I$1:$J$6,2,FALSE)</f>
        <v>0.1</v>
      </c>
      <c r="F306">
        <f t="shared" si="8"/>
        <v>0.1</v>
      </c>
      <c r="G306">
        <f t="shared" si="9"/>
        <v>0.65</v>
      </c>
    </row>
    <row r="307" spans="1:7" x14ac:dyDescent="0.3">
      <c r="A307">
        <v>306</v>
      </c>
      <c r="B307">
        <f>'Newton-Miller_RAW'!B307</f>
        <v>120</v>
      </c>
      <c r="C307">
        <f>'Newton-Miller_RAW'!C307</f>
        <v>125</v>
      </c>
      <c r="D307">
        <f>VLOOKUP('Newton-Miller_RAW'!D307,'Newton-Miller_Convert'!$I$1:$J$6,2,FALSE)</f>
        <v>0.75</v>
      </c>
      <c r="E307">
        <f>VLOOKUP('Newton-Miller_RAW'!E307,'Newton-Miller_Convert'!$I$1:$J$6,2,FALSE)</f>
        <v>0.75</v>
      </c>
      <c r="F307">
        <f t="shared" si="8"/>
        <v>0.75</v>
      </c>
      <c r="G307">
        <f t="shared" si="9"/>
        <v>0</v>
      </c>
    </row>
    <row r="308" spans="1:7" x14ac:dyDescent="0.3">
      <c r="A308">
        <v>307</v>
      </c>
      <c r="B308">
        <f>'Newton-Miller_RAW'!B308</f>
        <v>200</v>
      </c>
      <c r="C308">
        <f>'Newton-Miller_RAW'!C308</f>
        <v>270</v>
      </c>
      <c r="D308">
        <f>VLOOKUP('Newton-Miller_RAW'!D308,'Newton-Miller_Convert'!$I$1:$J$6,2,FALSE)</f>
        <v>0.25</v>
      </c>
      <c r="E308">
        <f>VLOOKUP('Newton-Miller_RAW'!E308,'Newton-Miller_Convert'!$I$1:$J$6,2,FALSE)</f>
        <v>0.1</v>
      </c>
      <c r="F308">
        <f t="shared" si="8"/>
        <v>0.1</v>
      </c>
      <c r="G308">
        <f t="shared" si="9"/>
        <v>0.15</v>
      </c>
    </row>
    <row r="309" spans="1:7" x14ac:dyDescent="0.3">
      <c r="A309">
        <v>308</v>
      </c>
      <c r="B309">
        <f>'Newton-Miller_RAW'!B309</f>
        <v>250</v>
      </c>
      <c r="C309">
        <f>'Newton-Miller_RAW'!C309</f>
        <v>300</v>
      </c>
      <c r="D309">
        <f>VLOOKUP('Newton-Miller_RAW'!D309,'Newton-Miller_Convert'!$I$1:$J$6,2,FALSE)</f>
        <v>0.25</v>
      </c>
      <c r="E309">
        <f>VLOOKUP('Newton-Miller_RAW'!E309,'Newton-Miller_Convert'!$I$1:$J$6,2,FALSE)</f>
        <v>0.1</v>
      </c>
      <c r="F309">
        <f t="shared" si="8"/>
        <v>0.1</v>
      </c>
      <c r="G309">
        <f t="shared" si="9"/>
        <v>0.15</v>
      </c>
    </row>
    <row r="310" spans="1:7" x14ac:dyDescent="0.3">
      <c r="A310">
        <v>309</v>
      </c>
      <c r="B310">
        <f>'Newton-Miller_RAW'!B310</f>
        <v>200</v>
      </c>
      <c r="C310">
        <f>'Newton-Miller_RAW'!C310</f>
        <v>250</v>
      </c>
      <c r="D310">
        <f>VLOOKUP('Newton-Miller_RAW'!D310,'Newton-Miller_Convert'!$I$1:$J$6,2,FALSE)</f>
        <v>0.75</v>
      </c>
      <c r="E310">
        <f>VLOOKUP('Newton-Miller_RAW'!E310,'Newton-Miller_Convert'!$I$1:$J$6,2,FALSE)</f>
        <v>0.75</v>
      </c>
      <c r="F310">
        <f t="shared" si="8"/>
        <v>0.75</v>
      </c>
      <c r="G310">
        <f t="shared" si="9"/>
        <v>0</v>
      </c>
    </row>
    <row r="311" spans="1:7" x14ac:dyDescent="0.3">
      <c r="A311">
        <v>310</v>
      </c>
      <c r="B311">
        <f>'Newton-Miller_RAW'!B311</f>
        <v>200</v>
      </c>
      <c r="C311">
        <f>'Newton-Miller_RAW'!C311</f>
        <v>300</v>
      </c>
      <c r="D311">
        <f>VLOOKUP('Newton-Miller_RAW'!D311,'Newton-Miller_Convert'!$I$1:$J$6,2,FALSE)</f>
        <v>0.25</v>
      </c>
      <c r="E311">
        <f>VLOOKUP('Newton-Miller_RAW'!E311,'Newton-Miller_Convert'!$I$1:$J$6,2,FALSE)</f>
        <v>0.1</v>
      </c>
      <c r="F311">
        <f t="shared" si="8"/>
        <v>0.1</v>
      </c>
      <c r="G311">
        <f t="shared" si="9"/>
        <v>0.15</v>
      </c>
    </row>
    <row r="312" spans="1:7" x14ac:dyDescent="0.3">
      <c r="A312">
        <v>311</v>
      </c>
      <c r="B312">
        <f>'Newton-Miller_RAW'!B312</f>
        <v>140</v>
      </c>
      <c r="C312">
        <f>'Newton-Miller_RAW'!C312</f>
        <v>148</v>
      </c>
      <c r="D312">
        <f>VLOOKUP('Newton-Miller_RAW'!D312,'Newton-Miller_Convert'!$I$1:$J$6,2,FALSE)</f>
        <v>0.25</v>
      </c>
      <c r="E312">
        <f>VLOOKUP('Newton-Miller_RAW'!E312,'Newton-Miller_Convert'!$I$1:$J$6,2,FALSE)</f>
        <v>0.1</v>
      </c>
      <c r="F312">
        <f t="shared" si="8"/>
        <v>0.1</v>
      </c>
      <c r="G312">
        <f t="shared" si="9"/>
        <v>0.15</v>
      </c>
    </row>
    <row r="313" spans="1:7" x14ac:dyDescent="0.3">
      <c r="A313">
        <v>312</v>
      </c>
      <c r="B313">
        <f>'Newton-Miller_RAW'!B313</f>
        <v>200</v>
      </c>
      <c r="C313">
        <f>'Newton-Miller_RAW'!C313</f>
        <v>250</v>
      </c>
      <c r="D313">
        <f>VLOOKUP('Newton-Miller_RAW'!D313,'Newton-Miller_Convert'!$I$1:$J$6,2,FALSE)</f>
        <v>0.1</v>
      </c>
      <c r="E313">
        <f>VLOOKUP('Newton-Miller_RAW'!E313,'Newton-Miller_Convert'!$I$1:$J$6,2,FALSE)</f>
        <v>0.1</v>
      </c>
      <c r="F313">
        <f t="shared" si="8"/>
        <v>0.1</v>
      </c>
      <c r="G313">
        <f t="shared" si="9"/>
        <v>0</v>
      </c>
    </row>
    <row r="314" spans="1:7" x14ac:dyDescent="0.3">
      <c r="A314">
        <v>313</v>
      </c>
      <c r="B314">
        <f>'Newton-Miller_RAW'!B314</f>
        <v>300</v>
      </c>
      <c r="C314">
        <f>'Newton-Miller_RAW'!C314</f>
        <v>350</v>
      </c>
      <c r="D314">
        <f>VLOOKUP('Newton-Miller_RAW'!D314,'Newton-Miller_Convert'!$I$1:$J$6,2,FALSE)</f>
        <v>0.25</v>
      </c>
      <c r="E314">
        <f>VLOOKUP('Newton-Miller_RAW'!E314,'Newton-Miller_Convert'!$I$1:$J$6,2,FALSE)</f>
        <v>0.25</v>
      </c>
      <c r="F314">
        <f t="shared" si="8"/>
        <v>0.25</v>
      </c>
      <c r="G314">
        <f t="shared" si="9"/>
        <v>0</v>
      </c>
    </row>
    <row r="315" spans="1:7" x14ac:dyDescent="0.3">
      <c r="A315">
        <v>314</v>
      </c>
      <c r="B315">
        <f>'Newton-Miller_RAW'!B315</f>
        <v>100</v>
      </c>
      <c r="C315">
        <f>'Newton-Miller_RAW'!C315</f>
        <v>120</v>
      </c>
      <c r="D315">
        <f>VLOOKUP('Newton-Miller_RAW'!D315,'Newton-Miller_Convert'!$I$1:$J$6,2,FALSE)</f>
        <v>0.75</v>
      </c>
      <c r="E315">
        <f>VLOOKUP('Newton-Miller_RAW'!E315,'Newton-Miller_Convert'!$I$1:$J$6,2,FALSE)</f>
        <v>0.75</v>
      </c>
      <c r="F315">
        <f t="shared" si="8"/>
        <v>0.75</v>
      </c>
      <c r="G315">
        <f t="shared" si="9"/>
        <v>0</v>
      </c>
    </row>
    <row r="316" spans="1:7" x14ac:dyDescent="0.3">
      <c r="A316">
        <v>315</v>
      </c>
      <c r="B316">
        <f>'Newton-Miller_RAW'!B316</f>
        <v>245</v>
      </c>
      <c r="C316">
        <f>'Newton-Miller_RAW'!C316</f>
        <v>246</v>
      </c>
      <c r="D316">
        <f>VLOOKUP('Newton-Miller_RAW'!D316,'Newton-Miller_Convert'!$I$1:$J$6,2,FALSE)</f>
        <v>0.25</v>
      </c>
      <c r="E316">
        <f>VLOOKUP('Newton-Miller_RAW'!E316,'Newton-Miller_Convert'!$I$1:$J$6,2,FALSE)</f>
        <v>0.25</v>
      </c>
      <c r="F316">
        <f t="shared" si="8"/>
        <v>0.25</v>
      </c>
      <c r="G316">
        <f t="shared" si="9"/>
        <v>0</v>
      </c>
    </row>
    <row r="317" spans="1:7" x14ac:dyDescent="0.3">
      <c r="A317">
        <v>316</v>
      </c>
      <c r="B317">
        <f>'Newton-Miller_RAW'!B317</f>
        <v>40</v>
      </c>
      <c r="C317">
        <f>'Newton-Miller_RAW'!C317</f>
        <v>50</v>
      </c>
      <c r="D317">
        <f>VLOOKUP('Newton-Miller_RAW'!D317,'Newton-Miller_Convert'!$I$1:$J$6,2,FALSE)</f>
        <v>0.75</v>
      </c>
      <c r="E317">
        <f>VLOOKUP('Newton-Miller_RAW'!E317,'Newton-Miller_Convert'!$I$1:$J$6,2,FALSE)</f>
        <v>0.75</v>
      </c>
      <c r="F317">
        <f t="shared" si="8"/>
        <v>0.75</v>
      </c>
      <c r="G317">
        <f t="shared" si="9"/>
        <v>0</v>
      </c>
    </row>
    <row r="318" spans="1:7" x14ac:dyDescent="0.3">
      <c r="A318">
        <v>317</v>
      </c>
      <c r="B318">
        <f>'Newton-Miller_RAW'!B318</f>
        <v>250</v>
      </c>
      <c r="C318">
        <f>'Newton-Miller_RAW'!C318</f>
        <v>350</v>
      </c>
      <c r="D318">
        <f>VLOOKUP('Newton-Miller_RAW'!D318,'Newton-Miller_Convert'!$I$1:$J$6,2,FALSE)</f>
        <v>0.75</v>
      </c>
      <c r="E318">
        <f>VLOOKUP('Newton-Miller_RAW'!E318,'Newton-Miller_Convert'!$I$1:$J$6,2,FALSE)</f>
        <v>0.1</v>
      </c>
      <c r="F318">
        <f t="shared" si="8"/>
        <v>0.1</v>
      </c>
      <c r="G318">
        <f t="shared" si="9"/>
        <v>0.65</v>
      </c>
    </row>
    <row r="319" spans="1:7" x14ac:dyDescent="0.3">
      <c r="A319">
        <v>318</v>
      </c>
      <c r="B319">
        <f>'Newton-Miller_RAW'!B319</f>
        <v>150</v>
      </c>
      <c r="C319">
        <f>'Newton-Miller_RAW'!C319</f>
        <v>170</v>
      </c>
      <c r="D319">
        <f>VLOOKUP('Newton-Miller_RAW'!D319,'Newton-Miller_Convert'!$I$1:$J$6,2,FALSE)</f>
        <v>0.25</v>
      </c>
      <c r="E319">
        <f>VLOOKUP('Newton-Miller_RAW'!E319,'Newton-Miller_Convert'!$I$1:$J$6,2,FALSE)</f>
        <v>0.1</v>
      </c>
      <c r="F319">
        <f t="shared" si="8"/>
        <v>0.1</v>
      </c>
      <c r="G319">
        <f t="shared" si="9"/>
        <v>0.15</v>
      </c>
    </row>
    <row r="320" spans="1:7" x14ac:dyDescent="0.3">
      <c r="A320">
        <v>319</v>
      </c>
      <c r="B320">
        <f>'Newton-Miller_RAW'!B320</f>
        <v>350</v>
      </c>
      <c r="C320">
        <f>'Newton-Miller_RAW'!C320</f>
        <v>400</v>
      </c>
      <c r="D320">
        <f>VLOOKUP('Newton-Miller_RAW'!D320,'Newton-Miller_Convert'!$I$1:$J$6,2,FALSE)</f>
        <v>0.75</v>
      </c>
      <c r="E320">
        <f>VLOOKUP('Newton-Miller_RAW'!E320,'Newton-Miller_Convert'!$I$1:$J$6,2,FALSE)</f>
        <v>0.1</v>
      </c>
      <c r="F320">
        <f t="shared" si="8"/>
        <v>0.1</v>
      </c>
      <c r="G320">
        <f t="shared" si="9"/>
        <v>0.65</v>
      </c>
    </row>
    <row r="321" spans="1:7" x14ac:dyDescent="0.3">
      <c r="A321">
        <v>320</v>
      </c>
      <c r="B321">
        <f>'Newton-Miller_RAW'!B321</f>
        <v>70</v>
      </c>
      <c r="C321">
        <f>'Newton-Miller_RAW'!C321</f>
        <v>120</v>
      </c>
      <c r="D321">
        <f>VLOOKUP('Newton-Miller_RAW'!D321,'Newton-Miller_Convert'!$I$1:$J$6,2,FALSE)</f>
        <v>0.25</v>
      </c>
      <c r="E321">
        <f>VLOOKUP('Newton-Miller_RAW'!E321,'Newton-Miller_Convert'!$I$1:$J$6,2,FALSE)</f>
        <v>0.1</v>
      </c>
      <c r="F321">
        <f t="shared" si="8"/>
        <v>0.1</v>
      </c>
      <c r="G321">
        <f t="shared" si="9"/>
        <v>0.15</v>
      </c>
    </row>
    <row r="322" spans="1:7" x14ac:dyDescent="0.3">
      <c r="A322">
        <v>321</v>
      </c>
      <c r="B322">
        <f>'Newton-Miller_RAW'!B322</f>
        <v>150</v>
      </c>
      <c r="C322">
        <f>'Newton-Miller_RAW'!C322</f>
        <v>200</v>
      </c>
      <c r="D322">
        <f>VLOOKUP('Newton-Miller_RAW'!D322,'Newton-Miller_Convert'!$I$1:$J$6,2,FALSE)</f>
        <v>0.75</v>
      </c>
      <c r="E322">
        <f>VLOOKUP('Newton-Miller_RAW'!E322,'Newton-Miller_Convert'!$I$1:$J$6,2,FALSE)</f>
        <v>0.25</v>
      </c>
      <c r="F322">
        <f t="shared" si="8"/>
        <v>0.25</v>
      </c>
      <c r="G322">
        <f t="shared" si="9"/>
        <v>0.5</v>
      </c>
    </row>
    <row r="323" spans="1:7" x14ac:dyDescent="0.3">
      <c r="A323">
        <v>322</v>
      </c>
      <c r="B323">
        <f>'Newton-Miller_RAW'!B323</f>
        <v>250</v>
      </c>
      <c r="C323">
        <f>'Newton-Miller_RAW'!C323</f>
        <v>280</v>
      </c>
      <c r="D323">
        <f>VLOOKUP('Newton-Miller_RAW'!D323,'Newton-Miller_Convert'!$I$1:$J$6,2,FALSE)</f>
        <v>0.75</v>
      </c>
      <c r="E323">
        <f>VLOOKUP('Newton-Miller_RAW'!E323,'Newton-Miller_Convert'!$I$1:$J$6,2,FALSE)</f>
        <v>0.1</v>
      </c>
      <c r="F323">
        <f t="shared" ref="F323:F386" si="10">IF(E323&gt;D323,D323,E323)</f>
        <v>0.1</v>
      </c>
      <c r="G323">
        <f t="shared" ref="G323:G386" si="11">D323-F323</f>
        <v>0.65</v>
      </c>
    </row>
    <row r="324" spans="1:7" x14ac:dyDescent="0.3">
      <c r="A324">
        <v>323</v>
      </c>
      <c r="B324">
        <f>'Newton-Miller_RAW'!B324</f>
        <v>150</v>
      </c>
      <c r="C324">
        <f>'Newton-Miller_RAW'!C324</f>
        <v>200</v>
      </c>
      <c r="D324">
        <f>VLOOKUP('Newton-Miller_RAW'!D324,'Newton-Miller_Convert'!$I$1:$J$6,2,FALSE)</f>
        <v>0.75</v>
      </c>
      <c r="E324">
        <f>VLOOKUP('Newton-Miller_RAW'!E324,'Newton-Miller_Convert'!$I$1:$J$6,2,FALSE)</f>
        <v>0.1</v>
      </c>
      <c r="F324">
        <f t="shared" si="10"/>
        <v>0.1</v>
      </c>
      <c r="G324">
        <f t="shared" si="11"/>
        <v>0.65</v>
      </c>
    </row>
    <row r="325" spans="1:7" x14ac:dyDescent="0.3">
      <c r="A325">
        <v>324</v>
      </c>
      <c r="B325">
        <f>'Newton-Miller_RAW'!B325</f>
        <v>300</v>
      </c>
      <c r="C325">
        <f>'Newton-Miller_RAW'!C325</f>
        <v>320</v>
      </c>
      <c r="D325">
        <f>VLOOKUP('Newton-Miller_RAW'!D325,'Newton-Miller_Convert'!$I$1:$J$6,2,FALSE)</f>
        <v>0.1</v>
      </c>
      <c r="E325">
        <f>VLOOKUP('Newton-Miller_RAW'!E325,'Newton-Miller_Convert'!$I$1:$J$6,2,FALSE)</f>
        <v>0</v>
      </c>
      <c r="F325">
        <f t="shared" si="10"/>
        <v>0</v>
      </c>
      <c r="G325">
        <f t="shared" si="11"/>
        <v>0.1</v>
      </c>
    </row>
    <row r="326" spans="1:7" x14ac:dyDescent="0.3">
      <c r="A326">
        <v>325</v>
      </c>
      <c r="B326">
        <f>'Newton-Miller_RAW'!B326</f>
        <v>80</v>
      </c>
      <c r="C326">
        <f>'Newton-Miller_RAW'!C326</f>
        <v>90</v>
      </c>
      <c r="D326">
        <f>VLOOKUP('Newton-Miller_RAW'!D326,'Newton-Miller_Convert'!$I$1:$J$6,2,FALSE)</f>
        <v>0.1</v>
      </c>
      <c r="E326">
        <f>VLOOKUP('Newton-Miller_RAW'!E326,'Newton-Miller_Convert'!$I$1:$J$6,2,FALSE)</f>
        <v>0.1</v>
      </c>
      <c r="F326">
        <f t="shared" si="10"/>
        <v>0.1</v>
      </c>
      <c r="G326">
        <f t="shared" si="11"/>
        <v>0</v>
      </c>
    </row>
    <row r="327" spans="1:7" x14ac:dyDescent="0.3">
      <c r="A327">
        <v>326</v>
      </c>
      <c r="B327">
        <f>'Newton-Miller_RAW'!B327</f>
        <v>140</v>
      </c>
      <c r="C327">
        <f>'Newton-Miller_RAW'!C327</f>
        <v>160</v>
      </c>
      <c r="D327">
        <f>VLOOKUP('Newton-Miller_RAW'!D327,'Newton-Miller_Convert'!$I$1:$J$6,2,FALSE)</f>
        <v>0.75</v>
      </c>
      <c r="E327">
        <f>VLOOKUP('Newton-Miller_RAW'!E327,'Newton-Miller_Convert'!$I$1:$J$6,2,FALSE)</f>
        <v>0.1</v>
      </c>
      <c r="F327">
        <f t="shared" si="10"/>
        <v>0.1</v>
      </c>
      <c r="G327">
        <f t="shared" si="11"/>
        <v>0.65</v>
      </c>
    </row>
    <row r="328" spans="1:7" x14ac:dyDescent="0.3">
      <c r="A328">
        <v>327</v>
      </c>
      <c r="B328">
        <f>'Newton-Miller_RAW'!B328</f>
        <v>300</v>
      </c>
      <c r="C328">
        <f>'Newton-Miller_RAW'!C328</f>
        <v>499</v>
      </c>
      <c r="D328">
        <f>VLOOKUP('Newton-Miller_RAW'!D328,'Newton-Miller_Convert'!$I$1:$J$6,2,FALSE)</f>
        <v>0.75</v>
      </c>
      <c r="E328">
        <f>VLOOKUP('Newton-Miller_RAW'!E328,'Newton-Miller_Convert'!$I$1:$J$6,2,FALSE)</f>
        <v>0</v>
      </c>
      <c r="F328">
        <f t="shared" si="10"/>
        <v>0</v>
      </c>
      <c r="G328">
        <f t="shared" si="11"/>
        <v>0.75</v>
      </c>
    </row>
    <row r="329" spans="1:7" x14ac:dyDescent="0.3">
      <c r="A329">
        <v>328</v>
      </c>
      <c r="B329">
        <f>'Newton-Miller_RAW'!B329</f>
        <v>450</v>
      </c>
      <c r="C329">
        <f>'Newton-Miller_RAW'!C329</f>
        <v>500</v>
      </c>
      <c r="D329">
        <f>VLOOKUP('Newton-Miller_RAW'!D329,'Newton-Miller_Convert'!$I$1:$J$6,2,FALSE)</f>
        <v>0.75</v>
      </c>
      <c r="E329">
        <f>VLOOKUP('Newton-Miller_RAW'!E329,'Newton-Miller_Convert'!$I$1:$J$6,2,FALSE)</f>
        <v>0.75</v>
      </c>
      <c r="F329">
        <f t="shared" si="10"/>
        <v>0.75</v>
      </c>
      <c r="G329">
        <f t="shared" si="11"/>
        <v>0</v>
      </c>
    </row>
    <row r="330" spans="1:7" x14ac:dyDescent="0.3">
      <c r="A330">
        <v>329</v>
      </c>
      <c r="B330">
        <f>'Newton-Miller_RAW'!B330</f>
        <v>100</v>
      </c>
      <c r="C330">
        <f>'Newton-Miller_RAW'!C330</f>
        <v>150</v>
      </c>
      <c r="D330">
        <f>VLOOKUP('Newton-Miller_RAW'!D330,'Newton-Miller_Convert'!$I$1:$J$6,2,FALSE)</f>
        <v>0.75</v>
      </c>
      <c r="E330">
        <f>VLOOKUP('Newton-Miller_RAW'!E330,'Newton-Miller_Convert'!$I$1:$J$6,2,FALSE)</f>
        <v>0.1</v>
      </c>
      <c r="F330">
        <f t="shared" si="10"/>
        <v>0.1</v>
      </c>
      <c r="G330">
        <f t="shared" si="11"/>
        <v>0.65</v>
      </c>
    </row>
    <row r="331" spans="1:7" x14ac:dyDescent="0.3">
      <c r="A331">
        <v>330</v>
      </c>
      <c r="B331">
        <f>'Newton-Miller_RAW'!B331</f>
        <v>150</v>
      </c>
      <c r="C331">
        <f>'Newton-Miller_RAW'!C331</f>
        <v>250</v>
      </c>
      <c r="D331">
        <f>VLOOKUP('Newton-Miller_RAW'!D331,'Newton-Miller_Convert'!$I$1:$J$6,2,FALSE)</f>
        <v>0.25</v>
      </c>
      <c r="E331">
        <f>VLOOKUP('Newton-Miller_RAW'!E331,'Newton-Miller_Convert'!$I$1:$J$6,2,FALSE)</f>
        <v>0.1</v>
      </c>
      <c r="F331">
        <f t="shared" si="10"/>
        <v>0.1</v>
      </c>
      <c r="G331">
        <f t="shared" si="11"/>
        <v>0.15</v>
      </c>
    </row>
    <row r="332" spans="1:7" x14ac:dyDescent="0.3">
      <c r="A332">
        <v>331</v>
      </c>
      <c r="B332">
        <f>'Newton-Miller_RAW'!B332</f>
        <v>220</v>
      </c>
      <c r="C332">
        <f>'Newton-Miller_RAW'!C332</f>
        <v>290</v>
      </c>
      <c r="D332">
        <f>VLOOKUP('Newton-Miller_RAW'!D332,'Newton-Miller_Convert'!$I$1:$J$6,2,FALSE)</f>
        <v>0.1</v>
      </c>
      <c r="E332">
        <f>VLOOKUP('Newton-Miller_RAW'!E332,'Newton-Miller_Convert'!$I$1:$J$6,2,FALSE)</f>
        <v>0.1</v>
      </c>
      <c r="F332">
        <f t="shared" si="10"/>
        <v>0.1</v>
      </c>
      <c r="G332">
        <f t="shared" si="11"/>
        <v>0</v>
      </c>
    </row>
    <row r="333" spans="1:7" x14ac:dyDescent="0.3">
      <c r="A333">
        <v>332</v>
      </c>
      <c r="B333">
        <f>'Newton-Miller_RAW'!B333</f>
        <v>300</v>
      </c>
      <c r="C333">
        <f>'Newton-Miller_RAW'!C333</f>
        <v>350</v>
      </c>
      <c r="D333">
        <f>VLOOKUP('Newton-Miller_RAW'!D333,'Newton-Miller_Convert'!$I$1:$J$6,2,FALSE)</f>
        <v>0.25</v>
      </c>
      <c r="E333">
        <f>VLOOKUP('Newton-Miller_RAW'!E333,'Newton-Miller_Convert'!$I$1:$J$6,2,FALSE)</f>
        <v>0.25</v>
      </c>
      <c r="F333">
        <f t="shared" si="10"/>
        <v>0.25</v>
      </c>
      <c r="G333">
        <f t="shared" si="11"/>
        <v>0</v>
      </c>
    </row>
    <row r="334" spans="1:7" x14ac:dyDescent="0.3">
      <c r="A334">
        <v>333</v>
      </c>
      <c r="B334">
        <f>'Newton-Miller_RAW'!B334</f>
        <v>100</v>
      </c>
      <c r="C334">
        <f>'Newton-Miller_RAW'!C334</f>
        <v>200</v>
      </c>
      <c r="D334">
        <f>VLOOKUP('Newton-Miller_RAW'!D334,'Newton-Miller_Convert'!$I$1:$J$6,2,FALSE)</f>
        <v>0</v>
      </c>
      <c r="E334">
        <f>VLOOKUP('Newton-Miller_RAW'!E334,'Newton-Miller_Convert'!$I$1:$J$6,2,FALSE)</f>
        <v>0.1</v>
      </c>
      <c r="F334">
        <f t="shared" si="10"/>
        <v>0</v>
      </c>
      <c r="G334">
        <f t="shared" si="11"/>
        <v>0</v>
      </c>
    </row>
    <row r="335" spans="1:7" x14ac:dyDescent="0.3">
      <c r="A335">
        <v>334</v>
      </c>
      <c r="B335">
        <f>'Newton-Miller_RAW'!B335</f>
        <v>150</v>
      </c>
      <c r="C335">
        <f>'Newton-Miller_RAW'!C335</f>
        <v>200</v>
      </c>
      <c r="D335">
        <f>VLOOKUP('Newton-Miller_RAW'!D335,'Newton-Miller_Convert'!$I$1:$J$6,2,FALSE)</f>
        <v>0.25</v>
      </c>
      <c r="E335">
        <f>VLOOKUP('Newton-Miller_RAW'!E335,'Newton-Miller_Convert'!$I$1:$J$6,2,FALSE)</f>
        <v>0.1</v>
      </c>
      <c r="F335">
        <f t="shared" si="10"/>
        <v>0.1</v>
      </c>
      <c r="G335">
        <f t="shared" si="11"/>
        <v>0.15</v>
      </c>
    </row>
    <row r="336" spans="1:7" x14ac:dyDescent="0.3">
      <c r="A336">
        <v>335</v>
      </c>
      <c r="B336">
        <f>'Newton-Miller_RAW'!B336</f>
        <v>220</v>
      </c>
      <c r="C336">
        <f>'Newton-Miller_RAW'!C336</f>
        <v>350</v>
      </c>
      <c r="D336">
        <f>VLOOKUP('Newton-Miller_RAW'!D336,'Newton-Miller_Convert'!$I$1:$J$6,2,FALSE)</f>
        <v>0.75</v>
      </c>
      <c r="E336">
        <f>VLOOKUP('Newton-Miller_RAW'!E336,'Newton-Miller_Convert'!$I$1:$J$6,2,FALSE)</f>
        <v>0.1</v>
      </c>
      <c r="F336">
        <f t="shared" si="10"/>
        <v>0.1</v>
      </c>
      <c r="G336">
        <f t="shared" si="11"/>
        <v>0.65</v>
      </c>
    </row>
    <row r="337" spans="1:7" x14ac:dyDescent="0.3">
      <c r="A337">
        <v>336</v>
      </c>
      <c r="B337">
        <f>'Newton-Miller_RAW'!B337</f>
        <v>100</v>
      </c>
      <c r="C337">
        <f>'Newton-Miller_RAW'!C337</f>
        <v>120</v>
      </c>
      <c r="D337">
        <f>VLOOKUP('Newton-Miller_RAW'!D337,'Newton-Miller_Convert'!$I$1:$J$6,2,FALSE)</f>
        <v>0.75</v>
      </c>
      <c r="E337">
        <f>VLOOKUP('Newton-Miller_RAW'!E337,'Newton-Miller_Convert'!$I$1:$J$6,2,FALSE)</f>
        <v>0.75</v>
      </c>
      <c r="F337">
        <f t="shared" si="10"/>
        <v>0.75</v>
      </c>
      <c r="G337">
        <f t="shared" si="11"/>
        <v>0</v>
      </c>
    </row>
    <row r="338" spans="1:7" x14ac:dyDescent="0.3">
      <c r="A338">
        <v>337</v>
      </c>
      <c r="B338">
        <f>'Newton-Miller_RAW'!B338</f>
        <v>100</v>
      </c>
      <c r="C338">
        <f>'Newton-Miller_RAW'!C338</f>
        <v>120</v>
      </c>
      <c r="D338">
        <f>VLOOKUP('Newton-Miller_RAW'!D338,'Newton-Miller_Convert'!$I$1:$J$6,2,FALSE)</f>
        <v>0.25</v>
      </c>
      <c r="E338">
        <f>VLOOKUP('Newton-Miller_RAW'!E338,'Newton-Miller_Convert'!$I$1:$J$6,2,FALSE)</f>
        <v>0.25</v>
      </c>
      <c r="F338">
        <f t="shared" si="10"/>
        <v>0.25</v>
      </c>
      <c r="G338">
        <f t="shared" si="11"/>
        <v>0</v>
      </c>
    </row>
    <row r="339" spans="1:7" x14ac:dyDescent="0.3">
      <c r="A339">
        <v>338</v>
      </c>
      <c r="B339">
        <f>'Newton-Miller_RAW'!B339</f>
        <v>300</v>
      </c>
      <c r="C339">
        <f>'Newton-Miller_RAW'!C339</f>
        <v>350</v>
      </c>
      <c r="D339">
        <f>VLOOKUP('Newton-Miller_RAW'!D339,'Newton-Miller_Convert'!$I$1:$J$6,2,FALSE)</f>
        <v>0.25</v>
      </c>
      <c r="E339">
        <f>VLOOKUP('Newton-Miller_RAW'!E339,'Newton-Miller_Convert'!$I$1:$J$6,2,FALSE)</f>
        <v>0.1</v>
      </c>
      <c r="F339">
        <f t="shared" si="10"/>
        <v>0.1</v>
      </c>
      <c r="G339">
        <f t="shared" si="11"/>
        <v>0.15</v>
      </c>
    </row>
    <row r="340" spans="1:7" x14ac:dyDescent="0.3">
      <c r="A340">
        <v>339</v>
      </c>
      <c r="B340">
        <f>'Newton-Miller_RAW'!B340</f>
        <v>100</v>
      </c>
      <c r="C340">
        <f>'Newton-Miller_RAW'!C340</f>
        <v>130</v>
      </c>
      <c r="D340">
        <f>VLOOKUP('Newton-Miller_RAW'!D340,'Newton-Miller_Convert'!$I$1:$J$6,2,FALSE)</f>
        <v>0.75</v>
      </c>
      <c r="E340">
        <f>VLOOKUP('Newton-Miller_RAW'!E340,'Newton-Miller_Convert'!$I$1:$J$6,2,FALSE)</f>
        <v>0.25</v>
      </c>
      <c r="F340">
        <f t="shared" si="10"/>
        <v>0.25</v>
      </c>
      <c r="G340">
        <f t="shared" si="11"/>
        <v>0.5</v>
      </c>
    </row>
    <row r="341" spans="1:7" x14ac:dyDescent="0.3">
      <c r="A341">
        <v>340</v>
      </c>
      <c r="B341">
        <f>'Newton-Miller_RAW'!B341</f>
        <v>100</v>
      </c>
      <c r="C341">
        <f>'Newton-Miller_RAW'!C341</f>
        <v>180</v>
      </c>
      <c r="D341">
        <f>VLOOKUP('Newton-Miller_RAW'!D341,'Newton-Miller_Convert'!$I$1:$J$6,2,FALSE)</f>
        <v>0.75</v>
      </c>
      <c r="E341">
        <f>VLOOKUP('Newton-Miller_RAW'!E341,'Newton-Miller_Convert'!$I$1:$J$6,2,FALSE)</f>
        <v>0.25</v>
      </c>
      <c r="F341">
        <f t="shared" si="10"/>
        <v>0.25</v>
      </c>
      <c r="G341">
        <f t="shared" si="11"/>
        <v>0.5</v>
      </c>
    </row>
    <row r="342" spans="1:7" x14ac:dyDescent="0.3">
      <c r="A342">
        <v>341</v>
      </c>
      <c r="B342">
        <f>'Newton-Miller_RAW'!B342</f>
        <v>300</v>
      </c>
      <c r="C342">
        <f>'Newton-Miller_RAW'!C342</f>
        <v>350</v>
      </c>
      <c r="D342">
        <f>VLOOKUP('Newton-Miller_RAW'!D342,'Newton-Miller_Convert'!$I$1:$J$6,2,FALSE)</f>
        <v>0.1</v>
      </c>
      <c r="E342">
        <f>VLOOKUP('Newton-Miller_RAW'!E342,'Newton-Miller_Convert'!$I$1:$J$6,2,FALSE)</f>
        <v>0.1</v>
      </c>
      <c r="F342">
        <f t="shared" si="10"/>
        <v>0.1</v>
      </c>
      <c r="G342">
        <f t="shared" si="11"/>
        <v>0</v>
      </c>
    </row>
    <row r="343" spans="1:7" x14ac:dyDescent="0.3">
      <c r="A343">
        <v>342</v>
      </c>
      <c r="B343">
        <f>'Newton-Miller_RAW'!B343</f>
        <v>400</v>
      </c>
      <c r="C343">
        <f>'Newton-Miller_RAW'!C343</f>
        <v>450</v>
      </c>
      <c r="D343">
        <f>VLOOKUP('Newton-Miller_RAW'!D343,'Newton-Miller_Convert'!$I$1:$J$6,2,FALSE)</f>
        <v>0.75</v>
      </c>
      <c r="E343">
        <f>VLOOKUP('Newton-Miller_RAW'!E343,'Newton-Miller_Convert'!$I$1:$J$6,2,FALSE)</f>
        <v>0.75</v>
      </c>
      <c r="F343">
        <f t="shared" si="10"/>
        <v>0.75</v>
      </c>
      <c r="G343">
        <f t="shared" si="11"/>
        <v>0</v>
      </c>
    </row>
    <row r="344" spans="1:7" x14ac:dyDescent="0.3">
      <c r="A344">
        <v>343</v>
      </c>
      <c r="B344">
        <f>'Newton-Miller_RAW'!B344</f>
        <v>190</v>
      </c>
      <c r="C344">
        <f>'Newton-Miller_RAW'!C344</f>
        <v>230</v>
      </c>
      <c r="D344">
        <f>VLOOKUP('Newton-Miller_RAW'!D344,'Newton-Miller_Convert'!$I$1:$J$6,2,FALSE)</f>
        <v>0</v>
      </c>
      <c r="E344">
        <f>VLOOKUP('Newton-Miller_RAW'!E344,'Newton-Miller_Convert'!$I$1:$J$6,2,FALSE)</f>
        <v>0</v>
      </c>
      <c r="F344">
        <f t="shared" si="10"/>
        <v>0</v>
      </c>
      <c r="G344">
        <f t="shared" si="11"/>
        <v>0</v>
      </c>
    </row>
    <row r="345" spans="1:7" x14ac:dyDescent="0.3">
      <c r="A345">
        <v>344</v>
      </c>
      <c r="B345">
        <f>'Newton-Miller_RAW'!B345</f>
        <v>300</v>
      </c>
      <c r="C345">
        <f>'Newton-Miller_RAW'!C345</f>
        <v>350</v>
      </c>
      <c r="D345">
        <f>VLOOKUP('Newton-Miller_RAW'!D345,'Newton-Miller_Convert'!$I$1:$J$6,2,FALSE)</f>
        <v>0</v>
      </c>
      <c r="E345">
        <f>VLOOKUP('Newton-Miller_RAW'!E345,'Newton-Miller_Convert'!$I$1:$J$6,2,FALSE)</f>
        <v>0</v>
      </c>
      <c r="F345">
        <f t="shared" si="10"/>
        <v>0</v>
      </c>
      <c r="G345">
        <f t="shared" si="11"/>
        <v>0</v>
      </c>
    </row>
    <row r="346" spans="1:7" x14ac:dyDescent="0.3">
      <c r="A346">
        <v>345</v>
      </c>
      <c r="B346">
        <f>'Newton-Miller_RAW'!B346</f>
        <v>90</v>
      </c>
      <c r="C346">
        <f>'Newton-Miller_RAW'!C346</f>
        <v>110</v>
      </c>
      <c r="D346">
        <f>VLOOKUP('Newton-Miller_RAW'!D346,'Newton-Miller_Convert'!$I$1:$J$6,2,FALSE)</f>
        <v>0.75</v>
      </c>
      <c r="E346">
        <f>VLOOKUP('Newton-Miller_RAW'!E346,'Newton-Miller_Convert'!$I$1:$J$6,2,FALSE)</f>
        <v>0.1</v>
      </c>
      <c r="F346">
        <f t="shared" si="10"/>
        <v>0.1</v>
      </c>
      <c r="G346">
        <f t="shared" si="11"/>
        <v>0.65</v>
      </c>
    </row>
    <row r="347" spans="1:7" x14ac:dyDescent="0.3">
      <c r="A347">
        <v>346</v>
      </c>
      <c r="B347">
        <f>'Newton-Miller_RAW'!B347</f>
        <v>100</v>
      </c>
      <c r="C347">
        <f>'Newton-Miller_RAW'!C347</f>
        <v>150</v>
      </c>
      <c r="D347">
        <f>VLOOKUP('Newton-Miller_RAW'!D347,'Newton-Miller_Convert'!$I$1:$J$6,2,FALSE)</f>
        <v>0.25</v>
      </c>
      <c r="E347">
        <f>VLOOKUP('Newton-Miller_RAW'!E347,'Newton-Miller_Convert'!$I$1:$J$6,2,FALSE)</f>
        <v>0.25</v>
      </c>
      <c r="F347">
        <f t="shared" si="10"/>
        <v>0.25</v>
      </c>
      <c r="G347">
        <f t="shared" si="11"/>
        <v>0</v>
      </c>
    </row>
    <row r="348" spans="1:7" x14ac:dyDescent="0.3">
      <c r="A348">
        <v>347</v>
      </c>
      <c r="B348">
        <f>'Newton-Miller_RAW'!B348</f>
        <v>240</v>
      </c>
      <c r="C348">
        <f>'Newton-Miller_RAW'!C348</f>
        <v>340</v>
      </c>
      <c r="D348">
        <f>VLOOKUP('Newton-Miller_RAW'!D348,'Newton-Miller_Convert'!$I$1:$J$6,2,FALSE)</f>
        <v>0.75</v>
      </c>
      <c r="E348">
        <f>VLOOKUP('Newton-Miller_RAW'!E348,'Newton-Miller_Convert'!$I$1:$J$6,2,FALSE)</f>
        <v>0.25</v>
      </c>
      <c r="F348">
        <f t="shared" si="10"/>
        <v>0.25</v>
      </c>
      <c r="G348">
        <f t="shared" si="11"/>
        <v>0.5</v>
      </c>
    </row>
    <row r="349" spans="1:7" x14ac:dyDescent="0.3">
      <c r="A349">
        <v>348</v>
      </c>
      <c r="B349">
        <f>'Newton-Miller_RAW'!B349</f>
        <v>100</v>
      </c>
      <c r="C349">
        <f>'Newton-Miller_RAW'!C349</f>
        <v>150</v>
      </c>
      <c r="D349">
        <f>VLOOKUP('Newton-Miller_RAW'!D349,'Newton-Miller_Convert'!$I$1:$J$6,2,FALSE)</f>
        <v>0.75</v>
      </c>
      <c r="E349">
        <f>VLOOKUP('Newton-Miller_RAW'!E349,'Newton-Miller_Convert'!$I$1:$J$6,2,FALSE)</f>
        <v>0.25</v>
      </c>
      <c r="F349">
        <f t="shared" si="10"/>
        <v>0.25</v>
      </c>
      <c r="G349">
        <f t="shared" si="11"/>
        <v>0.5</v>
      </c>
    </row>
    <row r="350" spans="1:7" x14ac:dyDescent="0.3">
      <c r="A350">
        <v>349</v>
      </c>
      <c r="B350">
        <f>'Newton-Miller_RAW'!B350</f>
        <v>200</v>
      </c>
      <c r="C350">
        <f>'Newton-Miller_RAW'!C350</f>
        <v>205</v>
      </c>
      <c r="D350">
        <f>VLOOKUP('Newton-Miller_RAW'!D350,'Newton-Miller_Convert'!$I$1:$J$6,2,FALSE)</f>
        <v>0</v>
      </c>
      <c r="E350">
        <f>VLOOKUP('Newton-Miller_RAW'!E350,'Newton-Miller_Convert'!$I$1:$J$6,2,FALSE)</f>
        <v>0</v>
      </c>
      <c r="F350">
        <f t="shared" si="10"/>
        <v>0</v>
      </c>
      <c r="G350">
        <f t="shared" si="11"/>
        <v>0</v>
      </c>
    </row>
    <row r="351" spans="1:7" x14ac:dyDescent="0.3">
      <c r="A351">
        <v>350</v>
      </c>
      <c r="B351">
        <f>'Newton-Miller_RAW'!B351</f>
        <v>180</v>
      </c>
      <c r="C351">
        <f>'Newton-Miller_RAW'!C351</f>
        <v>200</v>
      </c>
      <c r="D351">
        <f>VLOOKUP('Newton-Miller_RAW'!D351,'Newton-Miller_Convert'!$I$1:$J$6,2,FALSE)</f>
        <v>0.1</v>
      </c>
      <c r="E351">
        <f>VLOOKUP('Newton-Miller_RAW'!E351,'Newton-Miller_Convert'!$I$1:$J$6,2,FALSE)</f>
        <v>0</v>
      </c>
      <c r="F351">
        <f t="shared" si="10"/>
        <v>0</v>
      </c>
      <c r="G351">
        <f t="shared" si="11"/>
        <v>0.1</v>
      </c>
    </row>
    <row r="352" spans="1:7" x14ac:dyDescent="0.3">
      <c r="A352">
        <v>351</v>
      </c>
      <c r="B352">
        <f>'Newton-Miller_RAW'!B352</f>
        <v>120</v>
      </c>
      <c r="C352">
        <f>'Newton-Miller_RAW'!C352</f>
        <v>150</v>
      </c>
      <c r="D352">
        <f>VLOOKUP('Newton-Miller_RAW'!D352,'Newton-Miller_Convert'!$I$1:$J$6,2,FALSE)</f>
        <v>0.75</v>
      </c>
      <c r="E352">
        <f>VLOOKUP('Newton-Miller_RAW'!E352,'Newton-Miller_Convert'!$I$1:$J$6,2,FALSE)</f>
        <v>0.75</v>
      </c>
      <c r="F352">
        <f t="shared" si="10"/>
        <v>0.75</v>
      </c>
      <c r="G352">
        <f t="shared" si="11"/>
        <v>0</v>
      </c>
    </row>
    <row r="353" spans="1:7" x14ac:dyDescent="0.3">
      <c r="A353">
        <v>352</v>
      </c>
      <c r="B353">
        <f>'Newton-Miller_RAW'!B353</f>
        <v>250</v>
      </c>
      <c r="C353">
        <f>'Newton-Miller_RAW'!C353</f>
        <v>350</v>
      </c>
      <c r="D353">
        <f>VLOOKUP('Newton-Miller_RAW'!D353,'Newton-Miller_Convert'!$I$1:$J$6,2,FALSE)</f>
        <v>0.75</v>
      </c>
      <c r="E353">
        <f>VLOOKUP('Newton-Miller_RAW'!E353,'Newton-Miller_Convert'!$I$1:$J$6,2,FALSE)</f>
        <v>0.1</v>
      </c>
      <c r="F353">
        <f t="shared" si="10"/>
        <v>0.1</v>
      </c>
      <c r="G353">
        <f t="shared" si="11"/>
        <v>0.65</v>
      </c>
    </row>
    <row r="354" spans="1:7" x14ac:dyDescent="0.3">
      <c r="A354">
        <v>353</v>
      </c>
      <c r="B354">
        <f>'Newton-Miller_RAW'!B354</f>
        <v>250</v>
      </c>
      <c r="C354">
        <f>'Newton-Miller_RAW'!C354</f>
        <v>300</v>
      </c>
      <c r="D354">
        <f>VLOOKUP('Newton-Miller_RAW'!D354,'Newton-Miller_Convert'!$I$1:$J$6,2,FALSE)</f>
        <v>0.75</v>
      </c>
      <c r="E354">
        <f>VLOOKUP('Newton-Miller_RAW'!E354,'Newton-Miller_Convert'!$I$1:$J$6,2,FALSE)</f>
        <v>0.1</v>
      </c>
      <c r="F354">
        <f t="shared" si="10"/>
        <v>0.1</v>
      </c>
      <c r="G354">
        <f t="shared" si="11"/>
        <v>0.65</v>
      </c>
    </row>
    <row r="355" spans="1:7" x14ac:dyDescent="0.3">
      <c r="A355">
        <v>354</v>
      </c>
      <c r="B355">
        <f>'Newton-Miller_RAW'!B355</f>
        <v>350</v>
      </c>
      <c r="C355">
        <f>'Newton-Miller_RAW'!C355</f>
        <v>600</v>
      </c>
      <c r="D355">
        <f>VLOOKUP('Newton-Miller_RAW'!D355,'Newton-Miller_Convert'!$I$1:$J$6,2,FALSE)</f>
        <v>0.75</v>
      </c>
      <c r="E355">
        <f>VLOOKUP('Newton-Miller_RAW'!E355,'Newton-Miller_Convert'!$I$1:$J$6,2,FALSE)</f>
        <v>0</v>
      </c>
      <c r="F355">
        <f t="shared" si="10"/>
        <v>0</v>
      </c>
      <c r="G355">
        <f t="shared" si="11"/>
        <v>0.75</v>
      </c>
    </row>
    <row r="356" spans="1:7" x14ac:dyDescent="0.3">
      <c r="A356">
        <v>355</v>
      </c>
      <c r="B356">
        <f>'Newton-Miller_RAW'!B356</f>
        <v>300</v>
      </c>
      <c r="C356">
        <f>'Newton-Miller_RAW'!C356</f>
        <v>350</v>
      </c>
      <c r="D356">
        <f>VLOOKUP('Newton-Miller_RAW'!D356,'Newton-Miller_Convert'!$I$1:$J$6,2,FALSE)</f>
        <v>0.75</v>
      </c>
      <c r="E356">
        <f>VLOOKUP('Newton-Miller_RAW'!E356,'Newton-Miller_Convert'!$I$1:$J$6,2,FALSE)</f>
        <v>0.25</v>
      </c>
      <c r="F356">
        <f t="shared" si="10"/>
        <v>0.25</v>
      </c>
      <c r="G356">
        <f t="shared" si="11"/>
        <v>0.5</v>
      </c>
    </row>
    <row r="357" spans="1:7" x14ac:dyDescent="0.3">
      <c r="A357">
        <v>356</v>
      </c>
      <c r="B357">
        <f>'Newton-Miller_RAW'!B357</f>
        <v>200</v>
      </c>
      <c r="C357">
        <f>'Newton-Miller_RAW'!C357</f>
        <v>249</v>
      </c>
      <c r="D357">
        <f>VLOOKUP('Newton-Miller_RAW'!D357,'Newton-Miller_Convert'!$I$1:$J$6,2,FALSE)</f>
        <v>0.75</v>
      </c>
      <c r="E357">
        <f>VLOOKUP('Newton-Miller_RAW'!E357,'Newton-Miller_Convert'!$I$1:$J$6,2,FALSE)</f>
        <v>0.25</v>
      </c>
      <c r="F357">
        <f t="shared" si="10"/>
        <v>0.25</v>
      </c>
      <c r="G357">
        <f t="shared" si="11"/>
        <v>0.5</v>
      </c>
    </row>
    <row r="358" spans="1:7" x14ac:dyDescent="0.3">
      <c r="A358">
        <v>357</v>
      </c>
      <c r="B358">
        <f>'Newton-Miller_RAW'!B358</f>
        <v>221</v>
      </c>
      <c r="C358">
        <f>'Newton-Miller_RAW'!C358</f>
        <v>279</v>
      </c>
      <c r="D358">
        <f>VLOOKUP('Newton-Miller_RAW'!D358,'Newton-Miller_Convert'!$I$1:$J$6,2,FALSE)</f>
        <v>0.25</v>
      </c>
      <c r="E358">
        <f>VLOOKUP('Newton-Miller_RAW'!E358,'Newton-Miller_Convert'!$I$1:$J$6,2,FALSE)</f>
        <v>0</v>
      </c>
      <c r="F358">
        <f t="shared" si="10"/>
        <v>0</v>
      </c>
      <c r="G358">
        <f t="shared" si="11"/>
        <v>0.25</v>
      </c>
    </row>
    <row r="359" spans="1:7" x14ac:dyDescent="0.3">
      <c r="A359">
        <v>358</v>
      </c>
      <c r="B359">
        <f>'Newton-Miller_RAW'!B359</f>
        <v>150</v>
      </c>
      <c r="C359">
        <f>'Newton-Miller_RAW'!C359</f>
        <v>180</v>
      </c>
      <c r="D359">
        <f>VLOOKUP('Newton-Miller_RAW'!D359,'Newton-Miller_Convert'!$I$1:$J$6,2,FALSE)</f>
        <v>0.1</v>
      </c>
      <c r="E359">
        <f>VLOOKUP('Newton-Miller_RAW'!E359,'Newton-Miller_Convert'!$I$1:$J$6,2,FALSE)</f>
        <v>0.1</v>
      </c>
      <c r="F359">
        <f t="shared" si="10"/>
        <v>0.1</v>
      </c>
      <c r="G359">
        <f t="shared" si="11"/>
        <v>0</v>
      </c>
    </row>
    <row r="360" spans="1:7" x14ac:dyDescent="0.3">
      <c r="A360">
        <v>359</v>
      </c>
      <c r="B360">
        <f>'Newton-Miller_RAW'!B360</f>
        <v>320</v>
      </c>
      <c r="C360">
        <f>'Newton-Miller_RAW'!C360</f>
        <v>430</v>
      </c>
      <c r="D360">
        <f>VLOOKUP('Newton-Miller_RAW'!D360,'Newton-Miller_Convert'!$I$1:$J$6,2,FALSE)</f>
        <v>0.25</v>
      </c>
      <c r="E360">
        <f>VLOOKUP('Newton-Miller_RAW'!E360,'Newton-Miller_Convert'!$I$1:$J$6,2,FALSE)</f>
        <v>0</v>
      </c>
      <c r="F360">
        <f t="shared" si="10"/>
        <v>0</v>
      </c>
      <c r="G360">
        <f t="shared" si="11"/>
        <v>0.25</v>
      </c>
    </row>
    <row r="361" spans="1:7" x14ac:dyDescent="0.3">
      <c r="A361">
        <v>360</v>
      </c>
      <c r="B361">
        <f>'Newton-Miller_RAW'!B361</f>
        <v>300</v>
      </c>
      <c r="C361">
        <f>'Newton-Miller_RAW'!C361</f>
        <v>350</v>
      </c>
      <c r="D361">
        <f>VLOOKUP('Newton-Miller_RAW'!D361,'Newton-Miller_Convert'!$I$1:$J$6,2,FALSE)</f>
        <v>0.1</v>
      </c>
      <c r="E361">
        <f>VLOOKUP('Newton-Miller_RAW'!E361,'Newton-Miller_Convert'!$I$1:$J$6,2,FALSE)</f>
        <v>0</v>
      </c>
      <c r="F361">
        <f t="shared" si="10"/>
        <v>0</v>
      </c>
      <c r="G361">
        <f t="shared" si="11"/>
        <v>0.1</v>
      </c>
    </row>
    <row r="362" spans="1:7" x14ac:dyDescent="0.3">
      <c r="A362">
        <v>361</v>
      </c>
      <c r="B362">
        <f>'Newton-Miller_RAW'!B362</f>
        <v>299</v>
      </c>
      <c r="C362">
        <f>'Newton-Miller_RAW'!C362</f>
        <v>399</v>
      </c>
      <c r="D362">
        <f>VLOOKUP('Newton-Miller_RAW'!D362,'Newton-Miller_Convert'!$I$1:$J$6,2,FALSE)</f>
        <v>0.25</v>
      </c>
      <c r="E362">
        <f>VLOOKUP('Newton-Miller_RAW'!E362,'Newton-Miller_Convert'!$I$1:$J$6,2,FALSE)</f>
        <v>0.1</v>
      </c>
      <c r="F362">
        <f t="shared" si="10"/>
        <v>0.1</v>
      </c>
      <c r="G362">
        <f t="shared" si="11"/>
        <v>0.15</v>
      </c>
    </row>
    <row r="363" spans="1:7" x14ac:dyDescent="0.3">
      <c r="A363">
        <v>362</v>
      </c>
      <c r="B363">
        <f>'Newton-Miller_RAW'!B363</f>
        <v>150</v>
      </c>
      <c r="C363">
        <f>'Newton-Miller_RAW'!C363</f>
        <v>159</v>
      </c>
      <c r="D363">
        <f>VLOOKUP('Newton-Miller_RAW'!D363,'Newton-Miller_Convert'!$I$1:$J$6,2,FALSE)</f>
        <v>0.75</v>
      </c>
      <c r="E363">
        <f>VLOOKUP('Newton-Miller_RAW'!E363,'Newton-Miller_Convert'!$I$1:$J$6,2,FALSE)</f>
        <v>0.25</v>
      </c>
      <c r="F363">
        <f t="shared" si="10"/>
        <v>0.25</v>
      </c>
      <c r="G363">
        <f t="shared" si="11"/>
        <v>0.5</v>
      </c>
    </row>
    <row r="364" spans="1:7" x14ac:dyDescent="0.3">
      <c r="A364">
        <v>363</v>
      </c>
      <c r="B364">
        <f>'Newton-Miller_RAW'!B364</f>
        <v>300</v>
      </c>
      <c r="C364">
        <f>'Newton-Miller_RAW'!C364</f>
        <v>400</v>
      </c>
      <c r="D364">
        <f>VLOOKUP('Newton-Miller_RAW'!D364,'Newton-Miller_Convert'!$I$1:$J$6,2,FALSE)</f>
        <v>0.75</v>
      </c>
      <c r="E364">
        <f>VLOOKUP('Newton-Miller_RAW'!E364,'Newton-Miller_Convert'!$I$1:$J$6,2,FALSE)</f>
        <v>0.25</v>
      </c>
      <c r="F364">
        <f t="shared" si="10"/>
        <v>0.25</v>
      </c>
      <c r="G364">
        <f t="shared" si="11"/>
        <v>0.5</v>
      </c>
    </row>
    <row r="365" spans="1:7" x14ac:dyDescent="0.3">
      <c r="A365">
        <v>364</v>
      </c>
      <c r="B365">
        <f>'Newton-Miller_RAW'!B365</f>
        <v>259</v>
      </c>
      <c r="C365">
        <f>'Newton-Miller_RAW'!C365</f>
        <v>449</v>
      </c>
      <c r="D365">
        <f>VLOOKUP('Newton-Miller_RAW'!D365,'Newton-Miller_Convert'!$I$1:$J$6,2,FALSE)</f>
        <v>0</v>
      </c>
      <c r="E365">
        <f>VLOOKUP('Newton-Miller_RAW'!E365,'Newton-Miller_Convert'!$I$1:$J$6,2,FALSE)</f>
        <v>0</v>
      </c>
      <c r="F365">
        <f t="shared" si="10"/>
        <v>0</v>
      </c>
      <c r="G365">
        <f t="shared" si="11"/>
        <v>0</v>
      </c>
    </row>
    <row r="366" spans="1:7" x14ac:dyDescent="0.3">
      <c r="A366">
        <v>365</v>
      </c>
      <c r="B366">
        <f>'Newton-Miller_RAW'!B366</f>
        <v>130</v>
      </c>
      <c r="C366">
        <f>'Newton-Miller_RAW'!C366</f>
        <v>170</v>
      </c>
      <c r="D366">
        <f>VLOOKUP('Newton-Miller_RAW'!D366,'Newton-Miller_Convert'!$I$1:$J$6,2,FALSE)</f>
        <v>0.75</v>
      </c>
      <c r="E366">
        <f>VLOOKUP('Newton-Miller_RAW'!E366,'Newton-Miller_Convert'!$I$1:$J$6,2,FALSE)</f>
        <v>0.1</v>
      </c>
      <c r="F366">
        <f t="shared" si="10"/>
        <v>0.1</v>
      </c>
      <c r="G366">
        <f t="shared" si="11"/>
        <v>0.65</v>
      </c>
    </row>
    <row r="367" spans="1:7" x14ac:dyDescent="0.3">
      <c r="A367">
        <v>366</v>
      </c>
      <c r="B367">
        <f>'Newton-Miller_RAW'!B367</f>
        <v>200</v>
      </c>
      <c r="C367">
        <f>'Newton-Miller_RAW'!C367</f>
        <v>300</v>
      </c>
      <c r="D367">
        <f>VLOOKUP('Newton-Miller_RAW'!D367,'Newton-Miller_Convert'!$I$1:$J$6,2,FALSE)</f>
        <v>0.75</v>
      </c>
      <c r="E367">
        <f>VLOOKUP('Newton-Miller_RAW'!E367,'Newton-Miller_Convert'!$I$1:$J$6,2,FALSE)</f>
        <v>0.1</v>
      </c>
      <c r="F367">
        <f t="shared" si="10"/>
        <v>0.1</v>
      </c>
      <c r="G367">
        <f t="shared" si="11"/>
        <v>0.65</v>
      </c>
    </row>
    <row r="368" spans="1:7" x14ac:dyDescent="0.3">
      <c r="A368">
        <v>367</v>
      </c>
      <c r="B368">
        <f>'Newton-Miller_RAW'!B368</f>
        <v>250</v>
      </c>
      <c r="C368">
        <f>'Newton-Miller_RAW'!C368</f>
        <v>280</v>
      </c>
      <c r="D368">
        <f>VLOOKUP('Newton-Miller_RAW'!D368,'Newton-Miller_Convert'!$I$1:$J$6,2,FALSE)</f>
        <v>0.75</v>
      </c>
      <c r="E368">
        <f>VLOOKUP('Newton-Miller_RAW'!E368,'Newton-Miller_Convert'!$I$1:$J$6,2,FALSE)</f>
        <v>0.75</v>
      </c>
      <c r="F368">
        <f t="shared" si="10"/>
        <v>0.75</v>
      </c>
      <c r="G368">
        <f t="shared" si="11"/>
        <v>0</v>
      </c>
    </row>
    <row r="369" spans="1:7" x14ac:dyDescent="0.3">
      <c r="A369">
        <v>368</v>
      </c>
      <c r="B369">
        <f>'Newton-Miller_RAW'!B369</f>
        <v>200</v>
      </c>
      <c r="C369">
        <f>'Newton-Miller_RAW'!C369</f>
        <v>255</v>
      </c>
      <c r="D369">
        <f>VLOOKUP('Newton-Miller_RAW'!D369,'Newton-Miller_Convert'!$I$1:$J$6,2,FALSE)</f>
        <v>0.75</v>
      </c>
      <c r="E369">
        <f>VLOOKUP('Newton-Miller_RAW'!E369,'Newton-Miller_Convert'!$I$1:$J$6,2,FALSE)</f>
        <v>0.25</v>
      </c>
      <c r="F369">
        <f t="shared" si="10"/>
        <v>0.25</v>
      </c>
      <c r="G369">
        <f t="shared" si="11"/>
        <v>0.5</v>
      </c>
    </row>
    <row r="370" spans="1:7" x14ac:dyDescent="0.3">
      <c r="A370">
        <v>369</v>
      </c>
      <c r="B370">
        <f>'Newton-Miller_RAW'!B370</f>
        <v>265</v>
      </c>
      <c r="C370">
        <f>'Newton-Miller_RAW'!C370</f>
        <v>365</v>
      </c>
      <c r="D370">
        <f>VLOOKUP('Newton-Miller_RAW'!D370,'Newton-Miller_Convert'!$I$1:$J$6,2,FALSE)</f>
        <v>0.75</v>
      </c>
      <c r="E370">
        <f>VLOOKUP('Newton-Miller_RAW'!E370,'Newton-Miller_Convert'!$I$1:$J$6,2,FALSE)</f>
        <v>0.1</v>
      </c>
      <c r="F370">
        <f t="shared" si="10"/>
        <v>0.1</v>
      </c>
      <c r="G370">
        <f t="shared" si="11"/>
        <v>0.65</v>
      </c>
    </row>
    <row r="371" spans="1:7" x14ac:dyDescent="0.3">
      <c r="A371">
        <v>370</v>
      </c>
      <c r="B371">
        <f>'Newton-Miller_RAW'!B371</f>
        <v>100</v>
      </c>
      <c r="C371">
        <f>'Newton-Miller_RAW'!C371</f>
        <v>130</v>
      </c>
      <c r="D371">
        <f>VLOOKUP('Newton-Miller_RAW'!D371,'Newton-Miller_Convert'!$I$1:$J$6,2,FALSE)</f>
        <v>0.1</v>
      </c>
      <c r="E371">
        <f>VLOOKUP('Newton-Miller_RAW'!E371,'Newton-Miller_Convert'!$I$1:$J$6,2,FALSE)</f>
        <v>0.1</v>
      </c>
      <c r="F371">
        <f t="shared" si="10"/>
        <v>0.1</v>
      </c>
      <c r="G371">
        <f t="shared" si="11"/>
        <v>0</v>
      </c>
    </row>
    <row r="372" spans="1:7" x14ac:dyDescent="0.3">
      <c r="A372">
        <v>371</v>
      </c>
      <c r="B372">
        <f>'Newton-Miller_RAW'!B372</f>
        <v>300</v>
      </c>
      <c r="C372">
        <f>'Newton-Miller_RAW'!C372</f>
        <v>350</v>
      </c>
      <c r="D372">
        <f>VLOOKUP('Newton-Miller_RAW'!D372,'Newton-Miller_Convert'!$I$1:$J$6,2,FALSE)</f>
        <v>0.75</v>
      </c>
      <c r="E372">
        <f>VLOOKUP('Newton-Miller_RAW'!E372,'Newton-Miller_Convert'!$I$1:$J$6,2,FALSE)</f>
        <v>0.25</v>
      </c>
      <c r="F372">
        <f t="shared" si="10"/>
        <v>0.25</v>
      </c>
      <c r="G372">
        <f t="shared" si="11"/>
        <v>0.5</v>
      </c>
    </row>
    <row r="373" spans="1:7" x14ac:dyDescent="0.3">
      <c r="A373">
        <v>372</v>
      </c>
      <c r="B373">
        <f>'Newton-Miller_RAW'!B373</f>
        <v>300</v>
      </c>
      <c r="C373">
        <f>'Newton-Miller_RAW'!C373</f>
        <v>400</v>
      </c>
      <c r="D373">
        <f>VLOOKUP('Newton-Miller_RAW'!D373,'Newton-Miller_Convert'!$I$1:$J$6,2,FALSE)</f>
        <v>0.75</v>
      </c>
      <c r="E373">
        <f>VLOOKUP('Newton-Miller_RAW'!E373,'Newton-Miller_Convert'!$I$1:$J$6,2,FALSE)</f>
        <v>0.25</v>
      </c>
      <c r="F373">
        <f t="shared" si="10"/>
        <v>0.25</v>
      </c>
      <c r="G373">
        <f t="shared" si="11"/>
        <v>0.5</v>
      </c>
    </row>
    <row r="374" spans="1:7" x14ac:dyDescent="0.3">
      <c r="A374">
        <v>373</v>
      </c>
      <c r="B374">
        <f>'Newton-Miller_RAW'!B374</f>
        <v>200</v>
      </c>
      <c r="C374">
        <f>'Newton-Miller_RAW'!C374</f>
        <v>400</v>
      </c>
      <c r="D374">
        <f>VLOOKUP('Newton-Miller_RAW'!D374,'Newton-Miller_Convert'!$I$1:$J$6,2,FALSE)</f>
        <v>0.1</v>
      </c>
      <c r="E374">
        <f>VLOOKUP('Newton-Miller_RAW'!E374,'Newton-Miller_Convert'!$I$1:$J$6,2,FALSE)</f>
        <v>0</v>
      </c>
      <c r="F374">
        <f t="shared" si="10"/>
        <v>0</v>
      </c>
      <c r="G374">
        <f t="shared" si="11"/>
        <v>0.1</v>
      </c>
    </row>
    <row r="375" spans="1:7" x14ac:dyDescent="0.3">
      <c r="A375">
        <v>374</v>
      </c>
      <c r="B375">
        <f>'Newton-Miller_RAW'!B375</f>
        <v>60</v>
      </c>
      <c r="C375">
        <f>'Newton-Miller_RAW'!C375</f>
        <v>69</v>
      </c>
      <c r="D375">
        <f>VLOOKUP('Newton-Miller_RAW'!D375,'Newton-Miller_Convert'!$I$1:$J$6,2,FALSE)</f>
        <v>0.1</v>
      </c>
      <c r="E375">
        <f>VLOOKUP('Newton-Miller_RAW'!E375,'Newton-Miller_Convert'!$I$1:$J$6,2,FALSE)</f>
        <v>0.25</v>
      </c>
      <c r="F375">
        <f t="shared" si="10"/>
        <v>0.1</v>
      </c>
      <c r="G375">
        <f t="shared" si="11"/>
        <v>0</v>
      </c>
    </row>
    <row r="376" spans="1:7" x14ac:dyDescent="0.3">
      <c r="A376">
        <v>375</v>
      </c>
      <c r="B376">
        <f>'Newton-Miller_RAW'!B376</f>
        <v>200</v>
      </c>
      <c r="C376">
        <f>'Newton-Miller_RAW'!C376</f>
        <v>270</v>
      </c>
      <c r="D376">
        <f>VLOOKUP('Newton-Miller_RAW'!D376,'Newton-Miller_Convert'!$I$1:$J$6,2,FALSE)</f>
        <v>0.75</v>
      </c>
      <c r="E376">
        <f>VLOOKUP('Newton-Miller_RAW'!E376,'Newton-Miller_Convert'!$I$1:$J$6,2,FALSE)</f>
        <v>0.25</v>
      </c>
      <c r="F376">
        <f t="shared" si="10"/>
        <v>0.25</v>
      </c>
      <c r="G376">
        <f t="shared" si="11"/>
        <v>0.5</v>
      </c>
    </row>
    <row r="377" spans="1:7" x14ac:dyDescent="0.3">
      <c r="A377">
        <v>376</v>
      </c>
      <c r="B377">
        <f>'Newton-Miller_RAW'!B377</f>
        <v>280</v>
      </c>
      <c r="C377">
        <f>'Newton-Miller_RAW'!C377</f>
        <v>300</v>
      </c>
      <c r="D377">
        <f>VLOOKUP('Newton-Miller_RAW'!D377,'Newton-Miller_Convert'!$I$1:$J$6,2,FALSE)</f>
        <v>0.1</v>
      </c>
      <c r="E377">
        <f>VLOOKUP('Newton-Miller_RAW'!E377,'Newton-Miller_Convert'!$I$1:$J$6,2,FALSE)</f>
        <v>0.1</v>
      </c>
      <c r="F377">
        <f t="shared" si="10"/>
        <v>0.1</v>
      </c>
      <c r="G377">
        <f t="shared" si="11"/>
        <v>0</v>
      </c>
    </row>
    <row r="378" spans="1:7" x14ac:dyDescent="0.3">
      <c r="A378">
        <v>377</v>
      </c>
      <c r="B378">
        <f>'Newton-Miller_RAW'!B378</f>
        <v>120</v>
      </c>
      <c r="C378">
        <f>'Newton-Miller_RAW'!C378</f>
        <v>170</v>
      </c>
      <c r="D378">
        <f>VLOOKUP('Newton-Miller_RAW'!D378,'Newton-Miller_Convert'!$I$1:$J$6,2,FALSE)</f>
        <v>0.25</v>
      </c>
      <c r="E378">
        <f>VLOOKUP('Newton-Miller_RAW'!E378,'Newton-Miller_Convert'!$I$1:$J$6,2,FALSE)</f>
        <v>0.1</v>
      </c>
      <c r="F378">
        <f t="shared" si="10"/>
        <v>0.1</v>
      </c>
      <c r="G378">
        <f t="shared" si="11"/>
        <v>0.15</v>
      </c>
    </row>
    <row r="379" spans="1:7" x14ac:dyDescent="0.3">
      <c r="A379">
        <v>378</v>
      </c>
      <c r="B379">
        <f>'Newton-Miller_RAW'!B379</f>
        <v>230</v>
      </c>
      <c r="C379">
        <f>'Newton-Miller_RAW'!C379</f>
        <v>240</v>
      </c>
      <c r="D379">
        <f>VLOOKUP('Newton-Miller_RAW'!D379,'Newton-Miller_Convert'!$I$1:$J$6,2,FALSE)</f>
        <v>0.75</v>
      </c>
      <c r="E379">
        <f>VLOOKUP('Newton-Miller_RAW'!E379,'Newton-Miller_Convert'!$I$1:$J$6,2,FALSE)</f>
        <v>0.75</v>
      </c>
      <c r="F379">
        <f t="shared" si="10"/>
        <v>0.75</v>
      </c>
      <c r="G379">
        <f t="shared" si="11"/>
        <v>0</v>
      </c>
    </row>
    <row r="380" spans="1:7" x14ac:dyDescent="0.3">
      <c r="A380">
        <v>379</v>
      </c>
      <c r="B380">
        <f>'Newton-Miller_RAW'!B380</f>
        <v>200</v>
      </c>
      <c r="C380">
        <f>'Newton-Miller_RAW'!C380</f>
        <v>230</v>
      </c>
      <c r="D380">
        <f>VLOOKUP('Newton-Miller_RAW'!D380,'Newton-Miller_Convert'!$I$1:$J$6,2,FALSE)</f>
        <v>0.75</v>
      </c>
      <c r="E380">
        <f>VLOOKUP('Newton-Miller_RAW'!E380,'Newton-Miller_Convert'!$I$1:$J$6,2,FALSE)</f>
        <v>0.25</v>
      </c>
      <c r="F380">
        <f t="shared" si="10"/>
        <v>0.25</v>
      </c>
      <c r="G380">
        <f t="shared" si="11"/>
        <v>0.5</v>
      </c>
    </row>
    <row r="381" spans="1:7" x14ac:dyDescent="0.3">
      <c r="A381">
        <v>380</v>
      </c>
      <c r="B381">
        <f>'Newton-Miller_RAW'!B381</f>
        <v>215</v>
      </c>
      <c r="C381">
        <f>'Newton-Miller_RAW'!C381</f>
        <v>255</v>
      </c>
      <c r="D381">
        <f>VLOOKUP('Newton-Miller_RAW'!D381,'Newton-Miller_Convert'!$I$1:$J$6,2,FALSE)</f>
        <v>0.25</v>
      </c>
      <c r="E381">
        <f>VLOOKUP('Newton-Miller_RAW'!E381,'Newton-Miller_Convert'!$I$1:$J$6,2,FALSE)</f>
        <v>0.1</v>
      </c>
      <c r="F381">
        <f t="shared" si="10"/>
        <v>0.1</v>
      </c>
      <c r="G381">
        <f t="shared" si="11"/>
        <v>0.15</v>
      </c>
    </row>
    <row r="382" spans="1:7" x14ac:dyDescent="0.3">
      <c r="A382">
        <v>381</v>
      </c>
      <c r="B382">
        <f>'Newton-Miller_RAW'!B382</f>
        <v>194</v>
      </c>
      <c r="C382">
        <f>'Newton-Miller_RAW'!C382</f>
        <v>273</v>
      </c>
      <c r="D382">
        <f>VLOOKUP('Newton-Miller_RAW'!D382,'Newton-Miller_Convert'!$I$1:$J$6,2,FALSE)</f>
        <v>0.25</v>
      </c>
      <c r="E382">
        <f>VLOOKUP('Newton-Miller_RAW'!E382,'Newton-Miller_Convert'!$I$1:$J$6,2,FALSE)</f>
        <v>0.75</v>
      </c>
      <c r="F382">
        <f t="shared" si="10"/>
        <v>0.25</v>
      </c>
      <c r="G382">
        <f t="shared" si="11"/>
        <v>0</v>
      </c>
    </row>
    <row r="383" spans="1:7" x14ac:dyDescent="0.3">
      <c r="A383">
        <v>382</v>
      </c>
      <c r="B383">
        <f>'Newton-Miller_RAW'!B383</f>
        <v>200</v>
      </c>
      <c r="C383">
        <f>'Newton-Miller_RAW'!C383</f>
        <v>250</v>
      </c>
      <c r="D383">
        <f>VLOOKUP('Newton-Miller_RAW'!D383,'Newton-Miller_Convert'!$I$1:$J$6,2,FALSE)</f>
        <v>0.25</v>
      </c>
      <c r="E383">
        <f>VLOOKUP('Newton-Miller_RAW'!E383,'Newton-Miller_Convert'!$I$1:$J$6,2,FALSE)</f>
        <v>0.25</v>
      </c>
      <c r="F383">
        <f t="shared" si="10"/>
        <v>0.25</v>
      </c>
      <c r="G383">
        <f t="shared" si="11"/>
        <v>0</v>
      </c>
    </row>
    <row r="384" spans="1:7" x14ac:dyDescent="0.3">
      <c r="A384">
        <v>383</v>
      </c>
      <c r="B384">
        <f>'Newton-Miller_RAW'!B384</f>
        <v>170</v>
      </c>
      <c r="C384">
        <f>'Newton-Miller_RAW'!C384</f>
        <v>200</v>
      </c>
      <c r="D384">
        <f>VLOOKUP('Newton-Miller_RAW'!D384,'Newton-Miller_Convert'!$I$1:$J$6,2,FALSE)</f>
        <v>0.25</v>
      </c>
      <c r="E384">
        <f>VLOOKUP('Newton-Miller_RAW'!E384,'Newton-Miller_Convert'!$I$1:$J$6,2,FALSE)</f>
        <v>0.25</v>
      </c>
      <c r="F384">
        <f t="shared" si="10"/>
        <v>0.25</v>
      </c>
      <c r="G384">
        <f t="shared" si="11"/>
        <v>0</v>
      </c>
    </row>
    <row r="385" spans="1:7" x14ac:dyDescent="0.3">
      <c r="A385">
        <v>384</v>
      </c>
      <c r="B385">
        <f>'Newton-Miller_RAW'!B385</f>
        <v>100</v>
      </c>
      <c r="C385">
        <f>'Newton-Miller_RAW'!C385</f>
        <v>200</v>
      </c>
      <c r="D385">
        <f>VLOOKUP('Newton-Miller_RAW'!D385,'Newton-Miller_Convert'!$I$1:$J$6,2,FALSE)</f>
        <v>0.75</v>
      </c>
      <c r="E385">
        <f>VLOOKUP('Newton-Miller_RAW'!E385,'Newton-Miller_Convert'!$I$1:$J$6,2,FALSE)</f>
        <v>0.75</v>
      </c>
      <c r="F385">
        <f t="shared" si="10"/>
        <v>0.75</v>
      </c>
      <c r="G385">
        <f t="shared" si="11"/>
        <v>0</v>
      </c>
    </row>
    <row r="386" spans="1:7" x14ac:dyDescent="0.3">
      <c r="A386">
        <v>385</v>
      </c>
      <c r="B386">
        <f>'Newton-Miller_RAW'!B386</f>
        <v>300</v>
      </c>
      <c r="C386">
        <f>'Newton-Miller_RAW'!C386</f>
        <v>320</v>
      </c>
      <c r="D386">
        <f>VLOOKUP('Newton-Miller_RAW'!D386,'Newton-Miller_Convert'!$I$1:$J$6,2,FALSE)</f>
        <v>0.75</v>
      </c>
      <c r="E386">
        <f>VLOOKUP('Newton-Miller_RAW'!E386,'Newton-Miller_Convert'!$I$1:$J$6,2,FALSE)</f>
        <v>0.1</v>
      </c>
      <c r="F386">
        <f t="shared" si="10"/>
        <v>0.1</v>
      </c>
      <c r="G386">
        <f t="shared" si="11"/>
        <v>0.65</v>
      </c>
    </row>
    <row r="387" spans="1:7" x14ac:dyDescent="0.3">
      <c r="A387">
        <v>386</v>
      </c>
      <c r="B387">
        <f>'Newton-Miller_RAW'!B387</f>
        <v>280</v>
      </c>
      <c r="C387">
        <f>'Newton-Miller_RAW'!C387</f>
        <v>300</v>
      </c>
      <c r="D387">
        <f>VLOOKUP('Newton-Miller_RAW'!D387,'Newton-Miller_Convert'!$I$1:$J$6,2,FALSE)</f>
        <v>0.75</v>
      </c>
      <c r="E387">
        <f>VLOOKUP('Newton-Miller_RAW'!E387,'Newton-Miller_Convert'!$I$1:$J$6,2,FALSE)</f>
        <v>0.75</v>
      </c>
      <c r="F387">
        <f t="shared" ref="F387:F450" si="12">IF(E387&gt;D387,D387,E387)</f>
        <v>0.75</v>
      </c>
      <c r="G387">
        <f t="shared" ref="G387:G450" si="13">D387-F387</f>
        <v>0</v>
      </c>
    </row>
    <row r="388" spans="1:7" x14ac:dyDescent="0.3">
      <c r="A388">
        <v>387</v>
      </c>
      <c r="B388">
        <f>'Newton-Miller_RAW'!B388</f>
        <v>450</v>
      </c>
      <c r="C388">
        <f>'Newton-Miller_RAW'!C388</f>
        <v>470</v>
      </c>
      <c r="D388">
        <f>VLOOKUP('Newton-Miller_RAW'!D388,'Newton-Miller_Convert'!$I$1:$J$6,2,FALSE)</f>
        <v>0.25</v>
      </c>
      <c r="E388">
        <f>VLOOKUP('Newton-Miller_RAW'!E388,'Newton-Miller_Convert'!$I$1:$J$6,2,FALSE)</f>
        <v>0.1</v>
      </c>
      <c r="F388">
        <f t="shared" si="12"/>
        <v>0.1</v>
      </c>
      <c r="G388">
        <f t="shared" si="13"/>
        <v>0.15</v>
      </c>
    </row>
    <row r="389" spans="1:7" x14ac:dyDescent="0.3">
      <c r="A389">
        <v>388</v>
      </c>
      <c r="B389">
        <f>'Newton-Miller_RAW'!B389</f>
        <v>180</v>
      </c>
      <c r="C389">
        <f>'Newton-Miller_RAW'!C389</f>
        <v>199</v>
      </c>
      <c r="D389">
        <f>VLOOKUP('Newton-Miller_RAW'!D389,'Newton-Miller_Convert'!$I$1:$J$6,2,FALSE)</f>
        <v>0.25</v>
      </c>
      <c r="E389">
        <f>VLOOKUP('Newton-Miller_RAW'!E389,'Newton-Miller_Convert'!$I$1:$J$6,2,FALSE)</f>
        <v>0</v>
      </c>
      <c r="F389">
        <f t="shared" si="12"/>
        <v>0</v>
      </c>
      <c r="G389">
        <f t="shared" si="13"/>
        <v>0.25</v>
      </c>
    </row>
    <row r="390" spans="1:7" x14ac:dyDescent="0.3">
      <c r="A390">
        <v>389</v>
      </c>
      <c r="B390">
        <f>'Newton-Miller_RAW'!B390</f>
        <v>69</v>
      </c>
      <c r="C390">
        <f>'Newton-Miller_RAW'!C390</f>
        <v>120</v>
      </c>
      <c r="D390">
        <f>VLOOKUP('Newton-Miller_RAW'!D390,'Newton-Miller_Convert'!$I$1:$J$6,2,FALSE)</f>
        <v>0.1</v>
      </c>
      <c r="E390">
        <f>VLOOKUP('Newton-Miller_RAW'!E390,'Newton-Miller_Convert'!$I$1:$J$6,2,FALSE)</f>
        <v>0</v>
      </c>
      <c r="F390">
        <f t="shared" si="12"/>
        <v>0</v>
      </c>
      <c r="G390">
        <f t="shared" si="13"/>
        <v>0.1</v>
      </c>
    </row>
    <row r="391" spans="1:7" x14ac:dyDescent="0.3">
      <c r="A391">
        <v>390</v>
      </c>
      <c r="B391">
        <f>'Newton-Miller_RAW'!B391</f>
        <v>200</v>
      </c>
      <c r="C391">
        <f>'Newton-Miller_RAW'!C391</f>
        <v>300</v>
      </c>
      <c r="D391">
        <f>VLOOKUP('Newton-Miller_RAW'!D391,'Newton-Miller_Convert'!$I$1:$J$6,2,FALSE)</f>
        <v>0.25</v>
      </c>
      <c r="E391">
        <f>VLOOKUP('Newton-Miller_RAW'!E391,'Newton-Miller_Convert'!$I$1:$J$6,2,FALSE)</f>
        <v>0.1</v>
      </c>
      <c r="F391">
        <f t="shared" si="12"/>
        <v>0.1</v>
      </c>
      <c r="G391">
        <f t="shared" si="13"/>
        <v>0.15</v>
      </c>
    </row>
    <row r="392" spans="1:7" x14ac:dyDescent="0.3">
      <c r="A392">
        <v>391</v>
      </c>
      <c r="B392">
        <f>'Newton-Miller_RAW'!B392</f>
        <v>250</v>
      </c>
      <c r="C392">
        <f>'Newton-Miller_RAW'!C392</f>
        <v>349</v>
      </c>
      <c r="D392">
        <f>VLOOKUP('Newton-Miller_RAW'!D392,'Newton-Miller_Convert'!$I$1:$J$6,2,FALSE)</f>
        <v>0</v>
      </c>
      <c r="E392">
        <f>VLOOKUP('Newton-Miller_RAW'!E392,'Newton-Miller_Convert'!$I$1:$J$6,2,FALSE)</f>
        <v>0</v>
      </c>
      <c r="F392">
        <f t="shared" si="12"/>
        <v>0</v>
      </c>
      <c r="G392">
        <f t="shared" si="13"/>
        <v>0</v>
      </c>
    </row>
    <row r="393" spans="1:7" x14ac:dyDescent="0.3">
      <c r="A393">
        <v>392</v>
      </c>
      <c r="B393">
        <f>'Newton-Miller_RAW'!B393</f>
        <v>199</v>
      </c>
      <c r="C393">
        <f>'Newton-Miller_RAW'!C393</f>
        <v>200</v>
      </c>
      <c r="D393">
        <f>VLOOKUP('Newton-Miller_RAW'!D393,'Newton-Miller_Convert'!$I$1:$J$6,2,FALSE)</f>
        <v>0.75</v>
      </c>
      <c r="E393">
        <f>VLOOKUP('Newton-Miller_RAW'!E393,'Newton-Miller_Convert'!$I$1:$J$6,2,FALSE)</f>
        <v>0.75</v>
      </c>
      <c r="F393">
        <f t="shared" si="12"/>
        <v>0.75</v>
      </c>
      <c r="G393">
        <f t="shared" si="13"/>
        <v>0</v>
      </c>
    </row>
    <row r="394" spans="1:7" x14ac:dyDescent="0.3">
      <c r="A394">
        <v>393</v>
      </c>
      <c r="B394">
        <f>'Newton-Miller_RAW'!B394</f>
        <v>350</v>
      </c>
      <c r="C394">
        <f>'Newton-Miller_RAW'!C394</f>
        <v>500</v>
      </c>
      <c r="D394">
        <f>VLOOKUP('Newton-Miller_RAW'!D394,'Newton-Miller_Convert'!$I$1:$J$6,2,FALSE)</f>
        <v>0.1</v>
      </c>
      <c r="E394">
        <f>VLOOKUP('Newton-Miller_RAW'!E394,'Newton-Miller_Convert'!$I$1:$J$6,2,FALSE)</f>
        <v>0.1</v>
      </c>
      <c r="F394">
        <f t="shared" si="12"/>
        <v>0.1</v>
      </c>
      <c r="G394">
        <f t="shared" si="13"/>
        <v>0</v>
      </c>
    </row>
    <row r="395" spans="1:7" x14ac:dyDescent="0.3">
      <c r="A395">
        <v>394</v>
      </c>
      <c r="B395">
        <f>'Newton-Miller_RAW'!B395</f>
        <v>150</v>
      </c>
      <c r="C395">
        <f>'Newton-Miller_RAW'!C395</f>
        <v>200</v>
      </c>
      <c r="D395">
        <f>VLOOKUP('Newton-Miller_RAW'!D395,'Newton-Miller_Convert'!$I$1:$J$6,2,FALSE)</f>
        <v>0.75</v>
      </c>
      <c r="E395">
        <f>VLOOKUP('Newton-Miller_RAW'!E395,'Newton-Miller_Convert'!$I$1:$J$6,2,FALSE)</f>
        <v>0.1</v>
      </c>
      <c r="F395">
        <f t="shared" si="12"/>
        <v>0.1</v>
      </c>
      <c r="G395">
        <f t="shared" si="13"/>
        <v>0.65</v>
      </c>
    </row>
    <row r="396" spans="1:7" x14ac:dyDescent="0.3">
      <c r="A396">
        <v>395</v>
      </c>
      <c r="B396">
        <f>'Newton-Miller_RAW'!B396</f>
        <v>400</v>
      </c>
      <c r="C396">
        <f>'Newton-Miller_RAW'!C396</f>
        <v>600</v>
      </c>
      <c r="D396">
        <f>VLOOKUP('Newton-Miller_RAW'!D396,'Newton-Miller_Convert'!$I$1:$J$6,2,FALSE)</f>
        <v>0.75</v>
      </c>
      <c r="E396">
        <f>VLOOKUP('Newton-Miller_RAW'!E396,'Newton-Miller_Convert'!$I$1:$J$6,2,FALSE)</f>
        <v>0.25</v>
      </c>
      <c r="F396">
        <f t="shared" si="12"/>
        <v>0.25</v>
      </c>
      <c r="G396">
        <f t="shared" si="13"/>
        <v>0.5</v>
      </c>
    </row>
    <row r="397" spans="1:7" x14ac:dyDescent="0.3">
      <c r="A397">
        <v>396</v>
      </c>
      <c r="B397">
        <f>'Newton-Miller_RAW'!B397</f>
        <v>199</v>
      </c>
      <c r="C397">
        <f>'Newton-Miller_RAW'!C397</f>
        <v>229</v>
      </c>
      <c r="D397">
        <f>VLOOKUP('Newton-Miller_RAW'!D397,'Newton-Miller_Convert'!$I$1:$J$6,2,FALSE)</f>
        <v>0.75</v>
      </c>
      <c r="E397">
        <f>VLOOKUP('Newton-Miller_RAW'!E397,'Newton-Miller_Convert'!$I$1:$J$6,2,FALSE)</f>
        <v>0.1</v>
      </c>
      <c r="F397">
        <f t="shared" si="12"/>
        <v>0.1</v>
      </c>
      <c r="G397">
        <f t="shared" si="13"/>
        <v>0.65</v>
      </c>
    </row>
    <row r="398" spans="1:7" x14ac:dyDescent="0.3">
      <c r="A398">
        <v>397</v>
      </c>
      <c r="B398">
        <f>'Newton-Miller_RAW'!B398</f>
        <v>250</v>
      </c>
      <c r="C398">
        <f>'Newton-Miller_RAW'!C398</f>
        <v>350</v>
      </c>
      <c r="D398">
        <f>VLOOKUP('Newton-Miller_RAW'!D398,'Newton-Miller_Convert'!$I$1:$J$6,2,FALSE)</f>
        <v>0.75</v>
      </c>
      <c r="E398">
        <f>VLOOKUP('Newton-Miller_RAW'!E398,'Newton-Miller_Convert'!$I$1:$J$6,2,FALSE)</f>
        <v>0.25</v>
      </c>
      <c r="F398">
        <f t="shared" si="12"/>
        <v>0.25</v>
      </c>
      <c r="G398">
        <f t="shared" si="13"/>
        <v>0.5</v>
      </c>
    </row>
    <row r="399" spans="1:7" x14ac:dyDescent="0.3">
      <c r="A399">
        <v>398</v>
      </c>
      <c r="B399">
        <f>'Newton-Miller_RAW'!B399</f>
        <v>20</v>
      </c>
      <c r="C399">
        <f>'Newton-Miller_RAW'!C399</f>
        <v>40</v>
      </c>
      <c r="D399">
        <f>VLOOKUP('Newton-Miller_RAW'!D399,'Newton-Miller_Convert'!$I$1:$J$6,2,FALSE)</f>
        <v>0.75</v>
      </c>
      <c r="E399">
        <f>VLOOKUP('Newton-Miller_RAW'!E399,'Newton-Miller_Convert'!$I$1:$J$6,2,FALSE)</f>
        <v>0.75</v>
      </c>
      <c r="F399">
        <f t="shared" si="12"/>
        <v>0.75</v>
      </c>
      <c r="G399">
        <f t="shared" si="13"/>
        <v>0</v>
      </c>
    </row>
    <row r="400" spans="1:7" x14ac:dyDescent="0.3">
      <c r="A400">
        <v>399</v>
      </c>
      <c r="B400">
        <f>'Newton-Miller_RAW'!B400</f>
        <v>150</v>
      </c>
      <c r="C400">
        <f>'Newton-Miller_RAW'!C400</f>
        <v>250</v>
      </c>
      <c r="D400">
        <f>VLOOKUP('Newton-Miller_RAW'!D400,'Newton-Miller_Convert'!$I$1:$J$6,2,FALSE)</f>
        <v>0.75</v>
      </c>
      <c r="E400">
        <f>VLOOKUP('Newton-Miller_RAW'!E400,'Newton-Miller_Convert'!$I$1:$J$6,2,FALSE)</f>
        <v>0.75</v>
      </c>
      <c r="F400">
        <f t="shared" si="12"/>
        <v>0.75</v>
      </c>
      <c r="G400">
        <f t="shared" si="13"/>
        <v>0</v>
      </c>
    </row>
    <row r="401" spans="1:7" x14ac:dyDescent="0.3">
      <c r="A401">
        <v>400</v>
      </c>
      <c r="B401">
        <f>'Newton-Miller_RAW'!B401</f>
        <v>150</v>
      </c>
      <c r="C401">
        <f>'Newton-Miller_RAW'!C401</f>
        <v>200</v>
      </c>
      <c r="D401">
        <f>VLOOKUP('Newton-Miller_RAW'!D401,'Newton-Miller_Convert'!$I$1:$J$6,2,FALSE)</f>
        <v>0.75</v>
      </c>
      <c r="E401">
        <f>VLOOKUP('Newton-Miller_RAW'!E401,'Newton-Miller_Convert'!$I$1:$J$6,2,FALSE)</f>
        <v>0.1</v>
      </c>
      <c r="F401">
        <f t="shared" si="12"/>
        <v>0.1</v>
      </c>
      <c r="G401">
        <f t="shared" si="13"/>
        <v>0.65</v>
      </c>
    </row>
    <row r="402" spans="1:7" x14ac:dyDescent="0.3">
      <c r="A402">
        <v>401</v>
      </c>
      <c r="B402">
        <f>'Newton-Miller_RAW'!B402</f>
        <v>99</v>
      </c>
      <c r="C402">
        <f>'Newton-Miller_RAW'!C402</f>
        <v>150</v>
      </c>
      <c r="D402">
        <f>VLOOKUP('Newton-Miller_RAW'!D402,'Newton-Miller_Convert'!$I$1:$J$6,2,FALSE)</f>
        <v>0.75</v>
      </c>
      <c r="E402">
        <f>VLOOKUP('Newton-Miller_RAW'!E402,'Newton-Miller_Convert'!$I$1:$J$6,2,FALSE)</f>
        <v>0.25</v>
      </c>
      <c r="F402">
        <f t="shared" si="12"/>
        <v>0.25</v>
      </c>
      <c r="G402">
        <f t="shared" si="13"/>
        <v>0.5</v>
      </c>
    </row>
    <row r="403" spans="1:7" x14ac:dyDescent="0.3">
      <c r="A403">
        <v>402</v>
      </c>
      <c r="B403">
        <f>'Newton-Miller_RAW'!B403</f>
        <v>150</v>
      </c>
      <c r="C403">
        <f>'Newton-Miller_RAW'!C403</f>
        <v>180</v>
      </c>
      <c r="D403">
        <f>VLOOKUP('Newton-Miller_RAW'!D403,'Newton-Miller_Convert'!$I$1:$J$6,2,FALSE)</f>
        <v>0.1</v>
      </c>
      <c r="E403">
        <f>VLOOKUP('Newton-Miller_RAW'!E403,'Newton-Miller_Convert'!$I$1:$J$6,2,FALSE)</f>
        <v>0</v>
      </c>
      <c r="F403">
        <f t="shared" si="12"/>
        <v>0</v>
      </c>
      <c r="G403">
        <f t="shared" si="13"/>
        <v>0.1</v>
      </c>
    </row>
    <row r="404" spans="1:7" x14ac:dyDescent="0.3">
      <c r="A404">
        <v>403</v>
      </c>
      <c r="B404">
        <f>'Newton-Miller_RAW'!B404</f>
        <v>230</v>
      </c>
      <c r="C404">
        <f>'Newton-Miller_RAW'!C404</f>
        <v>330</v>
      </c>
      <c r="D404">
        <f>VLOOKUP('Newton-Miller_RAW'!D404,'Newton-Miller_Convert'!$I$1:$J$6,2,FALSE)</f>
        <v>0.25</v>
      </c>
      <c r="E404">
        <f>VLOOKUP('Newton-Miller_RAW'!E404,'Newton-Miller_Convert'!$I$1:$J$6,2,FALSE)</f>
        <v>0.25</v>
      </c>
      <c r="F404">
        <f t="shared" si="12"/>
        <v>0.25</v>
      </c>
      <c r="G404">
        <f t="shared" si="13"/>
        <v>0</v>
      </c>
    </row>
    <row r="405" spans="1:7" x14ac:dyDescent="0.3">
      <c r="A405">
        <v>404</v>
      </c>
      <c r="B405">
        <f>'Newton-Miller_RAW'!B405</f>
        <v>150</v>
      </c>
      <c r="C405">
        <f>'Newton-Miller_RAW'!C405</f>
        <v>200</v>
      </c>
      <c r="D405">
        <f>VLOOKUP('Newton-Miller_RAW'!D405,'Newton-Miller_Convert'!$I$1:$J$6,2,FALSE)</f>
        <v>0.75</v>
      </c>
      <c r="E405">
        <f>VLOOKUP('Newton-Miller_RAW'!E405,'Newton-Miller_Convert'!$I$1:$J$6,2,FALSE)</f>
        <v>0.75</v>
      </c>
      <c r="F405">
        <f t="shared" si="12"/>
        <v>0.75</v>
      </c>
      <c r="G405">
        <f t="shared" si="13"/>
        <v>0</v>
      </c>
    </row>
    <row r="406" spans="1:7" x14ac:dyDescent="0.3">
      <c r="A406">
        <v>405</v>
      </c>
      <c r="B406">
        <f>'Newton-Miller_RAW'!B406</f>
        <v>150</v>
      </c>
      <c r="C406">
        <f>'Newton-Miller_RAW'!C406</f>
        <v>175</v>
      </c>
      <c r="D406">
        <f>VLOOKUP('Newton-Miller_RAW'!D406,'Newton-Miller_Convert'!$I$1:$J$6,2,FALSE)</f>
        <v>0.25</v>
      </c>
      <c r="E406">
        <f>VLOOKUP('Newton-Miller_RAW'!E406,'Newton-Miller_Convert'!$I$1:$J$6,2,FALSE)</f>
        <v>0.1</v>
      </c>
      <c r="F406">
        <f t="shared" si="12"/>
        <v>0.1</v>
      </c>
      <c r="G406">
        <f t="shared" si="13"/>
        <v>0.15</v>
      </c>
    </row>
    <row r="407" spans="1:7" x14ac:dyDescent="0.3">
      <c r="A407">
        <v>406</v>
      </c>
      <c r="B407">
        <f>'Newton-Miller_RAW'!B407</f>
        <v>150</v>
      </c>
      <c r="C407">
        <f>'Newton-Miller_RAW'!C407</f>
        <v>200</v>
      </c>
      <c r="D407">
        <f>VLOOKUP('Newton-Miller_RAW'!D407,'Newton-Miller_Convert'!$I$1:$J$6,2,FALSE)</f>
        <v>0.75</v>
      </c>
      <c r="E407">
        <f>VLOOKUP('Newton-Miller_RAW'!E407,'Newton-Miller_Convert'!$I$1:$J$6,2,FALSE)</f>
        <v>0.25</v>
      </c>
      <c r="F407">
        <f t="shared" si="12"/>
        <v>0.25</v>
      </c>
      <c r="G407">
        <f t="shared" si="13"/>
        <v>0.5</v>
      </c>
    </row>
    <row r="408" spans="1:7" x14ac:dyDescent="0.3">
      <c r="A408">
        <v>407</v>
      </c>
      <c r="B408">
        <f>'Newton-Miller_RAW'!B408</f>
        <v>150</v>
      </c>
      <c r="C408">
        <f>'Newton-Miller_RAW'!C408</f>
        <v>300</v>
      </c>
      <c r="D408">
        <f>VLOOKUP('Newton-Miller_RAW'!D408,'Newton-Miller_Convert'!$I$1:$J$6,2,FALSE)</f>
        <v>0.75</v>
      </c>
      <c r="E408">
        <f>VLOOKUP('Newton-Miller_RAW'!E408,'Newton-Miller_Convert'!$I$1:$J$6,2,FALSE)</f>
        <v>0</v>
      </c>
      <c r="F408">
        <f t="shared" si="12"/>
        <v>0</v>
      </c>
      <c r="G408">
        <f t="shared" si="13"/>
        <v>0.75</v>
      </c>
    </row>
    <row r="409" spans="1:7" x14ac:dyDescent="0.3">
      <c r="A409">
        <v>408</v>
      </c>
      <c r="B409">
        <f>'Newton-Miller_RAW'!B409</f>
        <v>250</v>
      </c>
      <c r="C409">
        <f>'Newton-Miller_RAW'!C409</f>
        <v>260</v>
      </c>
      <c r="D409">
        <f>VLOOKUP('Newton-Miller_RAW'!D409,'Newton-Miller_Convert'!$I$1:$J$6,2,FALSE)</f>
        <v>0.25</v>
      </c>
      <c r="E409">
        <f>VLOOKUP('Newton-Miller_RAW'!E409,'Newton-Miller_Convert'!$I$1:$J$6,2,FALSE)</f>
        <v>0.1</v>
      </c>
      <c r="F409">
        <f t="shared" si="12"/>
        <v>0.1</v>
      </c>
      <c r="G409">
        <f t="shared" si="13"/>
        <v>0.15</v>
      </c>
    </row>
    <row r="410" spans="1:7" x14ac:dyDescent="0.3">
      <c r="A410">
        <v>409</v>
      </c>
      <c r="B410">
        <f>'Newton-Miller_RAW'!B410</f>
        <v>280</v>
      </c>
      <c r="C410">
        <f>'Newton-Miller_RAW'!C410</f>
        <v>350</v>
      </c>
      <c r="D410">
        <f>VLOOKUP('Newton-Miller_RAW'!D410,'Newton-Miller_Convert'!$I$1:$J$6,2,FALSE)</f>
        <v>0.25</v>
      </c>
      <c r="E410">
        <f>VLOOKUP('Newton-Miller_RAW'!E410,'Newton-Miller_Convert'!$I$1:$J$6,2,FALSE)</f>
        <v>0.1</v>
      </c>
      <c r="F410">
        <f t="shared" si="12"/>
        <v>0.1</v>
      </c>
      <c r="G410">
        <f t="shared" si="13"/>
        <v>0.15</v>
      </c>
    </row>
    <row r="411" spans="1:7" x14ac:dyDescent="0.3">
      <c r="A411">
        <v>410</v>
      </c>
      <c r="B411">
        <f>'Newton-Miller_RAW'!B411</f>
        <v>100</v>
      </c>
      <c r="C411">
        <f>'Newton-Miller_RAW'!C411</f>
        <v>120</v>
      </c>
      <c r="D411">
        <f>VLOOKUP('Newton-Miller_RAW'!D411,'Newton-Miller_Convert'!$I$1:$J$6,2,FALSE)</f>
        <v>0.1</v>
      </c>
      <c r="E411">
        <f>VLOOKUP('Newton-Miller_RAW'!E411,'Newton-Miller_Convert'!$I$1:$J$6,2,FALSE)</f>
        <v>0.1</v>
      </c>
      <c r="F411">
        <f t="shared" si="12"/>
        <v>0.1</v>
      </c>
      <c r="G411">
        <f t="shared" si="13"/>
        <v>0</v>
      </c>
    </row>
    <row r="412" spans="1:7" x14ac:dyDescent="0.3">
      <c r="A412">
        <v>411</v>
      </c>
      <c r="B412">
        <f>'Newton-Miller_RAW'!B412</f>
        <v>199</v>
      </c>
      <c r="C412">
        <f>'Newton-Miller_RAW'!C412</f>
        <v>299</v>
      </c>
      <c r="D412">
        <f>VLOOKUP('Newton-Miller_RAW'!D412,'Newton-Miller_Convert'!$I$1:$J$6,2,FALSE)</f>
        <v>0.25</v>
      </c>
      <c r="E412">
        <f>VLOOKUP('Newton-Miller_RAW'!E412,'Newton-Miller_Convert'!$I$1:$J$6,2,FALSE)</f>
        <v>0.1</v>
      </c>
      <c r="F412">
        <f t="shared" si="12"/>
        <v>0.1</v>
      </c>
      <c r="G412">
        <f t="shared" si="13"/>
        <v>0.15</v>
      </c>
    </row>
    <row r="413" spans="1:7" x14ac:dyDescent="0.3">
      <c r="A413">
        <v>412</v>
      </c>
      <c r="B413">
        <f>'Newton-Miller_RAW'!B413</f>
        <v>300</v>
      </c>
      <c r="C413">
        <f>'Newton-Miller_RAW'!C413</f>
        <v>350</v>
      </c>
      <c r="D413">
        <f>VLOOKUP('Newton-Miller_RAW'!D413,'Newton-Miller_Convert'!$I$1:$J$6,2,FALSE)</f>
        <v>0.75</v>
      </c>
      <c r="E413">
        <f>VLOOKUP('Newton-Miller_RAW'!E413,'Newton-Miller_Convert'!$I$1:$J$6,2,FALSE)</f>
        <v>0.25</v>
      </c>
      <c r="F413">
        <f t="shared" si="12"/>
        <v>0.25</v>
      </c>
      <c r="G413">
        <f t="shared" si="13"/>
        <v>0.5</v>
      </c>
    </row>
    <row r="414" spans="1:7" x14ac:dyDescent="0.3">
      <c r="A414">
        <v>413</v>
      </c>
      <c r="B414">
        <f>'Newton-Miller_RAW'!B414</f>
        <v>150</v>
      </c>
      <c r="C414">
        <f>'Newton-Miller_RAW'!C414</f>
        <v>180</v>
      </c>
      <c r="D414">
        <f>VLOOKUP('Newton-Miller_RAW'!D414,'Newton-Miller_Convert'!$I$1:$J$6,2,FALSE)</f>
        <v>0</v>
      </c>
      <c r="E414">
        <f>VLOOKUP('Newton-Miller_RAW'!E414,'Newton-Miller_Convert'!$I$1:$J$6,2,FALSE)</f>
        <v>0</v>
      </c>
      <c r="F414">
        <f t="shared" si="12"/>
        <v>0</v>
      </c>
      <c r="G414">
        <f t="shared" si="13"/>
        <v>0</v>
      </c>
    </row>
    <row r="415" spans="1:7" x14ac:dyDescent="0.3">
      <c r="A415">
        <v>414</v>
      </c>
      <c r="B415">
        <f>'Newton-Miller_RAW'!B415</f>
        <v>160</v>
      </c>
      <c r="C415">
        <f>'Newton-Miller_RAW'!C415</f>
        <v>200</v>
      </c>
      <c r="D415">
        <f>VLOOKUP('Newton-Miller_RAW'!D415,'Newton-Miller_Convert'!$I$1:$J$6,2,FALSE)</f>
        <v>0.75</v>
      </c>
      <c r="E415">
        <f>VLOOKUP('Newton-Miller_RAW'!E415,'Newton-Miller_Convert'!$I$1:$J$6,2,FALSE)</f>
        <v>0</v>
      </c>
      <c r="F415">
        <f t="shared" si="12"/>
        <v>0</v>
      </c>
      <c r="G415">
        <f t="shared" si="13"/>
        <v>0.75</v>
      </c>
    </row>
    <row r="416" spans="1:7" x14ac:dyDescent="0.3">
      <c r="A416">
        <v>415</v>
      </c>
      <c r="B416">
        <f>'Newton-Miller_RAW'!B416</f>
        <v>150</v>
      </c>
      <c r="C416">
        <f>'Newton-Miller_RAW'!C416</f>
        <v>250</v>
      </c>
      <c r="D416">
        <f>VLOOKUP('Newton-Miller_RAW'!D416,'Newton-Miller_Convert'!$I$1:$J$6,2,FALSE)</f>
        <v>0.25</v>
      </c>
      <c r="E416">
        <f>VLOOKUP('Newton-Miller_RAW'!E416,'Newton-Miller_Convert'!$I$1:$J$6,2,FALSE)</f>
        <v>0</v>
      </c>
      <c r="F416">
        <f t="shared" si="12"/>
        <v>0</v>
      </c>
      <c r="G416">
        <f t="shared" si="13"/>
        <v>0.25</v>
      </c>
    </row>
    <row r="417" spans="1:7" x14ac:dyDescent="0.3">
      <c r="A417">
        <v>416</v>
      </c>
      <c r="B417">
        <f>'Newton-Miller_RAW'!B417</f>
        <v>200</v>
      </c>
      <c r="C417">
        <f>'Newton-Miller_RAW'!C417</f>
        <v>250</v>
      </c>
      <c r="D417">
        <f>VLOOKUP('Newton-Miller_RAW'!D417,'Newton-Miller_Convert'!$I$1:$J$6,2,FALSE)</f>
        <v>0.75</v>
      </c>
      <c r="E417">
        <f>VLOOKUP('Newton-Miller_RAW'!E417,'Newton-Miller_Convert'!$I$1:$J$6,2,FALSE)</f>
        <v>0.1</v>
      </c>
      <c r="F417">
        <f t="shared" si="12"/>
        <v>0.1</v>
      </c>
      <c r="G417">
        <f t="shared" si="13"/>
        <v>0.65</v>
      </c>
    </row>
    <row r="418" spans="1:7" x14ac:dyDescent="0.3">
      <c r="A418">
        <v>417</v>
      </c>
      <c r="B418">
        <f>'Newton-Miller_RAW'!B418</f>
        <v>400</v>
      </c>
      <c r="C418">
        <f>'Newton-Miller_RAW'!C418</f>
        <v>450</v>
      </c>
      <c r="D418">
        <f>VLOOKUP('Newton-Miller_RAW'!D418,'Newton-Miller_Convert'!$I$1:$J$6,2,FALSE)</f>
        <v>0.75</v>
      </c>
      <c r="E418">
        <f>VLOOKUP('Newton-Miller_RAW'!E418,'Newton-Miller_Convert'!$I$1:$J$6,2,FALSE)</f>
        <v>0.1</v>
      </c>
      <c r="F418">
        <f t="shared" si="12"/>
        <v>0.1</v>
      </c>
      <c r="G418">
        <f t="shared" si="13"/>
        <v>0.65</v>
      </c>
    </row>
    <row r="419" spans="1:7" x14ac:dyDescent="0.3">
      <c r="A419">
        <v>418</v>
      </c>
      <c r="B419">
        <f>'Newton-Miller_RAW'!B419</f>
        <v>150</v>
      </c>
      <c r="C419">
        <f>'Newton-Miller_RAW'!C419</f>
        <v>200</v>
      </c>
      <c r="D419">
        <f>VLOOKUP('Newton-Miller_RAW'!D419,'Newton-Miller_Convert'!$I$1:$J$6,2,FALSE)</f>
        <v>0.75</v>
      </c>
      <c r="E419">
        <f>VLOOKUP('Newton-Miller_RAW'!E419,'Newton-Miller_Convert'!$I$1:$J$6,2,FALSE)</f>
        <v>0.25</v>
      </c>
      <c r="F419">
        <f t="shared" si="12"/>
        <v>0.25</v>
      </c>
      <c r="G419">
        <f t="shared" si="13"/>
        <v>0.5</v>
      </c>
    </row>
    <row r="420" spans="1:7" x14ac:dyDescent="0.3">
      <c r="A420">
        <v>419</v>
      </c>
      <c r="B420">
        <f>'Newton-Miller_RAW'!B420</f>
        <v>250</v>
      </c>
      <c r="C420">
        <f>'Newton-Miller_RAW'!C420</f>
        <v>300</v>
      </c>
      <c r="D420">
        <f>VLOOKUP('Newton-Miller_RAW'!D420,'Newton-Miller_Convert'!$I$1:$J$6,2,FALSE)</f>
        <v>0.75</v>
      </c>
      <c r="E420">
        <f>VLOOKUP('Newton-Miller_RAW'!E420,'Newton-Miller_Convert'!$I$1:$J$6,2,FALSE)</f>
        <v>0.75</v>
      </c>
      <c r="F420">
        <f t="shared" si="12"/>
        <v>0.75</v>
      </c>
      <c r="G420">
        <f t="shared" si="13"/>
        <v>0</v>
      </c>
    </row>
    <row r="421" spans="1:7" x14ac:dyDescent="0.3">
      <c r="A421">
        <v>420</v>
      </c>
      <c r="B421">
        <f>'Newton-Miller_RAW'!B421</f>
        <v>100</v>
      </c>
      <c r="C421">
        <f>'Newton-Miller_RAW'!C421</f>
        <v>180</v>
      </c>
      <c r="D421">
        <f>VLOOKUP('Newton-Miller_RAW'!D421,'Newton-Miller_Convert'!$I$1:$J$6,2,FALSE)</f>
        <v>0.25</v>
      </c>
      <c r="E421">
        <f>VLOOKUP('Newton-Miller_RAW'!E421,'Newton-Miller_Convert'!$I$1:$J$6,2,FALSE)</f>
        <v>0</v>
      </c>
      <c r="F421">
        <f t="shared" si="12"/>
        <v>0</v>
      </c>
      <c r="G421">
        <f t="shared" si="13"/>
        <v>0.25</v>
      </c>
    </row>
    <row r="422" spans="1:7" x14ac:dyDescent="0.3">
      <c r="A422">
        <v>421</v>
      </c>
      <c r="B422">
        <f>'Newton-Miller_RAW'!B422</f>
        <v>220</v>
      </c>
      <c r="C422">
        <f>'Newton-Miller_RAW'!C422</f>
        <v>260</v>
      </c>
      <c r="D422">
        <f>VLOOKUP('Newton-Miller_RAW'!D422,'Newton-Miller_Convert'!$I$1:$J$6,2,FALSE)</f>
        <v>0.75</v>
      </c>
      <c r="E422">
        <f>VLOOKUP('Newton-Miller_RAW'!E422,'Newton-Miller_Convert'!$I$1:$J$6,2,FALSE)</f>
        <v>0.25</v>
      </c>
      <c r="F422">
        <f t="shared" si="12"/>
        <v>0.25</v>
      </c>
      <c r="G422">
        <f t="shared" si="13"/>
        <v>0.5</v>
      </c>
    </row>
    <row r="423" spans="1:7" x14ac:dyDescent="0.3">
      <c r="A423">
        <v>422</v>
      </c>
      <c r="B423">
        <f>'Newton-Miller_RAW'!B423</f>
        <v>370</v>
      </c>
      <c r="C423">
        <f>'Newton-Miller_RAW'!C423</f>
        <v>570</v>
      </c>
      <c r="D423">
        <f>VLOOKUP('Newton-Miller_RAW'!D423,'Newton-Miller_Convert'!$I$1:$J$6,2,FALSE)</f>
        <v>0.75</v>
      </c>
      <c r="E423">
        <f>VLOOKUP('Newton-Miller_RAW'!E423,'Newton-Miller_Convert'!$I$1:$J$6,2,FALSE)</f>
        <v>0.1</v>
      </c>
      <c r="F423">
        <f t="shared" si="12"/>
        <v>0.1</v>
      </c>
      <c r="G423">
        <f t="shared" si="13"/>
        <v>0.65</v>
      </c>
    </row>
    <row r="424" spans="1:7" x14ac:dyDescent="0.3">
      <c r="A424">
        <v>423</v>
      </c>
      <c r="B424">
        <f>'Newton-Miller_RAW'!B424</f>
        <v>27</v>
      </c>
      <c r="C424">
        <f>'Newton-Miller_RAW'!C424</f>
        <v>28</v>
      </c>
      <c r="D424">
        <f>VLOOKUP('Newton-Miller_RAW'!D424,'Newton-Miller_Convert'!$I$1:$J$6,2,FALSE)</f>
        <v>0.75</v>
      </c>
      <c r="E424">
        <f>VLOOKUP('Newton-Miller_RAW'!E424,'Newton-Miller_Convert'!$I$1:$J$6,2,FALSE)</f>
        <v>0.75</v>
      </c>
      <c r="F424">
        <f t="shared" si="12"/>
        <v>0.75</v>
      </c>
      <c r="G424">
        <f t="shared" si="13"/>
        <v>0</v>
      </c>
    </row>
    <row r="425" spans="1:7" x14ac:dyDescent="0.3">
      <c r="A425">
        <v>424</v>
      </c>
      <c r="B425">
        <f>'Newton-Miller_RAW'!B425</f>
        <v>200</v>
      </c>
      <c r="C425">
        <f>'Newton-Miller_RAW'!C425</f>
        <v>250</v>
      </c>
      <c r="D425">
        <f>VLOOKUP('Newton-Miller_RAW'!D425,'Newton-Miller_Convert'!$I$1:$J$6,2,FALSE)</f>
        <v>0.25</v>
      </c>
      <c r="E425">
        <f>VLOOKUP('Newton-Miller_RAW'!E425,'Newton-Miller_Convert'!$I$1:$J$6,2,FALSE)</f>
        <v>0.25</v>
      </c>
      <c r="F425">
        <f t="shared" si="12"/>
        <v>0.25</v>
      </c>
      <c r="G425">
        <f t="shared" si="13"/>
        <v>0</v>
      </c>
    </row>
    <row r="426" spans="1:7" x14ac:dyDescent="0.3">
      <c r="A426">
        <v>425</v>
      </c>
      <c r="B426">
        <f>'Newton-Miller_RAW'!B426</f>
        <v>22</v>
      </c>
      <c r="C426">
        <f>'Newton-Miller_RAW'!C426</f>
        <v>23</v>
      </c>
      <c r="D426">
        <f>VLOOKUP('Newton-Miller_RAW'!D426,'Newton-Miller_Convert'!$I$1:$J$6,2,FALSE)</f>
        <v>0</v>
      </c>
      <c r="E426">
        <f>VLOOKUP('Newton-Miller_RAW'!E426,'Newton-Miller_Convert'!$I$1:$J$6,2,FALSE)</f>
        <v>0.1</v>
      </c>
      <c r="F426">
        <f t="shared" si="12"/>
        <v>0</v>
      </c>
      <c r="G426">
        <f t="shared" si="13"/>
        <v>0</v>
      </c>
    </row>
    <row r="427" spans="1:7" x14ac:dyDescent="0.3">
      <c r="A427">
        <v>426</v>
      </c>
      <c r="B427">
        <f>'Newton-Miller_RAW'!B427</f>
        <v>100</v>
      </c>
      <c r="C427">
        <f>'Newton-Miller_RAW'!C427</f>
        <v>170</v>
      </c>
      <c r="D427">
        <f>VLOOKUP('Newton-Miller_RAW'!D427,'Newton-Miller_Convert'!$I$1:$J$6,2,FALSE)</f>
        <v>0.75</v>
      </c>
      <c r="E427">
        <f>VLOOKUP('Newton-Miller_RAW'!E427,'Newton-Miller_Convert'!$I$1:$J$6,2,FALSE)</f>
        <v>0.25</v>
      </c>
      <c r="F427">
        <f t="shared" si="12"/>
        <v>0.25</v>
      </c>
      <c r="G427">
        <f t="shared" si="13"/>
        <v>0.5</v>
      </c>
    </row>
    <row r="428" spans="1:7" x14ac:dyDescent="0.3">
      <c r="A428">
        <v>427</v>
      </c>
      <c r="B428">
        <f>'Newton-Miller_RAW'!B428</f>
        <v>200</v>
      </c>
      <c r="C428">
        <f>'Newton-Miller_RAW'!C428</f>
        <v>250</v>
      </c>
      <c r="D428">
        <f>VLOOKUP('Newton-Miller_RAW'!D428,'Newton-Miller_Convert'!$I$1:$J$6,2,FALSE)</f>
        <v>0.25</v>
      </c>
      <c r="E428">
        <f>VLOOKUP('Newton-Miller_RAW'!E428,'Newton-Miller_Convert'!$I$1:$J$6,2,FALSE)</f>
        <v>0.1</v>
      </c>
      <c r="F428">
        <f t="shared" si="12"/>
        <v>0.1</v>
      </c>
      <c r="G428">
        <f t="shared" si="13"/>
        <v>0.15</v>
      </c>
    </row>
    <row r="429" spans="1:7" x14ac:dyDescent="0.3">
      <c r="A429">
        <v>428</v>
      </c>
      <c r="B429">
        <f>'Newton-Miller_RAW'!B429</f>
        <v>400</v>
      </c>
      <c r="C429">
        <f>'Newton-Miller_RAW'!C429</f>
        <v>600</v>
      </c>
      <c r="D429">
        <f>VLOOKUP('Newton-Miller_RAW'!D429,'Newton-Miller_Convert'!$I$1:$J$6,2,FALSE)</f>
        <v>0.75</v>
      </c>
      <c r="E429">
        <f>VLOOKUP('Newton-Miller_RAW'!E429,'Newton-Miller_Convert'!$I$1:$J$6,2,FALSE)</f>
        <v>0.25</v>
      </c>
      <c r="F429">
        <f t="shared" si="12"/>
        <v>0.25</v>
      </c>
      <c r="G429">
        <f t="shared" si="13"/>
        <v>0.5</v>
      </c>
    </row>
    <row r="430" spans="1:7" x14ac:dyDescent="0.3">
      <c r="A430">
        <v>429</v>
      </c>
      <c r="B430">
        <f>'Newton-Miller_RAW'!B430</f>
        <v>280</v>
      </c>
      <c r="C430">
        <f>'Newton-Miller_RAW'!C430</f>
        <v>300</v>
      </c>
      <c r="D430">
        <f>VLOOKUP('Newton-Miller_RAW'!D430,'Newton-Miller_Convert'!$I$1:$J$6,2,FALSE)</f>
        <v>0.75</v>
      </c>
      <c r="E430">
        <f>VLOOKUP('Newton-Miller_RAW'!E430,'Newton-Miller_Convert'!$I$1:$J$6,2,FALSE)</f>
        <v>0.25</v>
      </c>
      <c r="F430">
        <f t="shared" si="12"/>
        <v>0.25</v>
      </c>
      <c r="G430">
        <f t="shared" si="13"/>
        <v>0.5</v>
      </c>
    </row>
    <row r="431" spans="1:7" x14ac:dyDescent="0.3">
      <c r="A431">
        <v>430</v>
      </c>
      <c r="B431">
        <f>'Newton-Miller_RAW'!B431</f>
        <v>250</v>
      </c>
      <c r="C431">
        <f>'Newton-Miller_RAW'!C431</f>
        <v>300</v>
      </c>
      <c r="D431">
        <f>VLOOKUP('Newton-Miller_RAW'!D431,'Newton-Miller_Convert'!$I$1:$J$6,2,FALSE)</f>
        <v>0.75</v>
      </c>
      <c r="E431">
        <f>VLOOKUP('Newton-Miller_RAW'!E431,'Newton-Miller_Convert'!$I$1:$J$6,2,FALSE)</f>
        <v>0.75</v>
      </c>
      <c r="F431">
        <f t="shared" si="12"/>
        <v>0.75</v>
      </c>
      <c r="G431">
        <f t="shared" si="13"/>
        <v>0</v>
      </c>
    </row>
    <row r="432" spans="1:7" x14ac:dyDescent="0.3">
      <c r="A432">
        <v>431</v>
      </c>
      <c r="B432">
        <f>'Newton-Miller_RAW'!B432</f>
        <v>150</v>
      </c>
      <c r="C432">
        <f>'Newton-Miller_RAW'!C432</f>
        <v>200</v>
      </c>
      <c r="D432">
        <f>VLOOKUP('Newton-Miller_RAW'!D432,'Newton-Miller_Convert'!$I$1:$J$6,2,FALSE)</f>
        <v>0.1</v>
      </c>
      <c r="E432">
        <f>VLOOKUP('Newton-Miller_RAW'!E432,'Newton-Miller_Convert'!$I$1:$J$6,2,FALSE)</f>
        <v>0</v>
      </c>
      <c r="F432">
        <f t="shared" si="12"/>
        <v>0</v>
      </c>
      <c r="G432">
        <f t="shared" si="13"/>
        <v>0.1</v>
      </c>
    </row>
    <row r="433" spans="1:7" x14ac:dyDescent="0.3">
      <c r="A433">
        <v>432</v>
      </c>
      <c r="B433">
        <f>'Newton-Miller_RAW'!B433</f>
        <v>430</v>
      </c>
      <c r="C433">
        <f>'Newton-Miller_RAW'!C433</f>
        <v>450</v>
      </c>
      <c r="D433">
        <f>VLOOKUP('Newton-Miller_RAW'!D433,'Newton-Miller_Convert'!$I$1:$J$6,2,FALSE)</f>
        <v>0.75</v>
      </c>
      <c r="E433">
        <f>VLOOKUP('Newton-Miller_RAW'!E433,'Newton-Miller_Convert'!$I$1:$J$6,2,FALSE)</f>
        <v>0.25</v>
      </c>
      <c r="F433">
        <f t="shared" si="12"/>
        <v>0.25</v>
      </c>
      <c r="G433">
        <f t="shared" si="13"/>
        <v>0.5</v>
      </c>
    </row>
    <row r="434" spans="1:7" x14ac:dyDescent="0.3">
      <c r="A434">
        <v>433</v>
      </c>
      <c r="B434">
        <f>'Newton-Miller_RAW'!B434</f>
        <v>80</v>
      </c>
      <c r="C434">
        <f>'Newton-Miller_RAW'!C434</f>
        <v>87</v>
      </c>
      <c r="D434">
        <f>VLOOKUP('Newton-Miller_RAW'!D434,'Newton-Miller_Convert'!$I$1:$J$6,2,FALSE)</f>
        <v>0</v>
      </c>
      <c r="E434">
        <f>VLOOKUP('Newton-Miller_RAW'!E434,'Newton-Miller_Convert'!$I$1:$J$6,2,FALSE)</f>
        <v>0</v>
      </c>
      <c r="F434">
        <f t="shared" si="12"/>
        <v>0</v>
      </c>
      <c r="G434">
        <f t="shared" si="13"/>
        <v>0</v>
      </c>
    </row>
    <row r="435" spans="1:7" x14ac:dyDescent="0.3">
      <c r="A435">
        <v>434</v>
      </c>
      <c r="B435">
        <f>'Newton-Miller_RAW'!B435</f>
        <v>200</v>
      </c>
      <c r="C435">
        <f>'Newton-Miller_RAW'!C435</f>
        <v>300</v>
      </c>
      <c r="D435">
        <f>VLOOKUP('Newton-Miller_RAW'!D435,'Newton-Miller_Convert'!$I$1:$J$6,2,FALSE)</f>
        <v>0.75</v>
      </c>
      <c r="E435">
        <f>VLOOKUP('Newton-Miller_RAW'!E435,'Newton-Miller_Convert'!$I$1:$J$6,2,FALSE)</f>
        <v>0.25</v>
      </c>
      <c r="F435">
        <f t="shared" si="12"/>
        <v>0.25</v>
      </c>
      <c r="G435">
        <f t="shared" si="13"/>
        <v>0.5</v>
      </c>
    </row>
    <row r="436" spans="1:7" x14ac:dyDescent="0.3">
      <c r="A436">
        <v>435</v>
      </c>
      <c r="B436">
        <f>'Newton-Miller_RAW'!B436</f>
        <v>150</v>
      </c>
      <c r="C436">
        <f>'Newton-Miller_RAW'!C436</f>
        <v>250</v>
      </c>
      <c r="D436">
        <f>VLOOKUP('Newton-Miller_RAW'!D436,'Newton-Miller_Convert'!$I$1:$J$6,2,FALSE)</f>
        <v>0</v>
      </c>
      <c r="E436">
        <f>VLOOKUP('Newton-Miller_RAW'!E436,'Newton-Miller_Convert'!$I$1:$J$6,2,FALSE)</f>
        <v>0</v>
      </c>
      <c r="F436">
        <f t="shared" si="12"/>
        <v>0</v>
      </c>
      <c r="G436">
        <f t="shared" si="13"/>
        <v>0</v>
      </c>
    </row>
    <row r="437" spans="1:7" x14ac:dyDescent="0.3">
      <c r="A437">
        <v>436</v>
      </c>
      <c r="B437">
        <f>'Newton-Miller_RAW'!B437</f>
        <v>200</v>
      </c>
      <c r="C437">
        <f>'Newton-Miller_RAW'!C437</f>
        <v>380</v>
      </c>
      <c r="D437">
        <f>VLOOKUP('Newton-Miller_RAW'!D437,'Newton-Miller_Convert'!$I$1:$J$6,2,FALSE)</f>
        <v>0.75</v>
      </c>
      <c r="E437">
        <f>VLOOKUP('Newton-Miller_RAW'!E437,'Newton-Miller_Convert'!$I$1:$J$6,2,FALSE)</f>
        <v>0</v>
      </c>
      <c r="F437">
        <f t="shared" si="12"/>
        <v>0</v>
      </c>
      <c r="G437">
        <f t="shared" si="13"/>
        <v>0.75</v>
      </c>
    </row>
    <row r="438" spans="1:7" x14ac:dyDescent="0.3">
      <c r="A438">
        <v>437</v>
      </c>
      <c r="B438">
        <f>'Newton-Miller_RAW'!B438</f>
        <v>150</v>
      </c>
      <c r="C438">
        <f>'Newton-Miller_RAW'!C438</f>
        <v>160</v>
      </c>
      <c r="D438">
        <f>VLOOKUP('Newton-Miller_RAW'!D438,'Newton-Miller_Convert'!$I$1:$J$6,2,FALSE)</f>
        <v>0.75</v>
      </c>
      <c r="E438">
        <f>VLOOKUP('Newton-Miller_RAW'!E438,'Newton-Miller_Convert'!$I$1:$J$6,2,FALSE)</f>
        <v>0.25</v>
      </c>
      <c r="F438">
        <f t="shared" si="12"/>
        <v>0.25</v>
      </c>
      <c r="G438">
        <f t="shared" si="13"/>
        <v>0.5</v>
      </c>
    </row>
    <row r="439" spans="1:7" x14ac:dyDescent="0.3">
      <c r="A439">
        <v>438</v>
      </c>
      <c r="B439">
        <f>'Newton-Miller_RAW'!B439</f>
        <v>150</v>
      </c>
      <c r="C439">
        <f>'Newton-Miller_RAW'!C439</f>
        <v>250</v>
      </c>
      <c r="D439">
        <f>VLOOKUP('Newton-Miller_RAW'!D439,'Newton-Miller_Convert'!$I$1:$J$6,2,FALSE)</f>
        <v>0.75</v>
      </c>
      <c r="E439">
        <f>VLOOKUP('Newton-Miller_RAW'!E439,'Newton-Miller_Convert'!$I$1:$J$6,2,FALSE)</f>
        <v>0</v>
      </c>
      <c r="F439">
        <f t="shared" si="12"/>
        <v>0</v>
      </c>
      <c r="G439">
        <f t="shared" si="13"/>
        <v>0.75</v>
      </c>
    </row>
    <row r="440" spans="1:7" x14ac:dyDescent="0.3">
      <c r="A440">
        <v>439</v>
      </c>
      <c r="B440">
        <f>'Newton-Miller_RAW'!B440</f>
        <v>75</v>
      </c>
      <c r="C440">
        <f>'Newton-Miller_RAW'!C440</f>
        <v>80</v>
      </c>
      <c r="D440">
        <f>VLOOKUP('Newton-Miller_RAW'!D440,'Newton-Miller_Convert'!$I$1:$J$6,2,FALSE)</f>
        <v>0.75</v>
      </c>
      <c r="E440">
        <f>VLOOKUP('Newton-Miller_RAW'!E440,'Newton-Miller_Convert'!$I$1:$J$6,2,FALSE)</f>
        <v>0.75</v>
      </c>
      <c r="F440">
        <f t="shared" si="12"/>
        <v>0.75</v>
      </c>
      <c r="G440">
        <f t="shared" si="13"/>
        <v>0</v>
      </c>
    </row>
    <row r="441" spans="1:7" x14ac:dyDescent="0.3">
      <c r="A441">
        <v>440</v>
      </c>
      <c r="B441">
        <f>'Newton-Miller_RAW'!B441</f>
        <v>320</v>
      </c>
      <c r="C441">
        <f>'Newton-Miller_RAW'!C441</f>
        <v>360</v>
      </c>
      <c r="D441">
        <f>VLOOKUP('Newton-Miller_RAW'!D441,'Newton-Miller_Convert'!$I$1:$J$6,2,FALSE)</f>
        <v>0.75</v>
      </c>
      <c r="E441">
        <f>VLOOKUP('Newton-Miller_RAW'!E441,'Newton-Miller_Convert'!$I$1:$J$6,2,FALSE)</f>
        <v>0.25</v>
      </c>
      <c r="F441">
        <f t="shared" si="12"/>
        <v>0.25</v>
      </c>
      <c r="G441">
        <f t="shared" si="13"/>
        <v>0.5</v>
      </c>
    </row>
    <row r="442" spans="1:7" x14ac:dyDescent="0.3">
      <c r="A442">
        <v>441</v>
      </c>
      <c r="B442">
        <f>'Newton-Miller_RAW'!B442</f>
        <v>199</v>
      </c>
      <c r="C442">
        <f>'Newton-Miller_RAW'!C442</f>
        <v>249</v>
      </c>
      <c r="D442">
        <f>VLOOKUP('Newton-Miller_RAW'!D442,'Newton-Miller_Convert'!$I$1:$J$6,2,FALSE)</f>
        <v>0.75</v>
      </c>
      <c r="E442">
        <f>VLOOKUP('Newton-Miller_RAW'!E442,'Newton-Miller_Convert'!$I$1:$J$6,2,FALSE)</f>
        <v>0.25</v>
      </c>
      <c r="F442">
        <f t="shared" si="12"/>
        <v>0.25</v>
      </c>
      <c r="G442">
        <f t="shared" si="13"/>
        <v>0.5</v>
      </c>
    </row>
    <row r="443" spans="1:7" x14ac:dyDescent="0.3">
      <c r="A443">
        <v>442</v>
      </c>
      <c r="B443">
        <f>'Newton-Miller_RAW'!B443</f>
        <v>200</v>
      </c>
      <c r="C443">
        <f>'Newton-Miller_RAW'!C443</f>
        <v>250</v>
      </c>
      <c r="D443">
        <f>VLOOKUP('Newton-Miller_RAW'!D443,'Newton-Miller_Convert'!$I$1:$J$6,2,FALSE)</f>
        <v>0.25</v>
      </c>
      <c r="E443">
        <f>VLOOKUP('Newton-Miller_RAW'!E443,'Newton-Miller_Convert'!$I$1:$J$6,2,FALSE)</f>
        <v>0.1</v>
      </c>
      <c r="F443">
        <f t="shared" si="12"/>
        <v>0.1</v>
      </c>
      <c r="G443">
        <f t="shared" si="13"/>
        <v>0.15</v>
      </c>
    </row>
    <row r="444" spans="1:7" x14ac:dyDescent="0.3">
      <c r="A444">
        <v>443</v>
      </c>
      <c r="B444">
        <f>'Newton-Miller_RAW'!B444</f>
        <v>100</v>
      </c>
      <c r="C444">
        <f>'Newton-Miller_RAW'!C444</f>
        <v>150</v>
      </c>
      <c r="D444">
        <f>VLOOKUP('Newton-Miller_RAW'!D444,'Newton-Miller_Convert'!$I$1:$J$6,2,FALSE)</f>
        <v>0.25</v>
      </c>
      <c r="E444">
        <f>VLOOKUP('Newton-Miller_RAW'!E444,'Newton-Miller_Convert'!$I$1:$J$6,2,FALSE)</f>
        <v>0.1</v>
      </c>
      <c r="F444">
        <f t="shared" si="12"/>
        <v>0.1</v>
      </c>
      <c r="G444">
        <f t="shared" si="13"/>
        <v>0.15</v>
      </c>
    </row>
    <row r="445" spans="1:7" x14ac:dyDescent="0.3">
      <c r="A445">
        <v>444</v>
      </c>
      <c r="B445">
        <f>'Newton-Miller_RAW'!B445</f>
        <v>500</v>
      </c>
      <c r="C445">
        <f>'Newton-Miller_RAW'!C445</f>
        <v>600</v>
      </c>
      <c r="D445">
        <f>VLOOKUP('Newton-Miller_RAW'!D445,'Newton-Miller_Convert'!$I$1:$J$6,2,FALSE)</f>
        <v>0.75</v>
      </c>
      <c r="E445">
        <f>VLOOKUP('Newton-Miller_RAW'!E445,'Newton-Miller_Convert'!$I$1:$J$6,2,FALSE)</f>
        <v>0.25</v>
      </c>
      <c r="F445">
        <f t="shared" si="12"/>
        <v>0.25</v>
      </c>
      <c r="G445">
        <f t="shared" si="13"/>
        <v>0.5</v>
      </c>
    </row>
    <row r="446" spans="1:7" x14ac:dyDescent="0.3">
      <c r="A446">
        <v>445</v>
      </c>
      <c r="B446">
        <f>'Newton-Miller_RAW'!B446</f>
        <v>150</v>
      </c>
      <c r="C446">
        <f>'Newton-Miller_RAW'!C446</f>
        <v>300</v>
      </c>
      <c r="D446">
        <f>VLOOKUP('Newton-Miller_RAW'!D446,'Newton-Miller_Convert'!$I$1:$J$6,2,FALSE)</f>
        <v>0.25</v>
      </c>
      <c r="E446">
        <f>VLOOKUP('Newton-Miller_RAW'!E446,'Newton-Miller_Convert'!$I$1:$J$6,2,FALSE)</f>
        <v>0.1</v>
      </c>
      <c r="F446">
        <f t="shared" si="12"/>
        <v>0.1</v>
      </c>
      <c r="G446">
        <f t="shared" si="13"/>
        <v>0.15</v>
      </c>
    </row>
    <row r="447" spans="1:7" x14ac:dyDescent="0.3">
      <c r="A447">
        <v>446</v>
      </c>
      <c r="B447">
        <f>'Newton-Miller_RAW'!B447</f>
        <v>120</v>
      </c>
      <c r="C447">
        <f>'Newton-Miller_RAW'!C447</f>
        <v>130</v>
      </c>
      <c r="D447">
        <f>VLOOKUP('Newton-Miller_RAW'!D447,'Newton-Miller_Convert'!$I$1:$J$6,2,FALSE)</f>
        <v>0.25</v>
      </c>
      <c r="E447">
        <f>VLOOKUP('Newton-Miller_RAW'!E447,'Newton-Miller_Convert'!$I$1:$J$6,2,FALSE)</f>
        <v>0.25</v>
      </c>
      <c r="F447">
        <f t="shared" si="12"/>
        <v>0.25</v>
      </c>
      <c r="G447">
        <f t="shared" si="13"/>
        <v>0</v>
      </c>
    </row>
    <row r="448" spans="1:7" x14ac:dyDescent="0.3">
      <c r="A448">
        <v>447</v>
      </c>
      <c r="B448">
        <f>'Newton-Miller_RAW'!B448</f>
        <v>400</v>
      </c>
      <c r="C448">
        <f>'Newton-Miller_RAW'!C448</f>
        <v>450</v>
      </c>
      <c r="D448">
        <f>VLOOKUP('Newton-Miller_RAW'!D448,'Newton-Miller_Convert'!$I$1:$J$6,2,FALSE)</f>
        <v>0.25</v>
      </c>
      <c r="E448">
        <f>VLOOKUP('Newton-Miller_RAW'!E448,'Newton-Miller_Convert'!$I$1:$J$6,2,FALSE)</f>
        <v>0.1</v>
      </c>
      <c r="F448">
        <f t="shared" si="12"/>
        <v>0.1</v>
      </c>
      <c r="G448">
        <f t="shared" si="13"/>
        <v>0.15</v>
      </c>
    </row>
    <row r="449" spans="1:7" x14ac:dyDescent="0.3">
      <c r="A449">
        <v>448</v>
      </c>
      <c r="B449">
        <f>'Newton-Miller_RAW'!B449</f>
        <v>250</v>
      </c>
      <c r="C449">
        <f>'Newton-Miller_RAW'!C449</f>
        <v>280</v>
      </c>
      <c r="D449">
        <f>VLOOKUP('Newton-Miller_RAW'!D449,'Newton-Miller_Convert'!$I$1:$J$6,2,FALSE)</f>
        <v>0.25</v>
      </c>
      <c r="E449">
        <f>VLOOKUP('Newton-Miller_RAW'!E449,'Newton-Miller_Convert'!$I$1:$J$6,2,FALSE)</f>
        <v>0.25</v>
      </c>
      <c r="F449">
        <f t="shared" si="12"/>
        <v>0.25</v>
      </c>
      <c r="G449">
        <f t="shared" si="13"/>
        <v>0</v>
      </c>
    </row>
    <row r="450" spans="1:7" x14ac:dyDescent="0.3">
      <c r="A450">
        <v>449</v>
      </c>
      <c r="B450">
        <f>'Newton-Miller_RAW'!B450</f>
        <v>200</v>
      </c>
      <c r="C450">
        <f>'Newton-Miller_RAW'!C450</f>
        <v>250</v>
      </c>
      <c r="D450">
        <f>VLOOKUP('Newton-Miller_RAW'!D450,'Newton-Miller_Convert'!$I$1:$J$6,2,FALSE)</f>
        <v>0.75</v>
      </c>
      <c r="E450">
        <f>VLOOKUP('Newton-Miller_RAW'!E450,'Newton-Miller_Convert'!$I$1:$J$6,2,FALSE)</f>
        <v>0.25</v>
      </c>
      <c r="F450">
        <f t="shared" si="12"/>
        <v>0.25</v>
      </c>
      <c r="G450">
        <f t="shared" si="13"/>
        <v>0.5</v>
      </c>
    </row>
    <row r="451" spans="1:7" x14ac:dyDescent="0.3">
      <c r="A451">
        <v>450</v>
      </c>
      <c r="B451">
        <f>'Newton-Miller_RAW'!B451</f>
        <v>210</v>
      </c>
      <c r="C451">
        <f>'Newton-Miller_RAW'!C451</f>
        <v>340</v>
      </c>
      <c r="D451">
        <f>VLOOKUP('Newton-Miller_RAW'!D451,'Newton-Miller_Convert'!$I$1:$J$6,2,FALSE)</f>
        <v>0.75</v>
      </c>
      <c r="E451">
        <f>VLOOKUP('Newton-Miller_RAW'!E451,'Newton-Miller_Convert'!$I$1:$J$6,2,FALSE)</f>
        <v>0</v>
      </c>
      <c r="F451">
        <f t="shared" ref="F451:F514" si="14">IF(E451&gt;D451,D451,E451)</f>
        <v>0</v>
      </c>
      <c r="G451">
        <f t="shared" ref="G451:G514" si="15">D451-F451</f>
        <v>0.75</v>
      </c>
    </row>
    <row r="452" spans="1:7" x14ac:dyDescent="0.3">
      <c r="A452">
        <v>451</v>
      </c>
      <c r="B452">
        <f>'Newton-Miller_RAW'!B452</f>
        <v>250</v>
      </c>
      <c r="C452">
        <f>'Newton-Miller_RAW'!C452</f>
        <v>350</v>
      </c>
      <c r="D452">
        <f>VLOOKUP('Newton-Miller_RAW'!D452,'Newton-Miller_Convert'!$I$1:$J$6,2,FALSE)</f>
        <v>0.75</v>
      </c>
      <c r="E452">
        <f>VLOOKUP('Newton-Miller_RAW'!E452,'Newton-Miller_Convert'!$I$1:$J$6,2,FALSE)</f>
        <v>0.25</v>
      </c>
      <c r="F452">
        <f t="shared" si="14"/>
        <v>0.25</v>
      </c>
      <c r="G452">
        <f t="shared" si="15"/>
        <v>0.5</v>
      </c>
    </row>
    <row r="453" spans="1:7" x14ac:dyDescent="0.3">
      <c r="A453">
        <v>452</v>
      </c>
      <c r="B453">
        <f>'Newton-Miller_RAW'!B453</f>
        <v>250</v>
      </c>
      <c r="C453">
        <f>'Newton-Miller_RAW'!C453</f>
        <v>350</v>
      </c>
      <c r="D453">
        <f>VLOOKUP('Newton-Miller_RAW'!D453,'Newton-Miller_Convert'!$I$1:$J$6,2,FALSE)</f>
        <v>0.75</v>
      </c>
      <c r="E453">
        <f>VLOOKUP('Newton-Miller_RAW'!E453,'Newton-Miller_Convert'!$I$1:$J$6,2,FALSE)</f>
        <v>0.75</v>
      </c>
      <c r="F453">
        <f t="shared" si="14"/>
        <v>0.75</v>
      </c>
      <c r="G453">
        <f t="shared" si="15"/>
        <v>0</v>
      </c>
    </row>
    <row r="454" spans="1:7" x14ac:dyDescent="0.3">
      <c r="A454">
        <v>453</v>
      </c>
      <c r="B454">
        <f>'Newton-Miller_RAW'!B454</f>
        <v>150</v>
      </c>
      <c r="C454">
        <f>'Newton-Miller_RAW'!C454</f>
        <v>180</v>
      </c>
      <c r="D454">
        <f>VLOOKUP('Newton-Miller_RAW'!D454,'Newton-Miller_Convert'!$I$1:$J$6,2,FALSE)</f>
        <v>0.75</v>
      </c>
      <c r="E454">
        <f>VLOOKUP('Newton-Miller_RAW'!E454,'Newton-Miller_Convert'!$I$1:$J$6,2,FALSE)</f>
        <v>0.25</v>
      </c>
      <c r="F454">
        <f t="shared" si="14"/>
        <v>0.25</v>
      </c>
      <c r="G454">
        <f t="shared" si="15"/>
        <v>0.5</v>
      </c>
    </row>
    <row r="455" spans="1:7" x14ac:dyDescent="0.3">
      <c r="A455">
        <v>454</v>
      </c>
      <c r="B455">
        <f>'Newton-Miller_RAW'!B455</f>
        <v>200</v>
      </c>
      <c r="C455">
        <f>'Newton-Miller_RAW'!C455</f>
        <v>260</v>
      </c>
      <c r="D455">
        <f>VLOOKUP('Newton-Miller_RAW'!D455,'Newton-Miller_Convert'!$I$1:$J$6,2,FALSE)</f>
        <v>0.1</v>
      </c>
      <c r="E455">
        <f>VLOOKUP('Newton-Miller_RAW'!E455,'Newton-Miller_Convert'!$I$1:$J$6,2,FALSE)</f>
        <v>0.1</v>
      </c>
      <c r="F455">
        <f t="shared" si="14"/>
        <v>0.1</v>
      </c>
      <c r="G455">
        <f t="shared" si="15"/>
        <v>0</v>
      </c>
    </row>
    <row r="456" spans="1:7" x14ac:dyDescent="0.3">
      <c r="A456">
        <v>455</v>
      </c>
      <c r="B456">
        <f>'Newton-Miller_RAW'!B456</f>
        <v>150</v>
      </c>
      <c r="C456">
        <f>'Newton-Miller_RAW'!C456</f>
        <v>160</v>
      </c>
      <c r="D456">
        <f>VLOOKUP('Newton-Miller_RAW'!D456,'Newton-Miller_Convert'!$I$1:$J$6,2,FALSE)</f>
        <v>0.25</v>
      </c>
      <c r="E456">
        <f>VLOOKUP('Newton-Miller_RAW'!E456,'Newton-Miller_Convert'!$I$1:$J$6,2,FALSE)</f>
        <v>0.25</v>
      </c>
      <c r="F456">
        <f t="shared" si="14"/>
        <v>0.25</v>
      </c>
      <c r="G456">
        <f t="shared" si="15"/>
        <v>0</v>
      </c>
    </row>
    <row r="457" spans="1:7" x14ac:dyDescent="0.3">
      <c r="A457">
        <v>456</v>
      </c>
      <c r="B457">
        <f>'Newton-Miller_RAW'!B457</f>
        <v>100</v>
      </c>
      <c r="C457">
        <f>'Newton-Miller_RAW'!C457</f>
        <v>110</v>
      </c>
      <c r="D457">
        <f>VLOOKUP('Newton-Miller_RAW'!D457,'Newton-Miller_Convert'!$I$1:$J$6,2,FALSE)</f>
        <v>0.75</v>
      </c>
      <c r="E457">
        <f>VLOOKUP('Newton-Miller_RAW'!E457,'Newton-Miller_Convert'!$I$1:$J$6,2,FALSE)</f>
        <v>0.25</v>
      </c>
      <c r="F457">
        <f t="shared" si="14"/>
        <v>0.25</v>
      </c>
      <c r="G457">
        <f t="shared" si="15"/>
        <v>0.5</v>
      </c>
    </row>
    <row r="458" spans="1:7" x14ac:dyDescent="0.3">
      <c r="A458">
        <v>457</v>
      </c>
      <c r="B458">
        <f>'Newton-Miller_RAW'!B458</f>
        <v>300</v>
      </c>
      <c r="C458">
        <f>'Newton-Miller_RAW'!C458</f>
        <v>350</v>
      </c>
      <c r="D458">
        <f>VLOOKUP('Newton-Miller_RAW'!D458,'Newton-Miller_Convert'!$I$1:$J$6,2,FALSE)</f>
        <v>0.75</v>
      </c>
      <c r="E458">
        <f>VLOOKUP('Newton-Miller_RAW'!E458,'Newton-Miller_Convert'!$I$1:$J$6,2,FALSE)</f>
        <v>0.25</v>
      </c>
      <c r="F458">
        <f t="shared" si="14"/>
        <v>0.25</v>
      </c>
      <c r="G458">
        <f t="shared" si="15"/>
        <v>0.5</v>
      </c>
    </row>
    <row r="459" spans="1:7" x14ac:dyDescent="0.3">
      <c r="A459">
        <v>458</v>
      </c>
      <c r="B459">
        <f>'Newton-Miller_RAW'!B459</f>
        <v>150</v>
      </c>
      <c r="C459">
        <f>'Newton-Miller_RAW'!C459</f>
        <v>350</v>
      </c>
      <c r="D459">
        <f>VLOOKUP('Newton-Miller_RAW'!D459,'Newton-Miller_Convert'!$I$1:$J$6,2,FALSE)</f>
        <v>0.25</v>
      </c>
      <c r="E459">
        <f>VLOOKUP('Newton-Miller_RAW'!E459,'Newton-Miller_Convert'!$I$1:$J$6,2,FALSE)</f>
        <v>0.1</v>
      </c>
      <c r="F459">
        <f t="shared" si="14"/>
        <v>0.1</v>
      </c>
      <c r="G459">
        <f t="shared" si="15"/>
        <v>0.15</v>
      </c>
    </row>
    <row r="460" spans="1:7" x14ac:dyDescent="0.3">
      <c r="A460">
        <v>459</v>
      </c>
      <c r="B460">
        <f>'Newton-Miller_RAW'!B460</f>
        <v>400</v>
      </c>
      <c r="C460">
        <f>'Newton-Miller_RAW'!C460</f>
        <v>450</v>
      </c>
      <c r="D460">
        <f>VLOOKUP('Newton-Miller_RAW'!D460,'Newton-Miller_Convert'!$I$1:$J$6,2,FALSE)</f>
        <v>0.75</v>
      </c>
      <c r="E460">
        <f>VLOOKUP('Newton-Miller_RAW'!E460,'Newton-Miller_Convert'!$I$1:$J$6,2,FALSE)</f>
        <v>0.1</v>
      </c>
      <c r="F460">
        <f t="shared" si="14"/>
        <v>0.1</v>
      </c>
      <c r="G460">
        <f t="shared" si="15"/>
        <v>0.65</v>
      </c>
    </row>
    <row r="461" spans="1:7" x14ac:dyDescent="0.3">
      <c r="A461">
        <v>460</v>
      </c>
      <c r="B461">
        <f>'Newton-Miller_RAW'!B461</f>
        <v>260</v>
      </c>
      <c r="C461">
        <f>'Newton-Miller_RAW'!C461</f>
        <v>300</v>
      </c>
      <c r="D461">
        <f>VLOOKUP('Newton-Miller_RAW'!D461,'Newton-Miller_Convert'!$I$1:$J$6,2,FALSE)</f>
        <v>0.75</v>
      </c>
      <c r="E461">
        <f>VLOOKUP('Newton-Miller_RAW'!E461,'Newton-Miller_Convert'!$I$1:$J$6,2,FALSE)</f>
        <v>0.25</v>
      </c>
      <c r="F461">
        <f t="shared" si="14"/>
        <v>0.25</v>
      </c>
      <c r="G461">
        <f t="shared" si="15"/>
        <v>0.5</v>
      </c>
    </row>
    <row r="462" spans="1:7" x14ac:dyDescent="0.3">
      <c r="A462">
        <v>461</v>
      </c>
      <c r="B462">
        <f>'Newton-Miller_RAW'!B462</f>
        <v>100</v>
      </c>
      <c r="C462">
        <f>'Newton-Miller_RAW'!C462</f>
        <v>200</v>
      </c>
      <c r="D462">
        <f>VLOOKUP('Newton-Miller_RAW'!D462,'Newton-Miller_Convert'!$I$1:$J$6,2,FALSE)</f>
        <v>0.1</v>
      </c>
      <c r="E462">
        <f>VLOOKUP('Newton-Miller_RAW'!E462,'Newton-Miller_Convert'!$I$1:$J$6,2,FALSE)</f>
        <v>0.1</v>
      </c>
      <c r="F462">
        <f t="shared" si="14"/>
        <v>0.1</v>
      </c>
      <c r="G462">
        <f t="shared" si="15"/>
        <v>0</v>
      </c>
    </row>
    <row r="463" spans="1:7" x14ac:dyDescent="0.3">
      <c r="A463">
        <v>462</v>
      </c>
      <c r="B463">
        <f>'Newton-Miller_RAW'!B463</f>
        <v>100</v>
      </c>
      <c r="C463">
        <f>'Newton-Miller_RAW'!C463</f>
        <v>150</v>
      </c>
      <c r="D463">
        <f>VLOOKUP('Newton-Miller_RAW'!D463,'Newton-Miller_Convert'!$I$1:$J$6,2,FALSE)</f>
        <v>0</v>
      </c>
      <c r="E463">
        <f>VLOOKUP('Newton-Miller_RAW'!E463,'Newton-Miller_Convert'!$I$1:$J$6,2,FALSE)</f>
        <v>0</v>
      </c>
      <c r="F463">
        <f t="shared" si="14"/>
        <v>0</v>
      </c>
      <c r="G463">
        <f t="shared" si="15"/>
        <v>0</v>
      </c>
    </row>
    <row r="464" spans="1:7" x14ac:dyDescent="0.3">
      <c r="A464">
        <v>463</v>
      </c>
      <c r="B464">
        <f>'Newton-Miller_RAW'!B464</f>
        <v>300</v>
      </c>
      <c r="C464">
        <f>'Newton-Miller_RAW'!C464</f>
        <v>499</v>
      </c>
      <c r="D464">
        <f>VLOOKUP('Newton-Miller_RAW'!D464,'Newton-Miller_Convert'!$I$1:$J$6,2,FALSE)</f>
        <v>0.75</v>
      </c>
      <c r="E464">
        <f>VLOOKUP('Newton-Miller_RAW'!E464,'Newton-Miller_Convert'!$I$1:$J$6,2,FALSE)</f>
        <v>0.1</v>
      </c>
      <c r="F464">
        <f t="shared" si="14"/>
        <v>0.1</v>
      </c>
      <c r="G464">
        <f t="shared" si="15"/>
        <v>0.65</v>
      </c>
    </row>
    <row r="465" spans="1:7" x14ac:dyDescent="0.3">
      <c r="A465">
        <v>464</v>
      </c>
      <c r="B465">
        <f>'Newton-Miller_RAW'!B465</f>
        <v>250</v>
      </c>
      <c r="C465">
        <f>'Newton-Miller_RAW'!C465</f>
        <v>300</v>
      </c>
      <c r="D465">
        <f>VLOOKUP('Newton-Miller_RAW'!D465,'Newton-Miller_Convert'!$I$1:$J$6,2,FALSE)</f>
        <v>0.75</v>
      </c>
      <c r="E465">
        <f>VLOOKUP('Newton-Miller_RAW'!E465,'Newton-Miller_Convert'!$I$1:$J$6,2,FALSE)</f>
        <v>0.1</v>
      </c>
      <c r="F465">
        <f t="shared" si="14"/>
        <v>0.1</v>
      </c>
      <c r="G465">
        <f t="shared" si="15"/>
        <v>0.65</v>
      </c>
    </row>
    <row r="466" spans="1:7" x14ac:dyDescent="0.3">
      <c r="A466">
        <v>465</v>
      </c>
      <c r="B466">
        <f>'Newton-Miller_RAW'!B466</f>
        <v>180</v>
      </c>
      <c r="C466">
        <f>'Newton-Miller_RAW'!C466</f>
        <v>190</v>
      </c>
      <c r="D466">
        <f>VLOOKUP('Newton-Miller_RAW'!D466,'Newton-Miller_Convert'!$I$1:$J$6,2,FALSE)</f>
        <v>0.75</v>
      </c>
      <c r="E466">
        <f>VLOOKUP('Newton-Miller_RAW'!E466,'Newton-Miller_Convert'!$I$1:$J$6,2,FALSE)</f>
        <v>0.25</v>
      </c>
      <c r="F466">
        <f t="shared" si="14"/>
        <v>0.25</v>
      </c>
      <c r="G466">
        <f t="shared" si="15"/>
        <v>0.5</v>
      </c>
    </row>
    <row r="467" spans="1:7" x14ac:dyDescent="0.3">
      <c r="A467">
        <v>466</v>
      </c>
      <c r="B467">
        <f>'Newton-Miller_RAW'!B467</f>
        <v>100</v>
      </c>
      <c r="C467">
        <f>'Newton-Miller_RAW'!C467</f>
        <v>110</v>
      </c>
      <c r="D467">
        <f>VLOOKUP('Newton-Miller_RAW'!D467,'Newton-Miller_Convert'!$I$1:$J$6,2,FALSE)</f>
        <v>0.75</v>
      </c>
      <c r="E467">
        <f>VLOOKUP('Newton-Miller_RAW'!E467,'Newton-Miller_Convert'!$I$1:$J$6,2,FALSE)</f>
        <v>0.25</v>
      </c>
      <c r="F467">
        <f t="shared" si="14"/>
        <v>0.25</v>
      </c>
      <c r="G467">
        <f t="shared" si="15"/>
        <v>0.5</v>
      </c>
    </row>
    <row r="468" spans="1:7" x14ac:dyDescent="0.3">
      <c r="A468">
        <v>467</v>
      </c>
      <c r="B468">
        <f>'Newton-Miller_RAW'!B468</f>
        <v>250</v>
      </c>
      <c r="C468">
        <f>'Newton-Miller_RAW'!C468</f>
        <v>300</v>
      </c>
      <c r="D468">
        <f>VLOOKUP('Newton-Miller_RAW'!D468,'Newton-Miller_Convert'!$I$1:$J$6,2,FALSE)</f>
        <v>0.75</v>
      </c>
      <c r="E468">
        <f>VLOOKUP('Newton-Miller_RAW'!E468,'Newton-Miller_Convert'!$I$1:$J$6,2,FALSE)</f>
        <v>0.25</v>
      </c>
      <c r="F468">
        <f t="shared" si="14"/>
        <v>0.25</v>
      </c>
      <c r="G468">
        <f t="shared" si="15"/>
        <v>0.5</v>
      </c>
    </row>
    <row r="469" spans="1:7" x14ac:dyDescent="0.3">
      <c r="A469">
        <v>468</v>
      </c>
      <c r="B469">
        <f>'Newton-Miller_RAW'!B469</f>
        <v>160</v>
      </c>
      <c r="C469">
        <f>'Newton-Miller_RAW'!C469</f>
        <v>180</v>
      </c>
      <c r="D469">
        <f>VLOOKUP('Newton-Miller_RAW'!D469,'Newton-Miller_Convert'!$I$1:$J$6,2,FALSE)</f>
        <v>0.75</v>
      </c>
      <c r="E469">
        <f>VLOOKUP('Newton-Miller_RAW'!E469,'Newton-Miller_Convert'!$I$1:$J$6,2,FALSE)</f>
        <v>0.1</v>
      </c>
      <c r="F469">
        <f t="shared" si="14"/>
        <v>0.1</v>
      </c>
      <c r="G469">
        <f t="shared" si="15"/>
        <v>0.65</v>
      </c>
    </row>
    <row r="470" spans="1:7" x14ac:dyDescent="0.3">
      <c r="A470">
        <v>469</v>
      </c>
      <c r="B470">
        <f>'Newton-Miller_RAW'!B470</f>
        <v>50</v>
      </c>
      <c r="C470">
        <f>'Newton-Miller_RAW'!C470</f>
        <v>100</v>
      </c>
      <c r="D470">
        <f>VLOOKUP('Newton-Miller_RAW'!D470,'Newton-Miller_Convert'!$I$1:$J$6,2,FALSE)</f>
        <v>0.75</v>
      </c>
      <c r="E470">
        <f>VLOOKUP('Newton-Miller_RAW'!E470,'Newton-Miller_Convert'!$I$1:$J$6,2,FALSE)</f>
        <v>0.1</v>
      </c>
      <c r="F470">
        <f t="shared" si="14"/>
        <v>0.1</v>
      </c>
      <c r="G470">
        <f t="shared" si="15"/>
        <v>0.65</v>
      </c>
    </row>
    <row r="471" spans="1:7" x14ac:dyDescent="0.3">
      <c r="A471">
        <v>470</v>
      </c>
      <c r="B471">
        <f>'Newton-Miller_RAW'!B471</f>
        <v>150</v>
      </c>
      <c r="C471">
        <f>'Newton-Miller_RAW'!C471</f>
        <v>200</v>
      </c>
      <c r="D471">
        <f>VLOOKUP('Newton-Miller_RAW'!D471,'Newton-Miller_Convert'!$I$1:$J$6,2,FALSE)</f>
        <v>0.25</v>
      </c>
      <c r="E471">
        <f>VLOOKUP('Newton-Miller_RAW'!E471,'Newton-Miller_Convert'!$I$1:$J$6,2,FALSE)</f>
        <v>0.1</v>
      </c>
      <c r="F471">
        <f t="shared" si="14"/>
        <v>0.1</v>
      </c>
      <c r="G471">
        <f t="shared" si="15"/>
        <v>0.15</v>
      </c>
    </row>
    <row r="472" spans="1:7" x14ac:dyDescent="0.3">
      <c r="A472">
        <v>471</v>
      </c>
      <c r="B472">
        <f>'Newton-Miller_RAW'!B472</f>
        <v>300</v>
      </c>
      <c r="C472">
        <f>'Newton-Miller_RAW'!C472</f>
        <v>400</v>
      </c>
      <c r="D472">
        <f>VLOOKUP('Newton-Miller_RAW'!D472,'Newton-Miller_Convert'!$I$1:$J$6,2,FALSE)</f>
        <v>0.75</v>
      </c>
      <c r="E472">
        <f>VLOOKUP('Newton-Miller_RAW'!E472,'Newton-Miller_Convert'!$I$1:$J$6,2,FALSE)</f>
        <v>0.1</v>
      </c>
      <c r="F472">
        <f t="shared" si="14"/>
        <v>0.1</v>
      </c>
      <c r="G472">
        <f t="shared" si="15"/>
        <v>0.65</v>
      </c>
    </row>
    <row r="473" spans="1:7" x14ac:dyDescent="0.3">
      <c r="A473">
        <v>472</v>
      </c>
      <c r="B473">
        <f>'Newton-Miller_RAW'!B473</f>
        <v>350</v>
      </c>
      <c r="C473">
        <f>'Newton-Miller_RAW'!C473</f>
        <v>400</v>
      </c>
      <c r="D473">
        <f>VLOOKUP('Newton-Miller_RAW'!D473,'Newton-Miller_Convert'!$I$1:$J$6,2,FALSE)</f>
        <v>0.75</v>
      </c>
      <c r="E473">
        <f>VLOOKUP('Newton-Miller_RAW'!E473,'Newton-Miller_Convert'!$I$1:$J$6,2,FALSE)</f>
        <v>0.1</v>
      </c>
      <c r="F473">
        <f t="shared" si="14"/>
        <v>0.1</v>
      </c>
      <c r="G473">
        <f t="shared" si="15"/>
        <v>0.65</v>
      </c>
    </row>
    <row r="474" spans="1:7" x14ac:dyDescent="0.3">
      <c r="A474">
        <v>473</v>
      </c>
      <c r="B474">
        <f>'Newton-Miller_RAW'!B474</f>
        <v>180</v>
      </c>
      <c r="C474">
        <f>'Newton-Miller_RAW'!C474</f>
        <v>250</v>
      </c>
      <c r="D474">
        <f>VLOOKUP('Newton-Miller_RAW'!D474,'Newton-Miller_Convert'!$I$1:$J$6,2,FALSE)</f>
        <v>0.75</v>
      </c>
      <c r="E474">
        <f>VLOOKUP('Newton-Miller_RAW'!E474,'Newton-Miller_Convert'!$I$1:$J$6,2,FALSE)</f>
        <v>0.25</v>
      </c>
      <c r="F474">
        <f t="shared" si="14"/>
        <v>0.25</v>
      </c>
      <c r="G474">
        <f t="shared" si="15"/>
        <v>0.5</v>
      </c>
    </row>
    <row r="475" spans="1:7" x14ac:dyDescent="0.3">
      <c r="A475">
        <v>474</v>
      </c>
      <c r="B475">
        <f>'Newton-Miller_RAW'!B475</f>
        <v>300</v>
      </c>
      <c r="C475">
        <f>'Newton-Miller_RAW'!C475</f>
        <v>400</v>
      </c>
      <c r="D475">
        <f>VLOOKUP('Newton-Miller_RAW'!D475,'Newton-Miller_Convert'!$I$1:$J$6,2,FALSE)</f>
        <v>0.1</v>
      </c>
      <c r="E475">
        <f>VLOOKUP('Newton-Miller_RAW'!E475,'Newton-Miller_Convert'!$I$1:$J$6,2,FALSE)</f>
        <v>0</v>
      </c>
      <c r="F475">
        <f t="shared" si="14"/>
        <v>0</v>
      </c>
      <c r="G475">
        <f t="shared" si="15"/>
        <v>0.1</v>
      </c>
    </row>
    <row r="476" spans="1:7" x14ac:dyDescent="0.3">
      <c r="A476">
        <v>475</v>
      </c>
      <c r="B476">
        <f>'Newton-Miller_RAW'!B476</f>
        <v>120</v>
      </c>
      <c r="C476">
        <f>'Newton-Miller_RAW'!C476</f>
        <v>180</v>
      </c>
      <c r="D476">
        <f>VLOOKUP('Newton-Miller_RAW'!D476,'Newton-Miller_Convert'!$I$1:$J$6,2,FALSE)</f>
        <v>0.25</v>
      </c>
      <c r="E476">
        <f>VLOOKUP('Newton-Miller_RAW'!E476,'Newton-Miller_Convert'!$I$1:$J$6,2,FALSE)</f>
        <v>0.1</v>
      </c>
      <c r="F476">
        <f t="shared" si="14"/>
        <v>0.1</v>
      </c>
      <c r="G476">
        <f t="shared" si="15"/>
        <v>0.15</v>
      </c>
    </row>
    <row r="477" spans="1:7" x14ac:dyDescent="0.3">
      <c r="A477">
        <v>476</v>
      </c>
      <c r="B477">
        <f>'Newton-Miller_RAW'!B477</f>
        <v>200</v>
      </c>
      <c r="C477">
        <f>'Newton-Miller_RAW'!C477</f>
        <v>250</v>
      </c>
      <c r="D477">
        <f>VLOOKUP('Newton-Miller_RAW'!D477,'Newton-Miller_Convert'!$I$1:$J$6,2,FALSE)</f>
        <v>0.25</v>
      </c>
      <c r="E477">
        <f>VLOOKUP('Newton-Miller_RAW'!E477,'Newton-Miller_Convert'!$I$1:$J$6,2,FALSE)</f>
        <v>0.1</v>
      </c>
      <c r="F477">
        <f t="shared" si="14"/>
        <v>0.1</v>
      </c>
      <c r="G477">
        <f t="shared" si="15"/>
        <v>0.15</v>
      </c>
    </row>
    <row r="478" spans="1:7" x14ac:dyDescent="0.3">
      <c r="A478">
        <v>477</v>
      </c>
      <c r="B478">
        <f>'Newton-Miller_RAW'!B478</f>
        <v>190</v>
      </c>
      <c r="C478">
        <f>'Newton-Miller_RAW'!C478</f>
        <v>260</v>
      </c>
      <c r="D478">
        <f>VLOOKUP('Newton-Miller_RAW'!D478,'Newton-Miller_Convert'!$I$1:$J$6,2,FALSE)</f>
        <v>0.75</v>
      </c>
      <c r="E478">
        <f>VLOOKUP('Newton-Miller_RAW'!E478,'Newton-Miller_Convert'!$I$1:$J$6,2,FALSE)</f>
        <v>0.25</v>
      </c>
      <c r="F478">
        <f t="shared" si="14"/>
        <v>0.25</v>
      </c>
      <c r="G478">
        <f t="shared" si="15"/>
        <v>0.5</v>
      </c>
    </row>
    <row r="479" spans="1:7" x14ac:dyDescent="0.3">
      <c r="A479">
        <v>478</v>
      </c>
      <c r="B479">
        <f>'Newton-Miller_RAW'!B479</f>
        <v>200</v>
      </c>
      <c r="C479">
        <f>'Newton-Miller_RAW'!C479</f>
        <v>250</v>
      </c>
      <c r="D479">
        <f>VLOOKUP('Newton-Miller_RAW'!D479,'Newton-Miller_Convert'!$I$1:$J$6,2,FALSE)</f>
        <v>0.25</v>
      </c>
      <c r="E479">
        <f>VLOOKUP('Newton-Miller_RAW'!E479,'Newton-Miller_Convert'!$I$1:$J$6,2,FALSE)</f>
        <v>0.25</v>
      </c>
      <c r="F479">
        <f t="shared" si="14"/>
        <v>0.25</v>
      </c>
      <c r="G479">
        <f t="shared" si="15"/>
        <v>0</v>
      </c>
    </row>
    <row r="480" spans="1:7" x14ac:dyDescent="0.3">
      <c r="A480">
        <v>479</v>
      </c>
      <c r="B480">
        <f>'Newton-Miller_RAW'!B480</f>
        <v>100</v>
      </c>
      <c r="C480">
        <f>'Newton-Miller_RAW'!C480</f>
        <v>101</v>
      </c>
      <c r="D480">
        <f>VLOOKUP('Newton-Miller_RAW'!D480,'Newton-Miller_Convert'!$I$1:$J$6,2,FALSE)</f>
        <v>0</v>
      </c>
      <c r="E480">
        <f>VLOOKUP('Newton-Miller_RAW'!E480,'Newton-Miller_Convert'!$I$1:$J$6,2,FALSE)</f>
        <v>0</v>
      </c>
      <c r="F480">
        <f t="shared" si="14"/>
        <v>0</v>
      </c>
      <c r="G480">
        <f t="shared" si="15"/>
        <v>0</v>
      </c>
    </row>
    <row r="481" spans="1:7" x14ac:dyDescent="0.3">
      <c r="A481">
        <v>480</v>
      </c>
      <c r="B481">
        <f>'Newton-Miller_RAW'!B481</f>
        <v>250</v>
      </c>
      <c r="C481">
        <f>'Newton-Miller_RAW'!C481</f>
        <v>350</v>
      </c>
      <c r="D481">
        <f>VLOOKUP('Newton-Miller_RAW'!D481,'Newton-Miller_Convert'!$I$1:$J$6,2,FALSE)</f>
        <v>0.75</v>
      </c>
      <c r="E481">
        <f>VLOOKUP('Newton-Miller_RAW'!E481,'Newton-Miller_Convert'!$I$1:$J$6,2,FALSE)</f>
        <v>0.75</v>
      </c>
      <c r="F481">
        <f t="shared" si="14"/>
        <v>0.75</v>
      </c>
      <c r="G481">
        <f t="shared" si="15"/>
        <v>0</v>
      </c>
    </row>
    <row r="482" spans="1:7" x14ac:dyDescent="0.3">
      <c r="A482">
        <v>481</v>
      </c>
      <c r="B482">
        <f>'Newton-Miller_RAW'!B482</f>
        <v>100</v>
      </c>
      <c r="C482">
        <f>'Newton-Miller_RAW'!C482</f>
        <v>120</v>
      </c>
      <c r="D482">
        <f>VLOOKUP('Newton-Miller_RAW'!D482,'Newton-Miller_Convert'!$I$1:$J$6,2,FALSE)</f>
        <v>0.75</v>
      </c>
      <c r="E482">
        <f>VLOOKUP('Newton-Miller_RAW'!E482,'Newton-Miller_Convert'!$I$1:$J$6,2,FALSE)</f>
        <v>0.25</v>
      </c>
      <c r="F482">
        <f t="shared" si="14"/>
        <v>0.25</v>
      </c>
      <c r="G482">
        <f t="shared" si="15"/>
        <v>0.5</v>
      </c>
    </row>
    <row r="483" spans="1:7" x14ac:dyDescent="0.3">
      <c r="A483">
        <v>482</v>
      </c>
      <c r="B483">
        <f>'Newton-Miller_RAW'!B483</f>
        <v>200</v>
      </c>
      <c r="C483">
        <f>'Newton-Miller_RAW'!C483</f>
        <v>300</v>
      </c>
      <c r="D483">
        <f>VLOOKUP('Newton-Miller_RAW'!D483,'Newton-Miller_Convert'!$I$1:$J$6,2,FALSE)</f>
        <v>0.1</v>
      </c>
      <c r="E483">
        <f>VLOOKUP('Newton-Miller_RAW'!E483,'Newton-Miller_Convert'!$I$1:$J$6,2,FALSE)</f>
        <v>0.1</v>
      </c>
      <c r="F483">
        <f t="shared" si="14"/>
        <v>0.1</v>
      </c>
      <c r="G483">
        <f t="shared" si="15"/>
        <v>0</v>
      </c>
    </row>
    <row r="484" spans="1:7" x14ac:dyDescent="0.3">
      <c r="A484">
        <v>483</v>
      </c>
      <c r="B484">
        <f>'Newton-Miller_RAW'!B484</f>
        <v>99</v>
      </c>
      <c r="C484">
        <f>'Newton-Miller_RAW'!C484</f>
        <v>120</v>
      </c>
      <c r="D484">
        <f>VLOOKUP('Newton-Miller_RAW'!D484,'Newton-Miller_Convert'!$I$1:$J$6,2,FALSE)</f>
        <v>0.75</v>
      </c>
      <c r="E484">
        <f>VLOOKUP('Newton-Miller_RAW'!E484,'Newton-Miller_Convert'!$I$1:$J$6,2,FALSE)</f>
        <v>0.75</v>
      </c>
      <c r="F484">
        <f t="shared" si="14"/>
        <v>0.75</v>
      </c>
      <c r="G484">
        <f t="shared" si="15"/>
        <v>0</v>
      </c>
    </row>
    <row r="485" spans="1:7" x14ac:dyDescent="0.3">
      <c r="A485">
        <v>484</v>
      </c>
      <c r="B485">
        <f>'Newton-Miller_RAW'!B485</f>
        <v>75</v>
      </c>
      <c r="C485">
        <f>'Newton-Miller_RAW'!C485</f>
        <v>98</v>
      </c>
      <c r="D485">
        <f>VLOOKUP('Newton-Miller_RAW'!D485,'Newton-Miller_Convert'!$I$1:$J$6,2,FALSE)</f>
        <v>0.75</v>
      </c>
      <c r="E485">
        <f>VLOOKUP('Newton-Miller_RAW'!E485,'Newton-Miller_Convert'!$I$1:$J$6,2,FALSE)</f>
        <v>0.75</v>
      </c>
      <c r="F485">
        <f t="shared" si="14"/>
        <v>0.75</v>
      </c>
      <c r="G485">
        <f t="shared" si="15"/>
        <v>0</v>
      </c>
    </row>
    <row r="486" spans="1:7" x14ac:dyDescent="0.3">
      <c r="A486">
        <v>485</v>
      </c>
      <c r="B486">
        <f>'Newton-Miller_RAW'!B486</f>
        <v>180</v>
      </c>
      <c r="C486">
        <f>'Newton-Miller_RAW'!C486</f>
        <v>220</v>
      </c>
      <c r="D486">
        <f>VLOOKUP('Newton-Miller_RAW'!D486,'Newton-Miller_Convert'!$I$1:$J$6,2,FALSE)</f>
        <v>0.75</v>
      </c>
      <c r="E486">
        <f>VLOOKUP('Newton-Miller_RAW'!E486,'Newton-Miller_Convert'!$I$1:$J$6,2,FALSE)</f>
        <v>0.75</v>
      </c>
      <c r="F486">
        <f t="shared" si="14"/>
        <v>0.75</v>
      </c>
      <c r="G486">
        <f t="shared" si="15"/>
        <v>0</v>
      </c>
    </row>
    <row r="487" spans="1:7" x14ac:dyDescent="0.3">
      <c r="A487">
        <v>486</v>
      </c>
      <c r="B487">
        <f>'Newton-Miller_RAW'!B487</f>
        <v>200</v>
      </c>
      <c r="C487">
        <f>'Newton-Miller_RAW'!C487</f>
        <v>220</v>
      </c>
      <c r="D487">
        <f>VLOOKUP('Newton-Miller_RAW'!D487,'Newton-Miller_Convert'!$I$1:$J$6,2,FALSE)</f>
        <v>0.25</v>
      </c>
      <c r="E487">
        <f>VLOOKUP('Newton-Miller_RAW'!E487,'Newton-Miller_Convert'!$I$1:$J$6,2,FALSE)</f>
        <v>0.25</v>
      </c>
      <c r="F487">
        <f t="shared" si="14"/>
        <v>0.25</v>
      </c>
      <c r="G487">
        <f t="shared" si="15"/>
        <v>0</v>
      </c>
    </row>
    <row r="488" spans="1:7" x14ac:dyDescent="0.3">
      <c r="A488">
        <v>487</v>
      </c>
      <c r="B488">
        <f>'Newton-Miller_RAW'!B488</f>
        <v>199</v>
      </c>
      <c r="C488">
        <f>'Newton-Miller_RAW'!C488</f>
        <v>299</v>
      </c>
      <c r="D488">
        <f>VLOOKUP('Newton-Miller_RAW'!D488,'Newton-Miller_Convert'!$I$1:$J$6,2,FALSE)</f>
        <v>0.75</v>
      </c>
      <c r="E488">
        <f>VLOOKUP('Newton-Miller_RAW'!E488,'Newton-Miller_Convert'!$I$1:$J$6,2,FALSE)</f>
        <v>0.75</v>
      </c>
      <c r="F488">
        <f t="shared" si="14"/>
        <v>0.75</v>
      </c>
      <c r="G488">
        <f t="shared" si="15"/>
        <v>0</v>
      </c>
    </row>
    <row r="489" spans="1:7" x14ac:dyDescent="0.3">
      <c r="A489">
        <v>488</v>
      </c>
      <c r="B489">
        <f>'Newton-Miller_RAW'!B489</f>
        <v>250</v>
      </c>
      <c r="C489">
        <f>'Newton-Miller_RAW'!C489</f>
        <v>360</v>
      </c>
      <c r="D489">
        <f>VLOOKUP('Newton-Miller_RAW'!D489,'Newton-Miller_Convert'!$I$1:$J$6,2,FALSE)</f>
        <v>0.25</v>
      </c>
      <c r="E489">
        <f>VLOOKUP('Newton-Miller_RAW'!E489,'Newton-Miller_Convert'!$I$1:$J$6,2,FALSE)</f>
        <v>0.25</v>
      </c>
      <c r="F489">
        <f t="shared" si="14"/>
        <v>0.25</v>
      </c>
      <c r="G489">
        <f t="shared" si="15"/>
        <v>0</v>
      </c>
    </row>
    <row r="490" spans="1:7" x14ac:dyDescent="0.3">
      <c r="A490">
        <v>489</v>
      </c>
      <c r="B490">
        <f>'Newton-Miller_RAW'!B490</f>
        <v>300</v>
      </c>
      <c r="C490">
        <f>'Newton-Miller_RAW'!C490</f>
        <v>320</v>
      </c>
      <c r="D490">
        <f>VLOOKUP('Newton-Miller_RAW'!D490,'Newton-Miller_Convert'!$I$1:$J$6,2,FALSE)</f>
        <v>0.75</v>
      </c>
      <c r="E490">
        <f>VLOOKUP('Newton-Miller_RAW'!E490,'Newton-Miller_Convert'!$I$1:$J$6,2,FALSE)</f>
        <v>0.25</v>
      </c>
      <c r="F490">
        <f t="shared" si="14"/>
        <v>0.25</v>
      </c>
      <c r="G490">
        <f t="shared" si="15"/>
        <v>0.5</v>
      </c>
    </row>
    <row r="491" spans="1:7" x14ac:dyDescent="0.3">
      <c r="A491">
        <v>490</v>
      </c>
      <c r="B491">
        <f>'Newton-Miller_RAW'!B491</f>
        <v>154</v>
      </c>
      <c r="C491">
        <f>'Newton-Miller_RAW'!C491</f>
        <v>155</v>
      </c>
      <c r="D491">
        <f>VLOOKUP('Newton-Miller_RAW'!D491,'Newton-Miller_Convert'!$I$1:$J$6,2,FALSE)</f>
        <v>0.25</v>
      </c>
      <c r="E491">
        <f>VLOOKUP('Newton-Miller_RAW'!E491,'Newton-Miller_Convert'!$I$1:$J$6,2,FALSE)</f>
        <v>0.1</v>
      </c>
      <c r="F491">
        <f t="shared" si="14"/>
        <v>0.1</v>
      </c>
      <c r="G491">
        <f t="shared" si="15"/>
        <v>0.15</v>
      </c>
    </row>
    <row r="492" spans="1:7" x14ac:dyDescent="0.3">
      <c r="A492">
        <v>491</v>
      </c>
      <c r="B492">
        <f>'Newton-Miller_RAW'!B492</f>
        <v>300</v>
      </c>
      <c r="C492">
        <f>'Newton-Miller_RAW'!C492</f>
        <v>369</v>
      </c>
      <c r="D492">
        <f>VLOOKUP('Newton-Miller_RAW'!D492,'Newton-Miller_Convert'!$I$1:$J$6,2,FALSE)</f>
        <v>0.25</v>
      </c>
      <c r="E492">
        <f>VLOOKUP('Newton-Miller_RAW'!E492,'Newton-Miller_Convert'!$I$1:$J$6,2,FALSE)</f>
        <v>0.25</v>
      </c>
      <c r="F492">
        <f t="shared" si="14"/>
        <v>0.25</v>
      </c>
      <c r="G492">
        <f t="shared" si="15"/>
        <v>0</v>
      </c>
    </row>
    <row r="493" spans="1:7" x14ac:dyDescent="0.3">
      <c r="A493">
        <v>492</v>
      </c>
      <c r="B493">
        <f>'Newton-Miller_RAW'!B493</f>
        <v>300</v>
      </c>
      <c r="C493">
        <f>'Newton-Miller_RAW'!C493</f>
        <v>301</v>
      </c>
      <c r="D493">
        <f>VLOOKUP('Newton-Miller_RAW'!D493,'Newton-Miller_Convert'!$I$1:$J$6,2,FALSE)</f>
        <v>0.1</v>
      </c>
      <c r="E493">
        <f>VLOOKUP('Newton-Miller_RAW'!E493,'Newton-Miller_Convert'!$I$1:$J$6,2,FALSE)</f>
        <v>0.1</v>
      </c>
      <c r="F493">
        <f t="shared" si="14"/>
        <v>0.1</v>
      </c>
      <c r="G493">
        <f t="shared" si="15"/>
        <v>0</v>
      </c>
    </row>
    <row r="494" spans="1:7" x14ac:dyDescent="0.3">
      <c r="A494">
        <v>493</v>
      </c>
      <c r="B494">
        <f>'Newton-Miller_RAW'!B494</f>
        <v>250</v>
      </c>
      <c r="C494">
        <f>'Newton-Miller_RAW'!C494</f>
        <v>300</v>
      </c>
      <c r="D494">
        <f>VLOOKUP('Newton-Miller_RAW'!D494,'Newton-Miller_Convert'!$I$1:$J$6,2,FALSE)</f>
        <v>0.75</v>
      </c>
      <c r="E494">
        <f>VLOOKUP('Newton-Miller_RAW'!E494,'Newton-Miller_Convert'!$I$1:$J$6,2,FALSE)</f>
        <v>0.25</v>
      </c>
      <c r="F494">
        <f t="shared" si="14"/>
        <v>0.25</v>
      </c>
      <c r="G494">
        <f t="shared" si="15"/>
        <v>0.5</v>
      </c>
    </row>
    <row r="495" spans="1:7" x14ac:dyDescent="0.3">
      <c r="A495">
        <v>494</v>
      </c>
      <c r="B495">
        <f>'Newton-Miller_RAW'!B495</f>
        <v>250</v>
      </c>
      <c r="C495">
        <f>'Newton-Miller_RAW'!C495</f>
        <v>350</v>
      </c>
      <c r="D495">
        <f>VLOOKUP('Newton-Miller_RAW'!D495,'Newton-Miller_Convert'!$I$1:$J$6,2,FALSE)</f>
        <v>0.75</v>
      </c>
      <c r="E495">
        <f>VLOOKUP('Newton-Miller_RAW'!E495,'Newton-Miller_Convert'!$I$1:$J$6,2,FALSE)</f>
        <v>0.25</v>
      </c>
      <c r="F495">
        <f t="shared" si="14"/>
        <v>0.25</v>
      </c>
      <c r="G495">
        <f t="shared" si="15"/>
        <v>0.5</v>
      </c>
    </row>
    <row r="496" spans="1:7" x14ac:dyDescent="0.3">
      <c r="A496">
        <v>495</v>
      </c>
      <c r="B496">
        <f>'Newton-Miller_RAW'!B496</f>
        <v>350</v>
      </c>
      <c r="C496">
        <f>'Newton-Miller_RAW'!C496</f>
        <v>500</v>
      </c>
      <c r="D496">
        <f>VLOOKUP('Newton-Miller_RAW'!D496,'Newton-Miller_Convert'!$I$1:$J$6,2,FALSE)</f>
        <v>0.25</v>
      </c>
      <c r="E496">
        <f>VLOOKUP('Newton-Miller_RAW'!E496,'Newton-Miller_Convert'!$I$1:$J$6,2,FALSE)</f>
        <v>0.25</v>
      </c>
      <c r="F496">
        <f t="shared" si="14"/>
        <v>0.25</v>
      </c>
      <c r="G496">
        <f t="shared" si="15"/>
        <v>0</v>
      </c>
    </row>
    <row r="497" spans="1:7" x14ac:dyDescent="0.3">
      <c r="A497">
        <v>496</v>
      </c>
      <c r="B497">
        <f>'Newton-Miller_RAW'!B497</f>
        <v>300</v>
      </c>
      <c r="C497">
        <f>'Newton-Miller_RAW'!C497</f>
        <v>450</v>
      </c>
      <c r="D497">
        <f>VLOOKUP('Newton-Miller_RAW'!D497,'Newton-Miller_Convert'!$I$1:$J$6,2,FALSE)</f>
        <v>0.25</v>
      </c>
      <c r="E497">
        <f>VLOOKUP('Newton-Miller_RAW'!E497,'Newton-Miller_Convert'!$I$1:$J$6,2,FALSE)</f>
        <v>0.1</v>
      </c>
      <c r="F497">
        <f t="shared" si="14"/>
        <v>0.1</v>
      </c>
      <c r="G497">
        <f t="shared" si="15"/>
        <v>0.15</v>
      </c>
    </row>
    <row r="498" spans="1:7" x14ac:dyDescent="0.3">
      <c r="A498">
        <v>497</v>
      </c>
      <c r="B498">
        <f>'Newton-Miller_RAW'!B498</f>
        <v>80</v>
      </c>
      <c r="C498">
        <f>'Newton-Miller_RAW'!C498</f>
        <v>100</v>
      </c>
      <c r="D498">
        <f>VLOOKUP('Newton-Miller_RAW'!D498,'Newton-Miller_Convert'!$I$1:$J$6,2,FALSE)</f>
        <v>0.25</v>
      </c>
      <c r="E498">
        <f>VLOOKUP('Newton-Miller_RAW'!E498,'Newton-Miller_Convert'!$I$1:$J$6,2,FALSE)</f>
        <v>0.1</v>
      </c>
      <c r="F498">
        <f t="shared" si="14"/>
        <v>0.1</v>
      </c>
      <c r="G498">
        <f t="shared" si="15"/>
        <v>0.15</v>
      </c>
    </row>
    <row r="499" spans="1:7" x14ac:dyDescent="0.3">
      <c r="A499">
        <v>498</v>
      </c>
      <c r="B499">
        <f>'Newton-Miller_RAW'!B499</f>
        <v>150</v>
      </c>
      <c r="C499">
        <f>'Newton-Miller_RAW'!C499</f>
        <v>210</v>
      </c>
      <c r="D499">
        <f>VLOOKUP('Newton-Miller_RAW'!D499,'Newton-Miller_Convert'!$I$1:$J$6,2,FALSE)</f>
        <v>0.75</v>
      </c>
      <c r="E499">
        <f>VLOOKUP('Newton-Miller_RAW'!E499,'Newton-Miller_Convert'!$I$1:$J$6,2,FALSE)</f>
        <v>0.25</v>
      </c>
      <c r="F499">
        <f t="shared" si="14"/>
        <v>0.25</v>
      </c>
      <c r="G499">
        <f t="shared" si="15"/>
        <v>0.5</v>
      </c>
    </row>
    <row r="500" spans="1:7" x14ac:dyDescent="0.3">
      <c r="A500">
        <v>499</v>
      </c>
      <c r="B500">
        <f>'Newton-Miller_RAW'!B500</f>
        <v>180</v>
      </c>
      <c r="C500">
        <f>'Newton-Miller_RAW'!C500</f>
        <v>200</v>
      </c>
      <c r="D500">
        <f>VLOOKUP('Newton-Miller_RAW'!D500,'Newton-Miller_Convert'!$I$1:$J$6,2,FALSE)</f>
        <v>0.75</v>
      </c>
      <c r="E500">
        <f>VLOOKUP('Newton-Miller_RAW'!E500,'Newton-Miller_Convert'!$I$1:$J$6,2,FALSE)</f>
        <v>0.25</v>
      </c>
      <c r="F500">
        <f t="shared" si="14"/>
        <v>0.25</v>
      </c>
      <c r="G500">
        <f t="shared" si="15"/>
        <v>0.5</v>
      </c>
    </row>
    <row r="501" spans="1:7" x14ac:dyDescent="0.3">
      <c r="A501">
        <v>500</v>
      </c>
      <c r="B501">
        <f>'Newton-Miller_RAW'!B501</f>
        <v>48</v>
      </c>
      <c r="C501">
        <f>'Newton-Miller_RAW'!C501</f>
        <v>49</v>
      </c>
      <c r="D501">
        <f>VLOOKUP('Newton-Miller_RAW'!D501,'Newton-Miller_Convert'!$I$1:$J$6,2,FALSE)</f>
        <v>0.1</v>
      </c>
      <c r="E501">
        <f>VLOOKUP('Newton-Miller_RAW'!E501,'Newton-Miller_Convert'!$I$1:$J$6,2,FALSE)</f>
        <v>0.1</v>
      </c>
      <c r="F501">
        <f t="shared" si="14"/>
        <v>0.1</v>
      </c>
      <c r="G501">
        <f t="shared" si="15"/>
        <v>0</v>
      </c>
    </row>
    <row r="502" spans="1:7" x14ac:dyDescent="0.3">
      <c r="A502">
        <v>501</v>
      </c>
      <c r="B502">
        <f>'Newton-Miller_RAW'!B502</f>
        <v>100</v>
      </c>
      <c r="C502">
        <f>'Newton-Miller_RAW'!C502</f>
        <v>150</v>
      </c>
      <c r="D502">
        <f>VLOOKUP('Newton-Miller_RAW'!D502,'Newton-Miller_Convert'!$I$1:$J$6,2,FALSE)</f>
        <v>0.75</v>
      </c>
      <c r="E502">
        <f>VLOOKUP('Newton-Miller_RAW'!E502,'Newton-Miller_Convert'!$I$1:$J$6,2,FALSE)</f>
        <v>0.25</v>
      </c>
      <c r="F502">
        <f t="shared" si="14"/>
        <v>0.25</v>
      </c>
      <c r="G502">
        <f t="shared" si="15"/>
        <v>0.5</v>
      </c>
    </row>
    <row r="503" spans="1:7" x14ac:dyDescent="0.3">
      <c r="A503">
        <v>502</v>
      </c>
      <c r="B503">
        <f>'Newton-Miller_RAW'!B503</f>
        <v>150</v>
      </c>
      <c r="C503">
        <f>'Newton-Miller_RAW'!C503</f>
        <v>200</v>
      </c>
      <c r="D503">
        <f>VLOOKUP('Newton-Miller_RAW'!D503,'Newton-Miller_Convert'!$I$1:$J$6,2,FALSE)</f>
        <v>0.75</v>
      </c>
      <c r="E503">
        <f>VLOOKUP('Newton-Miller_RAW'!E503,'Newton-Miller_Convert'!$I$1:$J$6,2,FALSE)</f>
        <v>0.1</v>
      </c>
      <c r="F503">
        <f t="shared" si="14"/>
        <v>0.1</v>
      </c>
      <c r="G503">
        <f t="shared" si="15"/>
        <v>0.65</v>
      </c>
    </row>
    <row r="504" spans="1:7" x14ac:dyDescent="0.3">
      <c r="A504">
        <v>503</v>
      </c>
      <c r="B504">
        <f>'Newton-Miller_RAW'!B504</f>
        <v>100</v>
      </c>
      <c r="C504">
        <f>'Newton-Miller_RAW'!C504</f>
        <v>250</v>
      </c>
      <c r="D504">
        <f>VLOOKUP('Newton-Miller_RAW'!D504,'Newton-Miller_Convert'!$I$1:$J$6,2,FALSE)</f>
        <v>0.75</v>
      </c>
      <c r="E504">
        <f>VLOOKUP('Newton-Miller_RAW'!E504,'Newton-Miller_Convert'!$I$1:$J$6,2,FALSE)</f>
        <v>0.25</v>
      </c>
      <c r="F504">
        <f t="shared" si="14"/>
        <v>0.25</v>
      </c>
      <c r="G504">
        <f t="shared" si="15"/>
        <v>0.5</v>
      </c>
    </row>
    <row r="505" spans="1:7" x14ac:dyDescent="0.3">
      <c r="A505">
        <v>504</v>
      </c>
      <c r="B505">
        <f>'Newton-Miller_RAW'!B505</f>
        <v>150</v>
      </c>
      <c r="C505">
        <f>'Newton-Miller_RAW'!C505</f>
        <v>200</v>
      </c>
      <c r="D505">
        <f>VLOOKUP('Newton-Miller_RAW'!D505,'Newton-Miller_Convert'!$I$1:$J$6,2,FALSE)</f>
        <v>0.75</v>
      </c>
      <c r="E505">
        <f>VLOOKUP('Newton-Miller_RAW'!E505,'Newton-Miller_Convert'!$I$1:$J$6,2,FALSE)</f>
        <v>0.25</v>
      </c>
      <c r="F505">
        <f t="shared" si="14"/>
        <v>0.25</v>
      </c>
      <c r="G505">
        <f t="shared" si="15"/>
        <v>0.5</v>
      </c>
    </row>
    <row r="506" spans="1:7" x14ac:dyDescent="0.3">
      <c r="A506">
        <v>505</v>
      </c>
      <c r="B506">
        <f>'Newton-Miller_RAW'!B506</f>
        <v>200</v>
      </c>
      <c r="C506">
        <f>'Newton-Miller_RAW'!C506</f>
        <v>250</v>
      </c>
      <c r="D506">
        <f>VLOOKUP('Newton-Miller_RAW'!D506,'Newton-Miller_Convert'!$I$1:$J$6,2,FALSE)</f>
        <v>0.75</v>
      </c>
      <c r="E506">
        <f>VLOOKUP('Newton-Miller_RAW'!E506,'Newton-Miller_Convert'!$I$1:$J$6,2,FALSE)</f>
        <v>0.25</v>
      </c>
      <c r="F506">
        <f t="shared" si="14"/>
        <v>0.25</v>
      </c>
      <c r="G506">
        <f t="shared" si="15"/>
        <v>0.5</v>
      </c>
    </row>
    <row r="507" spans="1:7" x14ac:dyDescent="0.3">
      <c r="A507">
        <v>506</v>
      </c>
      <c r="B507">
        <f>'Newton-Miller_RAW'!B507</f>
        <v>100</v>
      </c>
      <c r="C507">
        <f>'Newton-Miller_RAW'!C507</f>
        <v>119</v>
      </c>
      <c r="D507">
        <f>VLOOKUP('Newton-Miller_RAW'!D507,'Newton-Miller_Convert'!$I$1:$J$6,2,FALSE)</f>
        <v>0</v>
      </c>
      <c r="E507">
        <f>VLOOKUP('Newton-Miller_RAW'!E507,'Newton-Miller_Convert'!$I$1:$J$6,2,FALSE)</f>
        <v>0</v>
      </c>
      <c r="F507">
        <f t="shared" si="14"/>
        <v>0</v>
      </c>
      <c r="G507">
        <f t="shared" si="15"/>
        <v>0</v>
      </c>
    </row>
    <row r="508" spans="1:7" x14ac:dyDescent="0.3">
      <c r="A508">
        <v>507</v>
      </c>
      <c r="B508">
        <f>'Newton-Miller_RAW'!B508</f>
        <v>290</v>
      </c>
      <c r="C508">
        <f>'Newton-Miller_RAW'!C508</f>
        <v>349</v>
      </c>
      <c r="D508">
        <f>VLOOKUP('Newton-Miller_RAW'!D508,'Newton-Miller_Convert'!$I$1:$J$6,2,FALSE)</f>
        <v>0.75</v>
      </c>
      <c r="E508">
        <f>VLOOKUP('Newton-Miller_RAW'!E508,'Newton-Miller_Convert'!$I$1:$J$6,2,FALSE)</f>
        <v>0</v>
      </c>
      <c r="F508">
        <f t="shared" si="14"/>
        <v>0</v>
      </c>
      <c r="G508">
        <f t="shared" si="15"/>
        <v>0.75</v>
      </c>
    </row>
    <row r="509" spans="1:7" x14ac:dyDescent="0.3">
      <c r="A509">
        <v>508</v>
      </c>
      <c r="B509">
        <f>'Newton-Miller_RAW'!B509</f>
        <v>150</v>
      </c>
      <c r="C509">
        <f>'Newton-Miller_RAW'!C509</f>
        <v>160</v>
      </c>
      <c r="D509">
        <f>VLOOKUP('Newton-Miller_RAW'!D509,'Newton-Miller_Convert'!$I$1:$J$6,2,FALSE)</f>
        <v>0.75</v>
      </c>
      <c r="E509">
        <f>VLOOKUP('Newton-Miller_RAW'!E509,'Newton-Miller_Convert'!$I$1:$J$6,2,FALSE)</f>
        <v>0.1</v>
      </c>
      <c r="F509">
        <f t="shared" si="14"/>
        <v>0.1</v>
      </c>
      <c r="G509">
        <f t="shared" si="15"/>
        <v>0.65</v>
      </c>
    </row>
    <row r="510" spans="1:7" x14ac:dyDescent="0.3">
      <c r="A510">
        <v>509</v>
      </c>
      <c r="B510">
        <f>'Newton-Miller_RAW'!B510</f>
        <v>130</v>
      </c>
      <c r="C510">
        <f>'Newton-Miller_RAW'!C510</f>
        <v>150</v>
      </c>
      <c r="D510">
        <f>VLOOKUP('Newton-Miller_RAW'!D510,'Newton-Miller_Convert'!$I$1:$J$6,2,FALSE)</f>
        <v>0.25</v>
      </c>
      <c r="E510">
        <f>VLOOKUP('Newton-Miller_RAW'!E510,'Newton-Miller_Convert'!$I$1:$J$6,2,FALSE)</f>
        <v>0.25</v>
      </c>
      <c r="F510">
        <f t="shared" si="14"/>
        <v>0.25</v>
      </c>
      <c r="G510">
        <f t="shared" si="15"/>
        <v>0</v>
      </c>
    </row>
    <row r="511" spans="1:7" x14ac:dyDescent="0.3">
      <c r="A511">
        <v>510</v>
      </c>
      <c r="B511">
        <f>'Newton-Miller_RAW'!B511</f>
        <v>100</v>
      </c>
      <c r="C511">
        <f>'Newton-Miller_RAW'!C511</f>
        <v>150</v>
      </c>
      <c r="D511">
        <f>VLOOKUP('Newton-Miller_RAW'!D511,'Newton-Miller_Convert'!$I$1:$J$6,2,FALSE)</f>
        <v>0.25</v>
      </c>
      <c r="E511">
        <f>VLOOKUP('Newton-Miller_RAW'!E511,'Newton-Miller_Convert'!$I$1:$J$6,2,FALSE)</f>
        <v>0.1</v>
      </c>
      <c r="F511">
        <f t="shared" si="14"/>
        <v>0.1</v>
      </c>
      <c r="G511">
        <f t="shared" si="15"/>
        <v>0.15</v>
      </c>
    </row>
    <row r="512" spans="1:7" x14ac:dyDescent="0.3">
      <c r="A512">
        <v>511</v>
      </c>
      <c r="B512">
        <f>'Newton-Miller_RAW'!B512</f>
        <v>100</v>
      </c>
      <c r="C512">
        <f>'Newton-Miller_RAW'!C512</f>
        <v>150</v>
      </c>
      <c r="D512">
        <f>VLOOKUP('Newton-Miller_RAW'!D512,'Newton-Miller_Convert'!$I$1:$J$6,2,FALSE)</f>
        <v>0.25</v>
      </c>
      <c r="E512">
        <f>VLOOKUP('Newton-Miller_RAW'!E512,'Newton-Miller_Convert'!$I$1:$J$6,2,FALSE)</f>
        <v>0.1</v>
      </c>
      <c r="F512">
        <f t="shared" si="14"/>
        <v>0.1</v>
      </c>
      <c r="G512">
        <f t="shared" si="15"/>
        <v>0.15</v>
      </c>
    </row>
    <row r="513" spans="1:7" x14ac:dyDescent="0.3">
      <c r="A513">
        <v>512</v>
      </c>
      <c r="B513">
        <f>'Newton-Miller_RAW'!B513</f>
        <v>100</v>
      </c>
      <c r="C513">
        <f>'Newton-Miller_RAW'!C513</f>
        <v>150</v>
      </c>
      <c r="D513">
        <f>VLOOKUP('Newton-Miller_RAW'!D513,'Newton-Miller_Convert'!$I$1:$J$6,2,FALSE)</f>
        <v>0.75</v>
      </c>
      <c r="E513">
        <f>VLOOKUP('Newton-Miller_RAW'!E513,'Newton-Miller_Convert'!$I$1:$J$6,2,FALSE)</f>
        <v>0.25</v>
      </c>
      <c r="F513">
        <f t="shared" si="14"/>
        <v>0.25</v>
      </c>
      <c r="G513">
        <f t="shared" si="15"/>
        <v>0.5</v>
      </c>
    </row>
    <row r="514" spans="1:7" x14ac:dyDescent="0.3">
      <c r="A514">
        <v>513</v>
      </c>
      <c r="B514">
        <f>'Newton-Miller_RAW'!B514</f>
        <v>300</v>
      </c>
      <c r="C514">
        <f>'Newton-Miller_RAW'!C514</f>
        <v>400</v>
      </c>
      <c r="D514">
        <f>VLOOKUP('Newton-Miller_RAW'!D514,'Newton-Miller_Convert'!$I$1:$J$6,2,FALSE)</f>
        <v>0.75</v>
      </c>
      <c r="E514">
        <f>VLOOKUP('Newton-Miller_RAW'!E514,'Newton-Miller_Convert'!$I$1:$J$6,2,FALSE)</f>
        <v>0.25</v>
      </c>
      <c r="F514">
        <f t="shared" si="14"/>
        <v>0.25</v>
      </c>
      <c r="G514">
        <f t="shared" si="15"/>
        <v>0.5</v>
      </c>
    </row>
    <row r="515" spans="1:7" x14ac:dyDescent="0.3">
      <c r="A515">
        <v>514</v>
      </c>
      <c r="B515">
        <f>'Newton-Miller_RAW'!B515</f>
        <v>299</v>
      </c>
      <c r="C515">
        <f>'Newton-Miller_RAW'!C515</f>
        <v>350</v>
      </c>
      <c r="D515">
        <f>VLOOKUP('Newton-Miller_RAW'!D515,'Newton-Miller_Convert'!$I$1:$J$6,2,FALSE)</f>
        <v>0.75</v>
      </c>
      <c r="E515">
        <f>VLOOKUP('Newton-Miller_RAW'!E515,'Newton-Miller_Convert'!$I$1:$J$6,2,FALSE)</f>
        <v>0.25</v>
      </c>
      <c r="F515">
        <f t="shared" ref="F515:F578" si="16">IF(E515&gt;D515,D515,E515)</f>
        <v>0.25</v>
      </c>
      <c r="G515">
        <f t="shared" ref="G515:G578" si="17">D515-F515</f>
        <v>0.5</v>
      </c>
    </row>
    <row r="516" spans="1:7" x14ac:dyDescent="0.3">
      <c r="A516">
        <v>515</v>
      </c>
      <c r="B516">
        <f>'Newton-Miller_RAW'!B516</f>
        <v>300</v>
      </c>
      <c r="C516">
        <f>'Newton-Miller_RAW'!C516</f>
        <v>320</v>
      </c>
      <c r="D516">
        <f>VLOOKUP('Newton-Miller_RAW'!D516,'Newton-Miller_Convert'!$I$1:$J$6,2,FALSE)</f>
        <v>0.75</v>
      </c>
      <c r="E516">
        <f>VLOOKUP('Newton-Miller_RAW'!E516,'Newton-Miller_Convert'!$I$1:$J$6,2,FALSE)</f>
        <v>0.75</v>
      </c>
      <c r="F516">
        <f t="shared" si="16"/>
        <v>0.75</v>
      </c>
      <c r="G516">
        <f t="shared" si="17"/>
        <v>0</v>
      </c>
    </row>
    <row r="517" spans="1:7" x14ac:dyDescent="0.3">
      <c r="A517">
        <v>516</v>
      </c>
      <c r="B517">
        <f>'Newton-Miller_RAW'!B517</f>
        <v>250</v>
      </c>
      <c r="C517">
        <f>'Newton-Miller_RAW'!C517</f>
        <v>290</v>
      </c>
      <c r="D517">
        <f>VLOOKUP('Newton-Miller_RAW'!D517,'Newton-Miller_Convert'!$I$1:$J$6,2,FALSE)</f>
        <v>0.75</v>
      </c>
      <c r="E517">
        <f>VLOOKUP('Newton-Miller_RAW'!E517,'Newton-Miller_Convert'!$I$1:$J$6,2,FALSE)</f>
        <v>0.1</v>
      </c>
      <c r="F517">
        <f t="shared" si="16"/>
        <v>0.1</v>
      </c>
      <c r="G517">
        <f t="shared" si="17"/>
        <v>0.65</v>
      </c>
    </row>
    <row r="518" spans="1:7" x14ac:dyDescent="0.3">
      <c r="A518">
        <v>517</v>
      </c>
      <c r="B518">
        <f>'Newton-Miller_RAW'!B518</f>
        <v>99</v>
      </c>
      <c r="C518">
        <f>'Newton-Miller_RAW'!C518</f>
        <v>130</v>
      </c>
      <c r="D518">
        <f>VLOOKUP('Newton-Miller_RAW'!D518,'Newton-Miller_Convert'!$I$1:$J$6,2,FALSE)</f>
        <v>0.1</v>
      </c>
      <c r="E518">
        <f>VLOOKUP('Newton-Miller_RAW'!E518,'Newton-Miller_Convert'!$I$1:$J$6,2,FALSE)</f>
        <v>0.1</v>
      </c>
      <c r="F518">
        <f t="shared" si="16"/>
        <v>0.1</v>
      </c>
      <c r="G518">
        <f t="shared" si="17"/>
        <v>0</v>
      </c>
    </row>
    <row r="519" spans="1:7" x14ac:dyDescent="0.3">
      <c r="A519">
        <v>518</v>
      </c>
      <c r="B519">
        <f>'Newton-Miller_RAW'!B519</f>
        <v>150</v>
      </c>
      <c r="C519">
        <f>'Newton-Miller_RAW'!C519</f>
        <v>198</v>
      </c>
      <c r="D519">
        <f>VLOOKUP('Newton-Miller_RAW'!D519,'Newton-Miller_Convert'!$I$1:$J$6,2,FALSE)</f>
        <v>0.1</v>
      </c>
      <c r="E519">
        <f>VLOOKUP('Newton-Miller_RAW'!E519,'Newton-Miller_Convert'!$I$1:$J$6,2,FALSE)</f>
        <v>0</v>
      </c>
      <c r="F519">
        <f t="shared" si="16"/>
        <v>0</v>
      </c>
      <c r="G519">
        <f t="shared" si="17"/>
        <v>0.1</v>
      </c>
    </row>
    <row r="520" spans="1:7" x14ac:dyDescent="0.3">
      <c r="A520">
        <v>519</v>
      </c>
      <c r="B520">
        <f>'Newton-Miller_RAW'!B520</f>
        <v>350</v>
      </c>
      <c r="C520">
        <f>'Newton-Miller_RAW'!C520</f>
        <v>550</v>
      </c>
      <c r="D520">
        <f>VLOOKUP('Newton-Miller_RAW'!D520,'Newton-Miller_Convert'!$I$1:$J$6,2,FALSE)</f>
        <v>0.75</v>
      </c>
      <c r="E520">
        <f>VLOOKUP('Newton-Miller_RAW'!E520,'Newton-Miller_Convert'!$I$1:$J$6,2,FALSE)</f>
        <v>0.1</v>
      </c>
      <c r="F520">
        <f t="shared" si="16"/>
        <v>0.1</v>
      </c>
      <c r="G520">
        <f t="shared" si="17"/>
        <v>0.65</v>
      </c>
    </row>
    <row r="521" spans="1:7" x14ac:dyDescent="0.3">
      <c r="A521">
        <v>520</v>
      </c>
      <c r="B521">
        <f>'Newton-Miller_RAW'!B521</f>
        <v>100</v>
      </c>
      <c r="C521">
        <f>'Newton-Miller_RAW'!C521</f>
        <v>200</v>
      </c>
      <c r="D521">
        <f>VLOOKUP('Newton-Miller_RAW'!D521,'Newton-Miller_Convert'!$I$1:$J$6,2,FALSE)</f>
        <v>0.1</v>
      </c>
      <c r="E521">
        <f>VLOOKUP('Newton-Miller_RAW'!E521,'Newton-Miller_Convert'!$I$1:$J$6,2,FALSE)</f>
        <v>0.1</v>
      </c>
      <c r="F521">
        <f t="shared" si="16"/>
        <v>0.1</v>
      </c>
      <c r="G521">
        <f t="shared" si="17"/>
        <v>0</v>
      </c>
    </row>
    <row r="522" spans="1:7" x14ac:dyDescent="0.3">
      <c r="A522">
        <v>521</v>
      </c>
      <c r="B522">
        <f>'Newton-Miller_RAW'!B522</f>
        <v>99</v>
      </c>
      <c r="C522">
        <f>'Newton-Miller_RAW'!C522</f>
        <v>120</v>
      </c>
      <c r="D522">
        <f>VLOOKUP('Newton-Miller_RAW'!D522,'Newton-Miller_Convert'!$I$1:$J$6,2,FALSE)</f>
        <v>0.25</v>
      </c>
      <c r="E522">
        <f>VLOOKUP('Newton-Miller_RAW'!E522,'Newton-Miller_Convert'!$I$1:$J$6,2,FALSE)</f>
        <v>0.25</v>
      </c>
      <c r="F522">
        <f t="shared" si="16"/>
        <v>0.25</v>
      </c>
      <c r="G522">
        <f t="shared" si="17"/>
        <v>0</v>
      </c>
    </row>
    <row r="523" spans="1:7" x14ac:dyDescent="0.3">
      <c r="A523">
        <v>522</v>
      </c>
      <c r="B523">
        <f>'Newton-Miller_RAW'!B523</f>
        <v>200</v>
      </c>
      <c r="C523">
        <f>'Newton-Miller_RAW'!C523</f>
        <v>300</v>
      </c>
      <c r="D523">
        <f>VLOOKUP('Newton-Miller_RAW'!D523,'Newton-Miller_Convert'!$I$1:$J$6,2,FALSE)</f>
        <v>0.75</v>
      </c>
      <c r="E523">
        <f>VLOOKUP('Newton-Miller_RAW'!E523,'Newton-Miller_Convert'!$I$1:$J$6,2,FALSE)</f>
        <v>0.25</v>
      </c>
      <c r="F523">
        <f t="shared" si="16"/>
        <v>0.25</v>
      </c>
      <c r="G523">
        <f t="shared" si="17"/>
        <v>0.5</v>
      </c>
    </row>
    <row r="524" spans="1:7" x14ac:dyDescent="0.3">
      <c r="A524">
        <v>523</v>
      </c>
      <c r="B524">
        <f>'Newton-Miller_RAW'!B524</f>
        <v>300</v>
      </c>
      <c r="C524">
        <f>'Newton-Miller_RAW'!C524</f>
        <v>340</v>
      </c>
      <c r="D524">
        <f>VLOOKUP('Newton-Miller_RAW'!D524,'Newton-Miller_Convert'!$I$1:$J$6,2,FALSE)</f>
        <v>0.25</v>
      </c>
      <c r="E524">
        <f>VLOOKUP('Newton-Miller_RAW'!E524,'Newton-Miller_Convert'!$I$1:$J$6,2,FALSE)</f>
        <v>0.1</v>
      </c>
      <c r="F524">
        <f t="shared" si="16"/>
        <v>0.1</v>
      </c>
      <c r="G524">
        <f t="shared" si="17"/>
        <v>0.15</v>
      </c>
    </row>
    <row r="525" spans="1:7" x14ac:dyDescent="0.3">
      <c r="A525">
        <v>524</v>
      </c>
      <c r="B525">
        <f>'Newton-Miller_RAW'!B525</f>
        <v>200</v>
      </c>
      <c r="C525">
        <f>'Newton-Miller_RAW'!C525</f>
        <v>300</v>
      </c>
      <c r="D525">
        <f>VLOOKUP('Newton-Miller_RAW'!D525,'Newton-Miller_Convert'!$I$1:$J$6,2,FALSE)</f>
        <v>0.25</v>
      </c>
      <c r="E525">
        <f>VLOOKUP('Newton-Miller_RAW'!E525,'Newton-Miller_Convert'!$I$1:$J$6,2,FALSE)</f>
        <v>0.25</v>
      </c>
      <c r="F525">
        <f t="shared" si="16"/>
        <v>0.25</v>
      </c>
      <c r="G525">
        <f t="shared" si="17"/>
        <v>0</v>
      </c>
    </row>
    <row r="526" spans="1:7" x14ac:dyDescent="0.3">
      <c r="A526">
        <v>525</v>
      </c>
      <c r="B526">
        <f>'Newton-Miller_RAW'!B526</f>
        <v>200</v>
      </c>
      <c r="C526">
        <f>'Newton-Miller_RAW'!C526</f>
        <v>230</v>
      </c>
      <c r="D526">
        <f>VLOOKUP('Newton-Miller_RAW'!D526,'Newton-Miller_Convert'!$I$1:$J$6,2,FALSE)</f>
        <v>0.75</v>
      </c>
      <c r="E526">
        <f>VLOOKUP('Newton-Miller_RAW'!E526,'Newton-Miller_Convert'!$I$1:$J$6,2,FALSE)</f>
        <v>0.25</v>
      </c>
      <c r="F526">
        <f t="shared" si="16"/>
        <v>0.25</v>
      </c>
      <c r="G526">
        <f t="shared" si="17"/>
        <v>0.5</v>
      </c>
    </row>
    <row r="527" spans="1:7" x14ac:dyDescent="0.3">
      <c r="A527">
        <v>526</v>
      </c>
      <c r="B527">
        <f>'Newton-Miller_RAW'!B527</f>
        <v>300</v>
      </c>
      <c r="C527">
        <f>'Newton-Miller_RAW'!C527</f>
        <v>400</v>
      </c>
      <c r="D527">
        <f>VLOOKUP('Newton-Miller_RAW'!D527,'Newton-Miller_Convert'!$I$1:$J$6,2,FALSE)</f>
        <v>0.75</v>
      </c>
      <c r="E527">
        <f>VLOOKUP('Newton-Miller_RAW'!E527,'Newton-Miller_Convert'!$I$1:$J$6,2,FALSE)</f>
        <v>0.1</v>
      </c>
      <c r="F527">
        <f t="shared" si="16"/>
        <v>0.1</v>
      </c>
      <c r="G527">
        <f t="shared" si="17"/>
        <v>0.65</v>
      </c>
    </row>
    <row r="528" spans="1:7" x14ac:dyDescent="0.3">
      <c r="A528">
        <v>527</v>
      </c>
      <c r="B528">
        <f>'Newton-Miller_RAW'!B528</f>
        <v>200</v>
      </c>
      <c r="C528">
        <f>'Newton-Miller_RAW'!C528</f>
        <v>230</v>
      </c>
      <c r="D528">
        <f>VLOOKUP('Newton-Miller_RAW'!D528,'Newton-Miller_Convert'!$I$1:$J$6,2,FALSE)</f>
        <v>0.25</v>
      </c>
      <c r="E528">
        <f>VLOOKUP('Newton-Miller_RAW'!E528,'Newton-Miller_Convert'!$I$1:$J$6,2,FALSE)</f>
        <v>0</v>
      </c>
      <c r="F528">
        <f t="shared" si="16"/>
        <v>0</v>
      </c>
      <c r="G528">
        <f t="shared" si="17"/>
        <v>0.25</v>
      </c>
    </row>
    <row r="529" spans="1:7" x14ac:dyDescent="0.3">
      <c r="A529">
        <v>528</v>
      </c>
      <c r="B529">
        <f>'Newton-Miller_RAW'!B529</f>
        <v>240</v>
      </c>
      <c r="C529">
        <f>'Newton-Miller_RAW'!C529</f>
        <v>250</v>
      </c>
      <c r="D529">
        <f>VLOOKUP('Newton-Miller_RAW'!D529,'Newton-Miller_Convert'!$I$1:$J$6,2,FALSE)</f>
        <v>0.25</v>
      </c>
      <c r="E529">
        <f>VLOOKUP('Newton-Miller_RAW'!E529,'Newton-Miller_Convert'!$I$1:$J$6,2,FALSE)</f>
        <v>0.25</v>
      </c>
      <c r="F529">
        <f t="shared" si="16"/>
        <v>0.25</v>
      </c>
      <c r="G529">
        <f t="shared" si="17"/>
        <v>0</v>
      </c>
    </row>
    <row r="530" spans="1:7" x14ac:dyDescent="0.3">
      <c r="A530">
        <v>529</v>
      </c>
      <c r="B530">
        <f>'Newton-Miller_RAW'!B530</f>
        <v>19</v>
      </c>
      <c r="C530">
        <f>'Newton-Miller_RAW'!C530</f>
        <v>197</v>
      </c>
      <c r="D530">
        <f>VLOOKUP('Newton-Miller_RAW'!D530,'Newton-Miller_Convert'!$I$1:$J$6,2,FALSE)</f>
        <v>0</v>
      </c>
      <c r="E530">
        <f>VLOOKUP('Newton-Miller_RAW'!E530,'Newton-Miller_Convert'!$I$1:$J$6,2,FALSE)</f>
        <v>0</v>
      </c>
      <c r="F530">
        <f t="shared" si="16"/>
        <v>0</v>
      </c>
      <c r="G530">
        <f t="shared" si="17"/>
        <v>0</v>
      </c>
    </row>
    <row r="531" spans="1:7" x14ac:dyDescent="0.3">
      <c r="A531">
        <v>530</v>
      </c>
      <c r="B531">
        <f>'Newton-Miller_RAW'!B531</f>
        <v>35</v>
      </c>
      <c r="C531">
        <f>'Newton-Miller_RAW'!C531</f>
        <v>180</v>
      </c>
      <c r="D531">
        <f>VLOOKUP('Newton-Miller_RAW'!D531,'Newton-Miller_Convert'!$I$1:$J$6,2,FALSE)</f>
        <v>0.25</v>
      </c>
      <c r="E531">
        <f>VLOOKUP('Newton-Miller_RAW'!E531,'Newton-Miller_Convert'!$I$1:$J$6,2,FALSE)</f>
        <v>0</v>
      </c>
      <c r="F531">
        <f t="shared" si="16"/>
        <v>0</v>
      </c>
      <c r="G531">
        <f t="shared" si="17"/>
        <v>0.25</v>
      </c>
    </row>
    <row r="532" spans="1:7" x14ac:dyDescent="0.3">
      <c r="A532">
        <v>531</v>
      </c>
      <c r="B532">
        <f>'Newton-Miller_RAW'!B532</f>
        <v>100</v>
      </c>
      <c r="C532">
        <f>'Newton-Miller_RAW'!C532</f>
        <v>150</v>
      </c>
      <c r="D532">
        <f>VLOOKUP('Newton-Miller_RAW'!D532,'Newton-Miller_Convert'!$I$1:$J$6,2,FALSE)</f>
        <v>0.1</v>
      </c>
      <c r="E532">
        <f>VLOOKUP('Newton-Miller_RAW'!E532,'Newton-Miller_Convert'!$I$1:$J$6,2,FALSE)</f>
        <v>0.25</v>
      </c>
      <c r="F532">
        <f t="shared" si="16"/>
        <v>0.1</v>
      </c>
      <c r="G532">
        <f t="shared" si="17"/>
        <v>0</v>
      </c>
    </row>
    <row r="533" spans="1:7" x14ac:dyDescent="0.3">
      <c r="A533">
        <v>532</v>
      </c>
      <c r="B533">
        <f>'Newton-Miller_RAW'!B533</f>
        <v>56</v>
      </c>
      <c r="C533">
        <f>'Newton-Miller_RAW'!C533</f>
        <v>250</v>
      </c>
      <c r="D533">
        <f>VLOOKUP('Newton-Miller_RAW'!D533,'Newton-Miller_Convert'!$I$1:$J$6,2,FALSE)</f>
        <v>0.75</v>
      </c>
      <c r="E533">
        <f>VLOOKUP('Newton-Miller_RAW'!E533,'Newton-Miller_Convert'!$I$1:$J$6,2,FALSE)</f>
        <v>0.75</v>
      </c>
      <c r="F533">
        <f t="shared" si="16"/>
        <v>0.75</v>
      </c>
      <c r="G533">
        <f t="shared" si="17"/>
        <v>0</v>
      </c>
    </row>
    <row r="534" spans="1:7" x14ac:dyDescent="0.3">
      <c r="A534">
        <v>533</v>
      </c>
      <c r="B534">
        <f>'Newton-Miller_RAW'!B534</f>
        <v>200</v>
      </c>
      <c r="C534">
        <f>'Newton-Miller_RAW'!C534</f>
        <v>250</v>
      </c>
      <c r="D534">
        <f>VLOOKUP('Newton-Miller_RAW'!D534,'Newton-Miller_Convert'!$I$1:$J$6,2,FALSE)</f>
        <v>0.75</v>
      </c>
      <c r="E534">
        <f>VLOOKUP('Newton-Miller_RAW'!E534,'Newton-Miller_Convert'!$I$1:$J$6,2,FALSE)</f>
        <v>0.25</v>
      </c>
      <c r="F534">
        <f t="shared" si="16"/>
        <v>0.25</v>
      </c>
      <c r="G534">
        <f t="shared" si="17"/>
        <v>0.5</v>
      </c>
    </row>
    <row r="535" spans="1:7" x14ac:dyDescent="0.3">
      <c r="A535">
        <v>534</v>
      </c>
      <c r="B535">
        <f>'Newton-Miller_RAW'!B535</f>
        <v>350</v>
      </c>
      <c r="C535">
        <f>'Newton-Miller_RAW'!C535</f>
        <v>450</v>
      </c>
      <c r="D535">
        <f>VLOOKUP('Newton-Miller_RAW'!D535,'Newton-Miller_Convert'!$I$1:$J$6,2,FALSE)</f>
        <v>0.1</v>
      </c>
      <c r="E535">
        <f>VLOOKUP('Newton-Miller_RAW'!E535,'Newton-Miller_Convert'!$I$1:$J$6,2,FALSE)</f>
        <v>0</v>
      </c>
      <c r="F535">
        <f t="shared" si="16"/>
        <v>0</v>
      </c>
      <c r="G535">
        <f t="shared" si="17"/>
        <v>0.1</v>
      </c>
    </row>
    <row r="536" spans="1:7" x14ac:dyDescent="0.3">
      <c r="A536">
        <v>535</v>
      </c>
      <c r="B536">
        <f>'Newton-Miller_RAW'!B536</f>
        <v>150</v>
      </c>
      <c r="C536">
        <f>'Newton-Miller_RAW'!C536</f>
        <v>180</v>
      </c>
      <c r="D536">
        <f>VLOOKUP('Newton-Miller_RAW'!D536,'Newton-Miller_Convert'!$I$1:$J$6,2,FALSE)</f>
        <v>0</v>
      </c>
      <c r="E536">
        <f>VLOOKUP('Newton-Miller_RAW'!E536,'Newton-Miller_Convert'!$I$1:$J$6,2,FALSE)</f>
        <v>0</v>
      </c>
      <c r="F536">
        <f t="shared" si="16"/>
        <v>0</v>
      </c>
      <c r="G536">
        <f t="shared" si="17"/>
        <v>0</v>
      </c>
    </row>
    <row r="537" spans="1:7" x14ac:dyDescent="0.3">
      <c r="A537">
        <v>536</v>
      </c>
      <c r="B537">
        <f>'Newton-Miller_RAW'!B537</f>
        <v>280</v>
      </c>
      <c r="C537">
        <f>'Newton-Miller_RAW'!C537</f>
        <v>350</v>
      </c>
      <c r="D537">
        <f>VLOOKUP('Newton-Miller_RAW'!D537,'Newton-Miller_Convert'!$I$1:$J$6,2,FALSE)</f>
        <v>0.25</v>
      </c>
      <c r="E537">
        <f>VLOOKUP('Newton-Miller_RAW'!E537,'Newton-Miller_Convert'!$I$1:$J$6,2,FALSE)</f>
        <v>0.1</v>
      </c>
      <c r="F537">
        <f t="shared" si="16"/>
        <v>0.1</v>
      </c>
      <c r="G537">
        <f t="shared" si="17"/>
        <v>0.15</v>
      </c>
    </row>
    <row r="538" spans="1:7" x14ac:dyDescent="0.3">
      <c r="A538">
        <v>537</v>
      </c>
      <c r="B538">
        <f>'Newton-Miller_RAW'!B538</f>
        <v>200</v>
      </c>
      <c r="C538">
        <f>'Newton-Miller_RAW'!C538</f>
        <v>250</v>
      </c>
      <c r="D538">
        <f>VLOOKUP('Newton-Miller_RAW'!D538,'Newton-Miller_Convert'!$I$1:$J$6,2,FALSE)</f>
        <v>0.75</v>
      </c>
      <c r="E538">
        <f>VLOOKUP('Newton-Miller_RAW'!E538,'Newton-Miller_Convert'!$I$1:$J$6,2,FALSE)</f>
        <v>0.75</v>
      </c>
      <c r="F538">
        <f t="shared" si="16"/>
        <v>0.75</v>
      </c>
      <c r="G538">
        <f t="shared" si="17"/>
        <v>0</v>
      </c>
    </row>
    <row r="539" spans="1:7" x14ac:dyDescent="0.3">
      <c r="A539">
        <v>538</v>
      </c>
      <c r="B539">
        <f>'Newton-Miller_RAW'!B539</f>
        <v>210</v>
      </c>
      <c r="C539">
        <f>'Newton-Miller_RAW'!C539</f>
        <v>250</v>
      </c>
      <c r="D539">
        <f>VLOOKUP('Newton-Miller_RAW'!D539,'Newton-Miller_Convert'!$I$1:$J$6,2,FALSE)</f>
        <v>0.1</v>
      </c>
      <c r="E539">
        <f>VLOOKUP('Newton-Miller_RAW'!E539,'Newton-Miller_Convert'!$I$1:$J$6,2,FALSE)</f>
        <v>0</v>
      </c>
      <c r="F539">
        <f t="shared" si="16"/>
        <v>0</v>
      </c>
      <c r="G539">
        <f t="shared" si="17"/>
        <v>0.1</v>
      </c>
    </row>
    <row r="540" spans="1:7" x14ac:dyDescent="0.3">
      <c r="A540">
        <v>539</v>
      </c>
      <c r="B540">
        <f>'Newton-Miller_RAW'!B540</f>
        <v>320</v>
      </c>
      <c r="C540">
        <f>'Newton-Miller_RAW'!C540</f>
        <v>350</v>
      </c>
      <c r="D540">
        <f>VLOOKUP('Newton-Miller_RAW'!D540,'Newton-Miller_Convert'!$I$1:$J$6,2,FALSE)</f>
        <v>0.75</v>
      </c>
      <c r="E540">
        <f>VLOOKUP('Newton-Miller_RAW'!E540,'Newton-Miller_Convert'!$I$1:$J$6,2,FALSE)</f>
        <v>0.75</v>
      </c>
      <c r="F540">
        <f t="shared" si="16"/>
        <v>0.75</v>
      </c>
      <c r="G540">
        <f t="shared" si="17"/>
        <v>0</v>
      </c>
    </row>
    <row r="541" spans="1:7" x14ac:dyDescent="0.3">
      <c r="A541">
        <v>540</v>
      </c>
      <c r="B541">
        <f>'Newton-Miller_RAW'!B541</f>
        <v>250</v>
      </c>
      <c r="C541">
        <f>'Newton-Miller_RAW'!C541</f>
        <v>300</v>
      </c>
      <c r="D541">
        <f>VLOOKUP('Newton-Miller_RAW'!D541,'Newton-Miller_Convert'!$I$1:$J$6,2,FALSE)</f>
        <v>0.75</v>
      </c>
      <c r="E541">
        <f>VLOOKUP('Newton-Miller_RAW'!E541,'Newton-Miller_Convert'!$I$1:$J$6,2,FALSE)</f>
        <v>0.1</v>
      </c>
      <c r="F541">
        <f t="shared" si="16"/>
        <v>0.1</v>
      </c>
      <c r="G541">
        <f t="shared" si="17"/>
        <v>0.65</v>
      </c>
    </row>
    <row r="542" spans="1:7" x14ac:dyDescent="0.3">
      <c r="A542">
        <v>541</v>
      </c>
      <c r="B542">
        <f>'Newton-Miller_RAW'!B542</f>
        <v>80</v>
      </c>
      <c r="C542">
        <f>'Newton-Miller_RAW'!C542</f>
        <v>150</v>
      </c>
      <c r="D542">
        <f>VLOOKUP('Newton-Miller_RAW'!D542,'Newton-Miller_Convert'!$I$1:$J$6,2,FALSE)</f>
        <v>0.75</v>
      </c>
      <c r="E542">
        <f>VLOOKUP('Newton-Miller_RAW'!E542,'Newton-Miller_Convert'!$I$1:$J$6,2,FALSE)</f>
        <v>0.25</v>
      </c>
      <c r="F542">
        <f t="shared" si="16"/>
        <v>0.25</v>
      </c>
      <c r="G542">
        <f t="shared" si="17"/>
        <v>0.5</v>
      </c>
    </row>
    <row r="543" spans="1:7" x14ac:dyDescent="0.3">
      <c r="A543">
        <v>542</v>
      </c>
      <c r="B543">
        <f>'Newton-Miller_RAW'!B543</f>
        <v>200</v>
      </c>
      <c r="C543">
        <f>'Newton-Miller_RAW'!C543</f>
        <v>270</v>
      </c>
      <c r="D543">
        <f>VLOOKUP('Newton-Miller_RAW'!D543,'Newton-Miller_Convert'!$I$1:$J$6,2,FALSE)</f>
        <v>0.75</v>
      </c>
      <c r="E543">
        <f>VLOOKUP('Newton-Miller_RAW'!E543,'Newton-Miller_Convert'!$I$1:$J$6,2,FALSE)</f>
        <v>0.1</v>
      </c>
      <c r="F543">
        <f t="shared" si="16"/>
        <v>0.1</v>
      </c>
      <c r="G543">
        <f t="shared" si="17"/>
        <v>0.65</v>
      </c>
    </row>
    <row r="544" spans="1:7" x14ac:dyDescent="0.3">
      <c r="A544">
        <v>543</v>
      </c>
      <c r="B544">
        <f>'Newton-Miller_RAW'!B544</f>
        <v>150</v>
      </c>
      <c r="C544">
        <f>'Newton-Miller_RAW'!C544</f>
        <v>200</v>
      </c>
      <c r="D544">
        <f>VLOOKUP('Newton-Miller_RAW'!D544,'Newton-Miller_Convert'!$I$1:$J$6,2,FALSE)</f>
        <v>0.75</v>
      </c>
      <c r="E544">
        <f>VLOOKUP('Newton-Miller_RAW'!E544,'Newton-Miller_Convert'!$I$1:$J$6,2,FALSE)</f>
        <v>0.25</v>
      </c>
      <c r="F544">
        <f t="shared" si="16"/>
        <v>0.25</v>
      </c>
      <c r="G544">
        <f t="shared" si="17"/>
        <v>0.5</v>
      </c>
    </row>
    <row r="545" spans="1:7" x14ac:dyDescent="0.3">
      <c r="A545">
        <v>544</v>
      </c>
      <c r="B545">
        <f>'Newton-Miller_RAW'!B545</f>
        <v>100</v>
      </c>
      <c r="C545">
        <f>'Newton-Miller_RAW'!C545</f>
        <v>140</v>
      </c>
      <c r="D545">
        <f>VLOOKUP('Newton-Miller_RAW'!D545,'Newton-Miller_Convert'!$I$1:$J$6,2,FALSE)</f>
        <v>0.25</v>
      </c>
      <c r="E545">
        <f>VLOOKUP('Newton-Miller_RAW'!E545,'Newton-Miller_Convert'!$I$1:$J$6,2,FALSE)</f>
        <v>0.25</v>
      </c>
      <c r="F545">
        <f t="shared" si="16"/>
        <v>0.25</v>
      </c>
      <c r="G545">
        <f t="shared" si="17"/>
        <v>0</v>
      </c>
    </row>
    <row r="546" spans="1:7" x14ac:dyDescent="0.3">
      <c r="A546">
        <v>545</v>
      </c>
      <c r="B546">
        <f>'Newton-Miller_RAW'!B546</f>
        <v>150</v>
      </c>
      <c r="C546">
        <f>'Newton-Miller_RAW'!C546</f>
        <v>180</v>
      </c>
      <c r="D546">
        <f>VLOOKUP('Newton-Miller_RAW'!D546,'Newton-Miller_Convert'!$I$1:$J$6,2,FALSE)</f>
        <v>0.25</v>
      </c>
      <c r="E546">
        <f>VLOOKUP('Newton-Miller_RAW'!E546,'Newton-Miller_Convert'!$I$1:$J$6,2,FALSE)</f>
        <v>0.25</v>
      </c>
      <c r="F546">
        <f t="shared" si="16"/>
        <v>0.25</v>
      </c>
      <c r="G546">
        <f t="shared" si="17"/>
        <v>0</v>
      </c>
    </row>
    <row r="547" spans="1:7" x14ac:dyDescent="0.3">
      <c r="A547">
        <v>546</v>
      </c>
      <c r="B547">
        <f>'Newton-Miller_RAW'!B547</f>
        <v>100</v>
      </c>
      <c r="C547">
        <f>'Newton-Miller_RAW'!C547</f>
        <v>130</v>
      </c>
      <c r="D547">
        <f>VLOOKUP('Newton-Miller_RAW'!D547,'Newton-Miller_Convert'!$I$1:$J$6,2,FALSE)</f>
        <v>0.25</v>
      </c>
      <c r="E547">
        <f>VLOOKUP('Newton-Miller_RAW'!E547,'Newton-Miller_Convert'!$I$1:$J$6,2,FALSE)</f>
        <v>0.1</v>
      </c>
      <c r="F547">
        <f t="shared" si="16"/>
        <v>0.1</v>
      </c>
      <c r="G547">
        <f t="shared" si="17"/>
        <v>0.15</v>
      </c>
    </row>
    <row r="548" spans="1:7" x14ac:dyDescent="0.3">
      <c r="A548">
        <v>547</v>
      </c>
      <c r="B548">
        <f>'Newton-Miller_RAW'!B548</f>
        <v>230</v>
      </c>
      <c r="C548">
        <f>'Newton-Miller_RAW'!C548</f>
        <v>280</v>
      </c>
      <c r="D548">
        <f>VLOOKUP('Newton-Miller_RAW'!D548,'Newton-Miller_Convert'!$I$1:$J$6,2,FALSE)</f>
        <v>0.75</v>
      </c>
      <c r="E548">
        <f>VLOOKUP('Newton-Miller_RAW'!E548,'Newton-Miller_Convert'!$I$1:$J$6,2,FALSE)</f>
        <v>0.1</v>
      </c>
      <c r="F548">
        <f t="shared" si="16"/>
        <v>0.1</v>
      </c>
      <c r="G548">
        <f t="shared" si="17"/>
        <v>0.65</v>
      </c>
    </row>
    <row r="549" spans="1:7" x14ac:dyDescent="0.3">
      <c r="A549">
        <v>548</v>
      </c>
      <c r="B549">
        <f>'Newton-Miller_RAW'!B549</f>
        <v>80</v>
      </c>
      <c r="C549">
        <f>'Newton-Miller_RAW'!C549</f>
        <v>100</v>
      </c>
      <c r="D549">
        <f>VLOOKUP('Newton-Miller_RAW'!D549,'Newton-Miller_Convert'!$I$1:$J$6,2,FALSE)</f>
        <v>0.1</v>
      </c>
      <c r="E549">
        <f>VLOOKUP('Newton-Miller_RAW'!E549,'Newton-Miller_Convert'!$I$1:$J$6,2,FALSE)</f>
        <v>0.1</v>
      </c>
      <c r="F549">
        <f t="shared" si="16"/>
        <v>0.1</v>
      </c>
      <c r="G549">
        <f t="shared" si="17"/>
        <v>0</v>
      </c>
    </row>
    <row r="550" spans="1:7" x14ac:dyDescent="0.3">
      <c r="A550">
        <v>549</v>
      </c>
      <c r="B550">
        <f>'Newton-Miller_RAW'!B550</f>
        <v>45</v>
      </c>
      <c r="C550">
        <f>'Newton-Miller_RAW'!C550</f>
        <v>120</v>
      </c>
      <c r="D550">
        <f>VLOOKUP('Newton-Miller_RAW'!D550,'Newton-Miller_Convert'!$I$1:$J$6,2,FALSE)</f>
        <v>0.1</v>
      </c>
      <c r="E550">
        <f>VLOOKUP('Newton-Miller_RAW'!E550,'Newton-Miller_Convert'!$I$1:$J$6,2,FALSE)</f>
        <v>0</v>
      </c>
      <c r="F550">
        <f t="shared" si="16"/>
        <v>0</v>
      </c>
      <c r="G550">
        <f t="shared" si="17"/>
        <v>0.1</v>
      </c>
    </row>
    <row r="551" spans="1:7" x14ac:dyDescent="0.3">
      <c r="A551">
        <v>550</v>
      </c>
      <c r="B551">
        <f>'Newton-Miller_RAW'!B551</f>
        <v>249</v>
      </c>
      <c r="C551">
        <f>'Newton-Miller_RAW'!C551</f>
        <v>250</v>
      </c>
      <c r="D551">
        <f>VLOOKUP('Newton-Miller_RAW'!D551,'Newton-Miller_Convert'!$I$1:$J$6,2,FALSE)</f>
        <v>0.25</v>
      </c>
      <c r="E551">
        <f>VLOOKUP('Newton-Miller_RAW'!E551,'Newton-Miller_Convert'!$I$1:$J$6,2,FALSE)</f>
        <v>0.1</v>
      </c>
      <c r="F551">
        <f t="shared" si="16"/>
        <v>0.1</v>
      </c>
      <c r="G551">
        <f t="shared" si="17"/>
        <v>0.15</v>
      </c>
    </row>
    <row r="552" spans="1:7" x14ac:dyDescent="0.3">
      <c r="A552">
        <v>551</v>
      </c>
      <c r="B552">
        <f>'Newton-Miller_RAW'!B552</f>
        <v>150</v>
      </c>
      <c r="C552">
        <f>'Newton-Miller_RAW'!C552</f>
        <v>200</v>
      </c>
      <c r="D552">
        <f>VLOOKUP('Newton-Miller_RAW'!D552,'Newton-Miller_Convert'!$I$1:$J$6,2,FALSE)</f>
        <v>0.25</v>
      </c>
      <c r="E552">
        <f>VLOOKUP('Newton-Miller_RAW'!E552,'Newton-Miller_Convert'!$I$1:$J$6,2,FALSE)</f>
        <v>0.1</v>
      </c>
      <c r="F552">
        <f t="shared" si="16"/>
        <v>0.1</v>
      </c>
      <c r="G552">
        <f t="shared" si="17"/>
        <v>0.15</v>
      </c>
    </row>
    <row r="553" spans="1:7" x14ac:dyDescent="0.3">
      <c r="A553">
        <v>552</v>
      </c>
      <c r="B553">
        <f>'Newton-Miller_RAW'!B553</f>
        <v>150</v>
      </c>
      <c r="C553">
        <f>'Newton-Miller_RAW'!C553</f>
        <v>180</v>
      </c>
      <c r="D553">
        <f>VLOOKUP('Newton-Miller_RAW'!D553,'Newton-Miller_Convert'!$I$1:$J$6,2,FALSE)</f>
        <v>0.25</v>
      </c>
      <c r="E553">
        <f>VLOOKUP('Newton-Miller_RAW'!E553,'Newton-Miller_Convert'!$I$1:$J$6,2,FALSE)</f>
        <v>0.1</v>
      </c>
      <c r="F553">
        <f t="shared" si="16"/>
        <v>0.1</v>
      </c>
      <c r="G553">
        <f t="shared" si="17"/>
        <v>0.15</v>
      </c>
    </row>
    <row r="554" spans="1:7" x14ac:dyDescent="0.3">
      <c r="A554">
        <v>553</v>
      </c>
      <c r="B554">
        <f>'Newton-Miller_RAW'!B554</f>
        <v>180</v>
      </c>
      <c r="C554">
        <f>'Newton-Miller_RAW'!C554</f>
        <v>200</v>
      </c>
      <c r="D554">
        <f>VLOOKUP('Newton-Miller_RAW'!D554,'Newton-Miller_Convert'!$I$1:$J$6,2,FALSE)</f>
        <v>0.75</v>
      </c>
      <c r="E554">
        <f>VLOOKUP('Newton-Miller_RAW'!E554,'Newton-Miller_Convert'!$I$1:$J$6,2,FALSE)</f>
        <v>0.75</v>
      </c>
      <c r="F554">
        <f t="shared" si="16"/>
        <v>0.75</v>
      </c>
      <c r="G554">
        <f t="shared" si="17"/>
        <v>0</v>
      </c>
    </row>
    <row r="555" spans="1:7" x14ac:dyDescent="0.3">
      <c r="A555">
        <v>554</v>
      </c>
      <c r="B555">
        <f>'Newton-Miller_RAW'!B555</f>
        <v>150</v>
      </c>
      <c r="C555">
        <f>'Newton-Miller_RAW'!C555</f>
        <v>200</v>
      </c>
      <c r="D555">
        <f>VLOOKUP('Newton-Miller_RAW'!D555,'Newton-Miller_Convert'!$I$1:$J$6,2,FALSE)</f>
        <v>0.75</v>
      </c>
      <c r="E555">
        <f>VLOOKUP('Newton-Miller_RAW'!E555,'Newton-Miller_Convert'!$I$1:$J$6,2,FALSE)</f>
        <v>0.1</v>
      </c>
      <c r="F555">
        <f t="shared" si="16"/>
        <v>0.1</v>
      </c>
      <c r="G555">
        <f t="shared" si="17"/>
        <v>0.65</v>
      </c>
    </row>
    <row r="556" spans="1:7" x14ac:dyDescent="0.3">
      <c r="A556">
        <v>555</v>
      </c>
      <c r="B556">
        <f>'Newton-Miller_RAW'!B556</f>
        <v>150</v>
      </c>
      <c r="C556">
        <f>'Newton-Miller_RAW'!C556</f>
        <v>160</v>
      </c>
      <c r="D556">
        <f>VLOOKUP('Newton-Miller_RAW'!D556,'Newton-Miller_Convert'!$I$1:$J$6,2,FALSE)</f>
        <v>0.75</v>
      </c>
      <c r="E556">
        <f>VLOOKUP('Newton-Miller_RAW'!E556,'Newton-Miller_Convert'!$I$1:$J$6,2,FALSE)</f>
        <v>0.25</v>
      </c>
      <c r="F556">
        <f t="shared" si="16"/>
        <v>0.25</v>
      </c>
      <c r="G556">
        <f t="shared" si="17"/>
        <v>0.5</v>
      </c>
    </row>
    <row r="557" spans="1:7" x14ac:dyDescent="0.3">
      <c r="A557">
        <v>556</v>
      </c>
      <c r="B557">
        <f>'Newton-Miller_RAW'!B557</f>
        <v>130</v>
      </c>
      <c r="C557">
        <f>'Newton-Miller_RAW'!C557</f>
        <v>180</v>
      </c>
      <c r="D557">
        <f>VLOOKUP('Newton-Miller_RAW'!D557,'Newton-Miller_Convert'!$I$1:$J$6,2,FALSE)</f>
        <v>0.25</v>
      </c>
      <c r="E557">
        <f>VLOOKUP('Newton-Miller_RAW'!E557,'Newton-Miller_Convert'!$I$1:$J$6,2,FALSE)</f>
        <v>0.1</v>
      </c>
      <c r="F557">
        <f t="shared" si="16"/>
        <v>0.1</v>
      </c>
      <c r="G557">
        <f t="shared" si="17"/>
        <v>0.15</v>
      </c>
    </row>
    <row r="558" spans="1:7" x14ac:dyDescent="0.3">
      <c r="A558">
        <v>557</v>
      </c>
      <c r="B558">
        <f>'Newton-Miller_RAW'!B558</f>
        <v>300</v>
      </c>
      <c r="C558">
        <f>'Newton-Miller_RAW'!C558</f>
        <v>450</v>
      </c>
      <c r="D558">
        <f>VLOOKUP('Newton-Miller_RAW'!D558,'Newton-Miller_Convert'!$I$1:$J$6,2,FALSE)</f>
        <v>0.75</v>
      </c>
      <c r="E558">
        <f>VLOOKUP('Newton-Miller_RAW'!E558,'Newton-Miller_Convert'!$I$1:$J$6,2,FALSE)</f>
        <v>0.75</v>
      </c>
      <c r="F558">
        <f t="shared" si="16"/>
        <v>0.75</v>
      </c>
      <c r="G558">
        <f t="shared" si="17"/>
        <v>0</v>
      </c>
    </row>
    <row r="559" spans="1:7" x14ac:dyDescent="0.3">
      <c r="A559">
        <v>558</v>
      </c>
      <c r="B559">
        <f>'Newton-Miller_RAW'!B559</f>
        <v>80</v>
      </c>
      <c r="C559">
        <f>'Newton-Miller_RAW'!C559</f>
        <v>100</v>
      </c>
      <c r="D559">
        <f>VLOOKUP('Newton-Miller_RAW'!D559,'Newton-Miller_Convert'!$I$1:$J$6,2,FALSE)</f>
        <v>0.25</v>
      </c>
      <c r="E559">
        <f>VLOOKUP('Newton-Miller_RAW'!E559,'Newton-Miller_Convert'!$I$1:$J$6,2,FALSE)</f>
        <v>0.75</v>
      </c>
      <c r="F559">
        <f t="shared" si="16"/>
        <v>0.25</v>
      </c>
      <c r="G559">
        <f t="shared" si="17"/>
        <v>0</v>
      </c>
    </row>
    <row r="560" spans="1:7" x14ac:dyDescent="0.3">
      <c r="A560">
        <v>559</v>
      </c>
      <c r="B560">
        <f>'Newton-Miller_RAW'!B560</f>
        <v>50</v>
      </c>
      <c r="C560">
        <f>'Newton-Miller_RAW'!C560</f>
        <v>70</v>
      </c>
      <c r="D560">
        <f>VLOOKUP('Newton-Miller_RAW'!D560,'Newton-Miller_Convert'!$I$1:$J$6,2,FALSE)</f>
        <v>0.75</v>
      </c>
      <c r="E560">
        <f>VLOOKUP('Newton-Miller_RAW'!E560,'Newton-Miller_Convert'!$I$1:$J$6,2,FALSE)</f>
        <v>0.25</v>
      </c>
      <c r="F560">
        <f t="shared" si="16"/>
        <v>0.25</v>
      </c>
      <c r="G560">
        <f t="shared" si="17"/>
        <v>0.5</v>
      </c>
    </row>
    <row r="561" spans="1:7" x14ac:dyDescent="0.3">
      <c r="A561">
        <v>560</v>
      </c>
      <c r="B561">
        <f>'Newton-Miller_RAW'!B561</f>
        <v>70</v>
      </c>
      <c r="C561">
        <f>'Newton-Miller_RAW'!C561</f>
        <v>100</v>
      </c>
      <c r="D561">
        <f>VLOOKUP('Newton-Miller_RAW'!D561,'Newton-Miller_Convert'!$I$1:$J$6,2,FALSE)</f>
        <v>0.1</v>
      </c>
      <c r="E561">
        <f>VLOOKUP('Newton-Miller_RAW'!E561,'Newton-Miller_Convert'!$I$1:$J$6,2,FALSE)</f>
        <v>0</v>
      </c>
      <c r="F561">
        <f t="shared" si="16"/>
        <v>0</v>
      </c>
      <c r="G561">
        <f t="shared" si="17"/>
        <v>0.1</v>
      </c>
    </row>
    <row r="562" spans="1:7" x14ac:dyDescent="0.3">
      <c r="A562">
        <v>561</v>
      </c>
      <c r="B562">
        <f>'Newton-Miller_RAW'!B562</f>
        <v>200</v>
      </c>
      <c r="C562">
        <f>'Newton-Miller_RAW'!C562</f>
        <v>269</v>
      </c>
      <c r="D562">
        <f>VLOOKUP('Newton-Miller_RAW'!D562,'Newton-Miller_Convert'!$I$1:$J$6,2,FALSE)</f>
        <v>0.75</v>
      </c>
      <c r="E562">
        <f>VLOOKUP('Newton-Miller_RAW'!E562,'Newton-Miller_Convert'!$I$1:$J$6,2,FALSE)</f>
        <v>0.1</v>
      </c>
      <c r="F562">
        <f t="shared" si="16"/>
        <v>0.1</v>
      </c>
      <c r="G562">
        <f t="shared" si="17"/>
        <v>0.65</v>
      </c>
    </row>
    <row r="563" spans="1:7" x14ac:dyDescent="0.3">
      <c r="A563">
        <v>562</v>
      </c>
      <c r="B563">
        <f>'Newton-Miller_RAW'!B563</f>
        <v>100</v>
      </c>
      <c r="C563">
        <f>'Newton-Miller_RAW'!C563</f>
        <v>200</v>
      </c>
      <c r="D563">
        <f>VLOOKUP('Newton-Miller_RAW'!D563,'Newton-Miller_Convert'!$I$1:$J$6,2,FALSE)</f>
        <v>0.75</v>
      </c>
      <c r="E563">
        <f>VLOOKUP('Newton-Miller_RAW'!E563,'Newton-Miller_Convert'!$I$1:$J$6,2,FALSE)</f>
        <v>0.25</v>
      </c>
      <c r="F563">
        <f t="shared" si="16"/>
        <v>0.25</v>
      </c>
      <c r="G563">
        <f t="shared" si="17"/>
        <v>0.5</v>
      </c>
    </row>
    <row r="564" spans="1:7" x14ac:dyDescent="0.3">
      <c r="A564">
        <v>563</v>
      </c>
      <c r="B564">
        <f>'Newton-Miller_RAW'!B564</f>
        <v>80</v>
      </c>
      <c r="C564">
        <f>'Newton-Miller_RAW'!C564</f>
        <v>90</v>
      </c>
      <c r="D564">
        <f>VLOOKUP('Newton-Miller_RAW'!D564,'Newton-Miller_Convert'!$I$1:$J$6,2,FALSE)</f>
        <v>0.75</v>
      </c>
      <c r="E564">
        <f>VLOOKUP('Newton-Miller_RAW'!E564,'Newton-Miller_Convert'!$I$1:$J$6,2,FALSE)</f>
        <v>0.1</v>
      </c>
      <c r="F564">
        <f t="shared" si="16"/>
        <v>0.1</v>
      </c>
      <c r="G564">
        <f t="shared" si="17"/>
        <v>0.65</v>
      </c>
    </row>
    <row r="565" spans="1:7" x14ac:dyDescent="0.3">
      <c r="A565">
        <v>564</v>
      </c>
      <c r="B565">
        <f>'Newton-Miller_RAW'!B565</f>
        <v>200</v>
      </c>
      <c r="C565">
        <f>'Newton-Miller_RAW'!C565</f>
        <v>250</v>
      </c>
      <c r="D565">
        <f>VLOOKUP('Newton-Miller_RAW'!D565,'Newton-Miller_Convert'!$I$1:$J$6,2,FALSE)</f>
        <v>0</v>
      </c>
      <c r="E565">
        <f>VLOOKUP('Newton-Miller_RAW'!E565,'Newton-Miller_Convert'!$I$1:$J$6,2,FALSE)</f>
        <v>0</v>
      </c>
      <c r="F565">
        <f t="shared" si="16"/>
        <v>0</v>
      </c>
      <c r="G565">
        <f t="shared" si="17"/>
        <v>0</v>
      </c>
    </row>
    <row r="566" spans="1:7" x14ac:dyDescent="0.3">
      <c r="A566">
        <v>565</v>
      </c>
      <c r="B566">
        <f>'Newton-Miller_RAW'!B566</f>
        <v>500</v>
      </c>
      <c r="C566">
        <f>'Newton-Miller_RAW'!C566</f>
        <v>600</v>
      </c>
      <c r="D566">
        <f>VLOOKUP('Newton-Miller_RAW'!D566,'Newton-Miller_Convert'!$I$1:$J$6,2,FALSE)</f>
        <v>0.75</v>
      </c>
      <c r="E566">
        <f>VLOOKUP('Newton-Miller_RAW'!E566,'Newton-Miller_Convert'!$I$1:$J$6,2,FALSE)</f>
        <v>0.75</v>
      </c>
      <c r="F566">
        <f t="shared" si="16"/>
        <v>0.75</v>
      </c>
      <c r="G566">
        <f t="shared" si="17"/>
        <v>0</v>
      </c>
    </row>
    <row r="567" spans="1:7" x14ac:dyDescent="0.3">
      <c r="A567">
        <v>566</v>
      </c>
      <c r="B567">
        <f>'Newton-Miller_RAW'!B567</f>
        <v>90</v>
      </c>
      <c r="C567">
        <f>'Newton-Miller_RAW'!C567</f>
        <v>100</v>
      </c>
      <c r="D567">
        <f>VLOOKUP('Newton-Miller_RAW'!D567,'Newton-Miller_Convert'!$I$1:$J$6,2,FALSE)</f>
        <v>0.25</v>
      </c>
      <c r="E567">
        <f>VLOOKUP('Newton-Miller_RAW'!E567,'Newton-Miller_Convert'!$I$1:$J$6,2,FALSE)</f>
        <v>0.1</v>
      </c>
      <c r="F567">
        <f t="shared" si="16"/>
        <v>0.1</v>
      </c>
      <c r="G567">
        <f t="shared" si="17"/>
        <v>0.15</v>
      </c>
    </row>
    <row r="568" spans="1:7" x14ac:dyDescent="0.3">
      <c r="A568">
        <v>567</v>
      </c>
      <c r="B568">
        <f>'Newton-Miller_RAW'!B568</f>
        <v>250</v>
      </c>
      <c r="C568">
        <f>'Newton-Miller_RAW'!C568</f>
        <v>300</v>
      </c>
      <c r="D568">
        <f>VLOOKUP('Newton-Miller_RAW'!D568,'Newton-Miller_Convert'!$I$1:$J$6,2,FALSE)</f>
        <v>0.25</v>
      </c>
      <c r="E568">
        <f>VLOOKUP('Newton-Miller_RAW'!E568,'Newton-Miller_Convert'!$I$1:$J$6,2,FALSE)</f>
        <v>0.25</v>
      </c>
      <c r="F568">
        <f t="shared" si="16"/>
        <v>0.25</v>
      </c>
      <c r="G568">
        <f t="shared" si="17"/>
        <v>0</v>
      </c>
    </row>
    <row r="569" spans="1:7" x14ac:dyDescent="0.3">
      <c r="A569">
        <v>568</v>
      </c>
      <c r="B569">
        <f>'Newton-Miller_RAW'!B569</f>
        <v>150</v>
      </c>
      <c r="C569">
        <f>'Newton-Miller_RAW'!C569</f>
        <v>220</v>
      </c>
      <c r="D569">
        <f>VLOOKUP('Newton-Miller_RAW'!D569,'Newton-Miller_Convert'!$I$1:$J$6,2,FALSE)</f>
        <v>0.25</v>
      </c>
      <c r="E569">
        <f>VLOOKUP('Newton-Miller_RAW'!E569,'Newton-Miller_Convert'!$I$1:$J$6,2,FALSE)</f>
        <v>0.25</v>
      </c>
      <c r="F569">
        <f t="shared" si="16"/>
        <v>0.25</v>
      </c>
      <c r="G569">
        <f t="shared" si="17"/>
        <v>0</v>
      </c>
    </row>
    <row r="570" spans="1:7" x14ac:dyDescent="0.3">
      <c r="A570">
        <v>569</v>
      </c>
      <c r="B570">
        <f>'Newton-Miller_RAW'!B570</f>
        <v>200</v>
      </c>
      <c r="C570">
        <f>'Newton-Miller_RAW'!C570</f>
        <v>250</v>
      </c>
      <c r="D570">
        <f>VLOOKUP('Newton-Miller_RAW'!D570,'Newton-Miller_Convert'!$I$1:$J$6,2,FALSE)</f>
        <v>0.25</v>
      </c>
      <c r="E570">
        <f>VLOOKUP('Newton-Miller_RAW'!E570,'Newton-Miller_Convert'!$I$1:$J$6,2,FALSE)</f>
        <v>0.1</v>
      </c>
      <c r="F570">
        <f t="shared" si="16"/>
        <v>0.1</v>
      </c>
      <c r="G570">
        <f t="shared" si="17"/>
        <v>0.15</v>
      </c>
    </row>
    <row r="571" spans="1:7" x14ac:dyDescent="0.3">
      <c r="A571">
        <v>570</v>
      </c>
      <c r="B571">
        <f>'Newton-Miller_RAW'!B571</f>
        <v>200</v>
      </c>
      <c r="C571">
        <f>'Newton-Miller_RAW'!C571</f>
        <v>300</v>
      </c>
      <c r="D571">
        <f>VLOOKUP('Newton-Miller_RAW'!D571,'Newton-Miller_Convert'!$I$1:$J$6,2,FALSE)</f>
        <v>0.25</v>
      </c>
      <c r="E571">
        <f>VLOOKUP('Newton-Miller_RAW'!E571,'Newton-Miller_Convert'!$I$1:$J$6,2,FALSE)</f>
        <v>0.25</v>
      </c>
      <c r="F571">
        <f t="shared" si="16"/>
        <v>0.25</v>
      </c>
      <c r="G571">
        <f t="shared" si="17"/>
        <v>0</v>
      </c>
    </row>
    <row r="572" spans="1:7" x14ac:dyDescent="0.3">
      <c r="A572">
        <v>571</v>
      </c>
      <c r="B572">
        <f>'Newton-Miller_RAW'!B572</f>
        <v>200</v>
      </c>
      <c r="C572">
        <f>'Newton-Miller_RAW'!C572</f>
        <v>300</v>
      </c>
      <c r="D572">
        <f>VLOOKUP('Newton-Miller_RAW'!D572,'Newton-Miller_Convert'!$I$1:$J$6,2,FALSE)</f>
        <v>0.75</v>
      </c>
      <c r="E572">
        <f>VLOOKUP('Newton-Miller_RAW'!E572,'Newton-Miller_Convert'!$I$1:$J$6,2,FALSE)</f>
        <v>0.75</v>
      </c>
      <c r="F572">
        <f t="shared" si="16"/>
        <v>0.75</v>
      </c>
      <c r="G572">
        <f t="shared" si="17"/>
        <v>0</v>
      </c>
    </row>
    <row r="573" spans="1:7" x14ac:dyDescent="0.3">
      <c r="A573">
        <v>572</v>
      </c>
      <c r="B573">
        <f>'Newton-Miller_RAW'!B573</f>
        <v>250</v>
      </c>
      <c r="C573">
        <f>'Newton-Miller_RAW'!C573</f>
        <v>400</v>
      </c>
      <c r="D573">
        <f>VLOOKUP('Newton-Miller_RAW'!D573,'Newton-Miller_Convert'!$I$1:$J$6,2,FALSE)</f>
        <v>0.25</v>
      </c>
      <c r="E573">
        <f>VLOOKUP('Newton-Miller_RAW'!E573,'Newton-Miller_Convert'!$I$1:$J$6,2,FALSE)</f>
        <v>0.1</v>
      </c>
      <c r="F573">
        <f t="shared" si="16"/>
        <v>0.1</v>
      </c>
      <c r="G573">
        <f t="shared" si="17"/>
        <v>0.15</v>
      </c>
    </row>
    <row r="574" spans="1:7" x14ac:dyDescent="0.3">
      <c r="A574">
        <v>573</v>
      </c>
      <c r="B574">
        <f>'Newton-Miller_RAW'!B574</f>
        <v>100</v>
      </c>
      <c r="C574">
        <f>'Newton-Miller_RAW'!C574</f>
        <v>120</v>
      </c>
      <c r="D574">
        <f>VLOOKUP('Newton-Miller_RAW'!D574,'Newton-Miller_Convert'!$I$1:$J$6,2,FALSE)</f>
        <v>0.25</v>
      </c>
      <c r="E574">
        <f>VLOOKUP('Newton-Miller_RAW'!E574,'Newton-Miller_Convert'!$I$1:$J$6,2,FALSE)</f>
        <v>0.25</v>
      </c>
      <c r="F574">
        <f t="shared" si="16"/>
        <v>0.25</v>
      </c>
      <c r="G574">
        <f t="shared" si="17"/>
        <v>0</v>
      </c>
    </row>
    <row r="575" spans="1:7" x14ac:dyDescent="0.3">
      <c r="A575">
        <v>574</v>
      </c>
      <c r="B575">
        <f>'Newton-Miller_RAW'!B575</f>
        <v>300</v>
      </c>
      <c r="C575">
        <f>'Newton-Miller_RAW'!C575</f>
        <v>450</v>
      </c>
      <c r="D575">
        <f>VLOOKUP('Newton-Miller_RAW'!D575,'Newton-Miller_Convert'!$I$1:$J$6,2,FALSE)</f>
        <v>0.75</v>
      </c>
      <c r="E575">
        <f>VLOOKUP('Newton-Miller_RAW'!E575,'Newton-Miller_Convert'!$I$1:$J$6,2,FALSE)</f>
        <v>0.25</v>
      </c>
      <c r="F575">
        <f t="shared" si="16"/>
        <v>0.25</v>
      </c>
      <c r="G575">
        <f t="shared" si="17"/>
        <v>0.5</v>
      </c>
    </row>
    <row r="576" spans="1:7" x14ac:dyDescent="0.3">
      <c r="A576">
        <v>575</v>
      </c>
      <c r="B576">
        <f>'Newton-Miller_RAW'!B576</f>
        <v>350</v>
      </c>
      <c r="C576">
        <f>'Newton-Miller_RAW'!C576</f>
        <v>450</v>
      </c>
      <c r="D576">
        <f>VLOOKUP('Newton-Miller_RAW'!D576,'Newton-Miller_Convert'!$I$1:$J$6,2,FALSE)</f>
        <v>0.25</v>
      </c>
      <c r="E576">
        <f>VLOOKUP('Newton-Miller_RAW'!E576,'Newton-Miller_Convert'!$I$1:$J$6,2,FALSE)</f>
        <v>0.1</v>
      </c>
      <c r="F576">
        <f t="shared" si="16"/>
        <v>0.1</v>
      </c>
      <c r="G576">
        <f t="shared" si="17"/>
        <v>0.15</v>
      </c>
    </row>
    <row r="577" spans="1:7" x14ac:dyDescent="0.3">
      <c r="A577">
        <v>576</v>
      </c>
      <c r="B577">
        <f>'Newton-Miller_RAW'!B577</f>
        <v>300</v>
      </c>
      <c r="C577">
        <f>'Newton-Miller_RAW'!C577</f>
        <v>500</v>
      </c>
      <c r="D577">
        <f>VLOOKUP('Newton-Miller_RAW'!D577,'Newton-Miller_Convert'!$I$1:$J$6,2,FALSE)</f>
        <v>0.25</v>
      </c>
      <c r="E577">
        <f>VLOOKUP('Newton-Miller_RAW'!E577,'Newton-Miller_Convert'!$I$1:$J$6,2,FALSE)</f>
        <v>0.1</v>
      </c>
      <c r="F577">
        <f t="shared" si="16"/>
        <v>0.1</v>
      </c>
      <c r="G577">
        <f t="shared" si="17"/>
        <v>0.15</v>
      </c>
    </row>
    <row r="578" spans="1:7" x14ac:dyDescent="0.3">
      <c r="A578">
        <v>577</v>
      </c>
      <c r="B578">
        <f>'Newton-Miller_RAW'!B578</f>
        <v>280</v>
      </c>
      <c r="C578">
        <f>'Newton-Miller_RAW'!C578</f>
        <v>370</v>
      </c>
      <c r="D578">
        <f>VLOOKUP('Newton-Miller_RAW'!D578,'Newton-Miller_Convert'!$I$1:$J$6,2,FALSE)</f>
        <v>0.75</v>
      </c>
      <c r="E578">
        <f>VLOOKUP('Newton-Miller_RAW'!E578,'Newton-Miller_Convert'!$I$1:$J$6,2,FALSE)</f>
        <v>0.1</v>
      </c>
      <c r="F578">
        <f t="shared" si="16"/>
        <v>0.1</v>
      </c>
      <c r="G578">
        <f t="shared" si="17"/>
        <v>0.65</v>
      </c>
    </row>
    <row r="579" spans="1:7" x14ac:dyDescent="0.3">
      <c r="A579">
        <v>578</v>
      </c>
      <c r="B579">
        <f>'Newton-Miller_RAW'!B579</f>
        <v>99</v>
      </c>
      <c r="C579">
        <f>'Newton-Miller_RAW'!C579</f>
        <v>100</v>
      </c>
      <c r="D579">
        <f>VLOOKUP('Newton-Miller_RAW'!D579,'Newton-Miller_Convert'!$I$1:$J$6,2,FALSE)</f>
        <v>0.75</v>
      </c>
      <c r="E579">
        <f>VLOOKUP('Newton-Miller_RAW'!E579,'Newton-Miller_Convert'!$I$1:$J$6,2,FALSE)</f>
        <v>0.25</v>
      </c>
      <c r="F579">
        <f t="shared" ref="F579:F607" si="18">IF(E579&gt;D579,D579,E579)</f>
        <v>0.25</v>
      </c>
      <c r="G579">
        <f t="shared" ref="G579:G607" si="19">D579-F579</f>
        <v>0.5</v>
      </c>
    </row>
    <row r="580" spans="1:7" x14ac:dyDescent="0.3">
      <c r="A580">
        <v>579</v>
      </c>
      <c r="B580">
        <f>'Newton-Miller_RAW'!B580</f>
        <v>200</v>
      </c>
      <c r="C580">
        <f>'Newton-Miller_RAW'!C580</f>
        <v>300</v>
      </c>
      <c r="D580">
        <f>VLOOKUP('Newton-Miller_RAW'!D580,'Newton-Miller_Convert'!$I$1:$J$6,2,FALSE)</f>
        <v>0.25</v>
      </c>
      <c r="E580">
        <f>VLOOKUP('Newton-Miller_RAW'!E580,'Newton-Miller_Convert'!$I$1:$J$6,2,FALSE)</f>
        <v>0.1</v>
      </c>
      <c r="F580">
        <f t="shared" si="18"/>
        <v>0.1</v>
      </c>
      <c r="G580">
        <f t="shared" si="19"/>
        <v>0.15</v>
      </c>
    </row>
    <row r="581" spans="1:7" x14ac:dyDescent="0.3">
      <c r="A581">
        <v>580</v>
      </c>
      <c r="B581">
        <f>'Newton-Miller_RAW'!B581</f>
        <v>199</v>
      </c>
      <c r="C581">
        <f>'Newton-Miller_RAW'!C581</f>
        <v>320</v>
      </c>
      <c r="D581">
        <f>VLOOKUP('Newton-Miller_RAW'!D581,'Newton-Miller_Convert'!$I$1:$J$6,2,FALSE)</f>
        <v>0.75</v>
      </c>
      <c r="E581">
        <f>VLOOKUP('Newton-Miller_RAW'!E581,'Newton-Miller_Convert'!$I$1:$J$6,2,FALSE)</f>
        <v>0.1</v>
      </c>
      <c r="F581">
        <f t="shared" si="18"/>
        <v>0.1</v>
      </c>
      <c r="G581">
        <f t="shared" si="19"/>
        <v>0.65</v>
      </c>
    </row>
    <row r="582" spans="1:7" x14ac:dyDescent="0.3">
      <c r="A582">
        <v>581</v>
      </c>
      <c r="B582">
        <f>'Newton-Miller_RAW'!B582</f>
        <v>100</v>
      </c>
      <c r="C582">
        <f>'Newton-Miller_RAW'!C582</f>
        <v>120</v>
      </c>
      <c r="D582">
        <f>VLOOKUP('Newton-Miller_RAW'!D582,'Newton-Miller_Convert'!$I$1:$J$6,2,FALSE)</f>
        <v>0.25</v>
      </c>
      <c r="E582">
        <f>VLOOKUP('Newton-Miller_RAW'!E582,'Newton-Miller_Convert'!$I$1:$J$6,2,FALSE)</f>
        <v>0.25</v>
      </c>
      <c r="F582">
        <f t="shared" si="18"/>
        <v>0.25</v>
      </c>
      <c r="G582">
        <f t="shared" si="19"/>
        <v>0</v>
      </c>
    </row>
    <row r="583" spans="1:7" x14ac:dyDescent="0.3">
      <c r="A583">
        <v>582</v>
      </c>
      <c r="B583">
        <f>'Newton-Miller_RAW'!B583</f>
        <v>80</v>
      </c>
      <c r="C583">
        <f>'Newton-Miller_RAW'!C583</f>
        <v>120</v>
      </c>
      <c r="D583">
        <f>VLOOKUP('Newton-Miller_RAW'!D583,'Newton-Miller_Convert'!$I$1:$J$6,2,FALSE)</f>
        <v>0.75</v>
      </c>
      <c r="E583">
        <f>VLOOKUP('Newton-Miller_RAW'!E583,'Newton-Miller_Convert'!$I$1:$J$6,2,FALSE)</f>
        <v>0.25</v>
      </c>
      <c r="F583">
        <f t="shared" si="18"/>
        <v>0.25</v>
      </c>
      <c r="G583">
        <f t="shared" si="19"/>
        <v>0.5</v>
      </c>
    </row>
    <row r="584" spans="1:7" x14ac:dyDescent="0.3">
      <c r="A584">
        <v>583</v>
      </c>
      <c r="B584">
        <f>'Newton-Miller_RAW'!B584</f>
        <v>99</v>
      </c>
      <c r="C584">
        <f>'Newton-Miller_RAW'!C584</f>
        <v>129</v>
      </c>
      <c r="D584">
        <f>VLOOKUP('Newton-Miller_RAW'!D584,'Newton-Miller_Convert'!$I$1:$J$6,2,FALSE)</f>
        <v>0.25</v>
      </c>
      <c r="E584">
        <f>VLOOKUP('Newton-Miller_RAW'!E584,'Newton-Miller_Convert'!$I$1:$J$6,2,FALSE)</f>
        <v>0.1</v>
      </c>
      <c r="F584">
        <f t="shared" si="18"/>
        <v>0.1</v>
      </c>
      <c r="G584">
        <f t="shared" si="19"/>
        <v>0.15</v>
      </c>
    </row>
    <row r="585" spans="1:7" x14ac:dyDescent="0.3">
      <c r="A585">
        <v>584</v>
      </c>
      <c r="B585">
        <f>'Newton-Miller_RAW'!B585</f>
        <v>50</v>
      </c>
      <c r="C585">
        <f>'Newton-Miller_RAW'!C585</f>
        <v>70</v>
      </c>
      <c r="D585">
        <f>VLOOKUP('Newton-Miller_RAW'!D585,'Newton-Miller_Convert'!$I$1:$J$6,2,FALSE)</f>
        <v>0.75</v>
      </c>
      <c r="E585">
        <f>VLOOKUP('Newton-Miller_RAW'!E585,'Newton-Miller_Convert'!$I$1:$J$6,2,FALSE)</f>
        <v>0.1</v>
      </c>
      <c r="F585">
        <f t="shared" si="18"/>
        <v>0.1</v>
      </c>
      <c r="G585">
        <f t="shared" si="19"/>
        <v>0.65</v>
      </c>
    </row>
    <row r="586" spans="1:7" x14ac:dyDescent="0.3">
      <c r="A586">
        <v>585</v>
      </c>
      <c r="B586">
        <f>'Newton-Miller_RAW'!B586</f>
        <v>100</v>
      </c>
      <c r="C586">
        <f>'Newton-Miller_RAW'!C586</f>
        <v>138</v>
      </c>
      <c r="D586">
        <f>VLOOKUP('Newton-Miller_RAW'!D586,'Newton-Miller_Convert'!$I$1:$J$6,2,FALSE)</f>
        <v>0.1</v>
      </c>
      <c r="E586">
        <f>VLOOKUP('Newton-Miller_RAW'!E586,'Newton-Miller_Convert'!$I$1:$J$6,2,FALSE)</f>
        <v>0.1</v>
      </c>
      <c r="F586">
        <f t="shared" si="18"/>
        <v>0.1</v>
      </c>
      <c r="G586">
        <f t="shared" si="19"/>
        <v>0</v>
      </c>
    </row>
    <row r="587" spans="1:7" x14ac:dyDescent="0.3">
      <c r="A587">
        <v>586</v>
      </c>
      <c r="B587">
        <f>'Newton-Miller_RAW'!B587</f>
        <v>250</v>
      </c>
      <c r="C587">
        <f>'Newton-Miller_RAW'!C587</f>
        <v>300</v>
      </c>
      <c r="D587">
        <f>VLOOKUP('Newton-Miller_RAW'!D587,'Newton-Miller_Convert'!$I$1:$J$6,2,FALSE)</f>
        <v>0.25</v>
      </c>
      <c r="E587">
        <f>VLOOKUP('Newton-Miller_RAW'!E587,'Newton-Miller_Convert'!$I$1:$J$6,2,FALSE)</f>
        <v>0.25</v>
      </c>
      <c r="F587">
        <f t="shared" si="18"/>
        <v>0.25</v>
      </c>
      <c r="G587">
        <f t="shared" si="19"/>
        <v>0</v>
      </c>
    </row>
    <row r="588" spans="1:7" x14ac:dyDescent="0.3">
      <c r="A588">
        <v>587</v>
      </c>
      <c r="B588">
        <f>'Newton-Miller_RAW'!B588</f>
        <v>350</v>
      </c>
      <c r="C588">
        <f>'Newton-Miller_RAW'!C588</f>
        <v>380</v>
      </c>
      <c r="D588">
        <f>VLOOKUP('Newton-Miller_RAW'!D588,'Newton-Miller_Convert'!$I$1:$J$6,2,FALSE)</f>
        <v>0.75</v>
      </c>
      <c r="E588">
        <f>VLOOKUP('Newton-Miller_RAW'!E588,'Newton-Miller_Convert'!$I$1:$J$6,2,FALSE)</f>
        <v>0.75</v>
      </c>
      <c r="F588">
        <f t="shared" si="18"/>
        <v>0.75</v>
      </c>
      <c r="G588">
        <f t="shared" si="19"/>
        <v>0</v>
      </c>
    </row>
    <row r="589" spans="1:7" x14ac:dyDescent="0.3">
      <c r="A589">
        <v>588</v>
      </c>
      <c r="B589">
        <f>'Newton-Miller_RAW'!B589</f>
        <v>250</v>
      </c>
      <c r="C589">
        <f>'Newton-Miller_RAW'!C589</f>
        <v>300</v>
      </c>
      <c r="D589">
        <f>VLOOKUP('Newton-Miller_RAW'!D589,'Newton-Miller_Convert'!$I$1:$J$6,2,FALSE)</f>
        <v>0.1</v>
      </c>
      <c r="E589">
        <f>VLOOKUP('Newton-Miller_RAW'!E589,'Newton-Miller_Convert'!$I$1:$J$6,2,FALSE)</f>
        <v>0.1</v>
      </c>
      <c r="F589">
        <f t="shared" si="18"/>
        <v>0.1</v>
      </c>
      <c r="G589">
        <f t="shared" si="19"/>
        <v>0</v>
      </c>
    </row>
    <row r="590" spans="1:7" x14ac:dyDescent="0.3">
      <c r="A590">
        <v>589</v>
      </c>
      <c r="B590">
        <f>'Newton-Miller_RAW'!B590</f>
        <v>200</v>
      </c>
      <c r="C590">
        <f>'Newton-Miller_RAW'!C590</f>
        <v>250</v>
      </c>
      <c r="D590">
        <f>VLOOKUP('Newton-Miller_RAW'!D590,'Newton-Miller_Convert'!$I$1:$J$6,2,FALSE)</f>
        <v>0.75</v>
      </c>
      <c r="E590">
        <f>VLOOKUP('Newton-Miller_RAW'!E590,'Newton-Miller_Convert'!$I$1:$J$6,2,FALSE)</f>
        <v>0.75</v>
      </c>
      <c r="F590">
        <f t="shared" si="18"/>
        <v>0.75</v>
      </c>
      <c r="G590">
        <f t="shared" si="19"/>
        <v>0</v>
      </c>
    </row>
    <row r="591" spans="1:7" x14ac:dyDescent="0.3">
      <c r="A591">
        <v>590</v>
      </c>
      <c r="B591">
        <f>'Newton-Miller_RAW'!B591</f>
        <v>250</v>
      </c>
      <c r="C591">
        <f>'Newton-Miller_RAW'!C591</f>
        <v>350</v>
      </c>
      <c r="D591">
        <f>VLOOKUP('Newton-Miller_RAW'!D591,'Newton-Miller_Convert'!$I$1:$J$6,2,FALSE)</f>
        <v>0.75</v>
      </c>
      <c r="E591">
        <f>VLOOKUP('Newton-Miller_RAW'!E591,'Newton-Miller_Convert'!$I$1:$J$6,2,FALSE)</f>
        <v>0.1</v>
      </c>
      <c r="F591">
        <f t="shared" si="18"/>
        <v>0.1</v>
      </c>
      <c r="G591">
        <f t="shared" si="19"/>
        <v>0.65</v>
      </c>
    </row>
    <row r="592" spans="1:7" x14ac:dyDescent="0.3">
      <c r="A592">
        <v>591</v>
      </c>
      <c r="B592">
        <f>'Newton-Miller_RAW'!B592</f>
        <v>550</v>
      </c>
      <c r="C592">
        <f>'Newton-Miller_RAW'!C592</f>
        <v>650</v>
      </c>
      <c r="D592">
        <f>VLOOKUP('Newton-Miller_RAW'!D592,'Newton-Miller_Convert'!$I$1:$J$6,2,FALSE)</f>
        <v>0.75</v>
      </c>
      <c r="E592">
        <f>VLOOKUP('Newton-Miller_RAW'!E592,'Newton-Miller_Convert'!$I$1:$J$6,2,FALSE)</f>
        <v>0.1</v>
      </c>
      <c r="F592">
        <f t="shared" si="18"/>
        <v>0.1</v>
      </c>
      <c r="G592">
        <f t="shared" si="19"/>
        <v>0.65</v>
      </c>
    </row>
    <row r="593" spans="1:7" x14ac:dyDescent="0.3">
      <c r="A593">
        <v>592</v>
      </c>
      <c r="B593">
        <f>'Newton-Miller_RAW'!B593</f>
        <v>200</v>
      </c>
      <c r="C593">
        <f>'Newton-Miller_RAW'!C593</f>
        <v>230</v>
      </c>
      <c r="D593">
        <f>VLOOKUP('Newton-Miller_RAW'!D593,'Newton-Miller_Convert'!$I$1:$J$6,2,FALSE)</f>
        <v>0.75</v>
      </c>
      <c r="E593">
        <f>VLOOKUP('Newton-Miller_RAW'!E593,'Newton-Miller_Convert'!$I$1:$J$6,2,FALSE)</f>
        <v>0.25</v>
      </c>
      <c r="F593">
        <f t="shared" si="18"/>
        <v>0.25</v>
      </c>
      <c r="G593">
        <f t="shared" si="19"/>
        <v>0.5</v>
      </c>
    </row>
    <row r="594" spans="1:7" x14ac:dyDescent="0.3">
      <c r="A594">
        <v>593</v>
      </c>
      <c r="B594">
        <f>'Newton-Miller_RAW'!B594</f>
        <v>150</v>
      </c>
      <c r="C594">
        <f>'Newton-Miller_RAW'!C594</f>
        <v>180</v>
      </c>
      <c r="D594">
        <f>VLOOKUP('Newton-Miller_RAW'!D594,'Newton-Miller_Convert'!$I$1:$J$6,2,FALSE)</f>
        <v>0.75</v>
      </c>
      <c r="E594">
        <f>VLOOKUP('Newton-Miller_RAW'!E594,'Newton-Miller_Convert'!$I$1:$J$6,2,FALSE)</f>
        <v>0.25</v>
      </c>
      <c r="F594">
        <f t="shared" si="18"/>
        <v>0.25</v>
      </c>
      <c r="G594">
        <f t="shared" si="19"/>
        <v>0.5</v>
      </c>
    </row>
    <row r="595" spans="1:7" x14ac:dyDescent="0.3">
      <c r="A595">
        <v>594</v>
      </c>
      <c r="B595">
        <f>'Newton-Miller_RAW'!B595</f>
        <v>180</v>
      </c>
      <c r="C595">
        <f>'Newton-Miller_RAW'!C595</f>
        <v>200</v>
      </c>
      <c r="D595">
        <f>VLOOKUP('Newton-Miller_RAW'!D595,'Newton-Miller_Convert'!$I$1:$J$6,2,FALSE)</f>
        <v>0.75</v>
      </c>
      <c r="E595">
        <f>VLOOKUP('Newton-Miller_RAW'!E595,'Newton-Miller_Convert'!$I$1:$J$6,2,FALSE)</f>
        <v>0.75</v>
      </c>
      <c r="F595">
        <f t="shared" si="18"/>
        <v>0.75</v>
      </c>
      <c r="G595">
        <f t="shared" si="19"/>
        <v>0</v>
      </c>
    </row>
    <row r="596" spans="1:7" x14ac:dyDescent="0.3">
      <c r="A596">
        <v>595</v>
      </c>
      <c r="B596">
        <f>'Newton-Miller_RAW'!B596</f>
        <v>250</v>
      </c>
      <c r="C596">
        <f>'Newton-Miller_RAW'!C596</f>
        <v>300</v>
      </c>
      <c r="D596">
        <f>VLOOKUP('Newton-Miller_RAW'!D596,'Newton-Miller_Convert'!$I$1:$J$6,2,FALSE)</f>
        <v>0.75</v>
      </c>
      <c r="E596">
        <f>VLOOKUP('Newton-Miller_RAW'!E596,'Newton-Miller_Convert'!$I$1:$J$6,2,FALSE)</f>
        <v>0.25</v>
      </c>
      <c r="F596">
        <f t="shared" si="18"/>
        <v>0.25</v>
      </c>
      <c r="G596">
        <f t="shared" si="19"/>
        <v>0.5</v>
      </c>
    </row>
    <row r="597" spans="1:7" x14ac:dyDescent="0.3">
      <c r="A597">
        <v>596</v>
      </c>
      <c r="B597">
        <f>'Newton-Miller_RAW'!B597</f>
        <v>300</v>
      </c>
      <c r="C597">
        <f>'Newton-Miller_RAW'!C597</f>
        <v>350</v>
      </c>
      <c r="D597">
        <f>VLOOKUP('Newton-Miller_RAW'!D597,'Newton-Miller_Convert'!$I$1:$J$6,2,FALSE)</f>
        <v>0.75</v>
      </c>
      <c r="E597">
        <f>VLOOKUP('Newton-Miller_RAW'!E597,'Newton-Miller_Convert'!$I$1:$J$6,2,FALSE)</f>
        <v>0.1</v>
      </c>
      <c r="F597">
        <f t="shared" si="18"/>
        <v>0.1</v>
      </c>
      <c r="G597">
        <f t="shared" si="19"/>
        <v>0.65</v>
      </c>
    </row>
    <row r="598" spans="1:7" x14ac:dyDescent="0.3">
      <c r="A598">
        <v>597</v>
      </c>
      <c r="B598">
        <f>'Newton-Miller_RAW'!B598</f>
        <v>240</v>
      </c>
      <c r="C598">
        <f>'Newton-Miller_RAW'!C598</f>
        <v>300</v>
      </c>
      <c r="D598">
        <f>VLOOKUP('Newton-Miller_RAW'!D598,'Newton-Miller_Convert'!$I$1:$J$6,2,FALSE)</f>
        <v>0.75</v>
      </c>
      <c r="E598">
        <f>VLOOKUP('Newton-Miller_RAW'!E598,'Newton-Miller_Convert'!$I$1:$J$6,2,FALSE)</f>
        <v>0.25</v>
      </c>
      <c r="F598">
        <f t="shared" si="18"/>
        <v>0.25</v>
      </c>
      <c r="G598">
        <f t="shared" si="19"/>
        <v>0.5</v>
      </c>
    </row>
    <row r="599" spans="1:7" x14ac:dyDescent="0.3">
      <c r="A599">
        <v>598</v>
      </c>
      <c r="B599">
        <f>'Newton-Miller_RAW'!B599</f>
        <v>80</v>
      </c>
      <c r="C599">
        <f>'Newton-Miller_RAW'!C599</f>
        <v>90</v>
      </c>
      <c r="D599">
        <f>VLOOKUP('Newton-Miller_RAW'!D599,'Newton-Miller_Convert'!$I$1:$J$6,2,FALSE)</f>
        <v>0.75</v>
      </c>
      <c r="E599">
        <f>VLOOKUP('Newton-Miller_RAW'!E599,'Newton-Miller_Convert'!$I$1:$J$6,2,FALSE)</f>
        <v>0.75</v>
      </c>
      <c r="F599">
        <f t="shared" si="18"/>
        <v>0.75</v>
      </c>
      <c r="G599">
        <f t="shared" si="19"/>
        <v>0</v>
      </c>
    </row>
    <row r="600" spans="1:7" x14ac:dyDescent="0.3">
      <c r="A600">
        <v>599</v>
      </c>
      <c r="B600">
        <f>'Newton-Miller_RAW'!B600</f>
        <v>180</v>
      </c>
      <c r="C600">
        <f>'Newton-Miller_RAW'!C600</f>
        <v>200</v>
      </c>
      <c r="D600">
        <f>VLOOKUP('Newton-Miller_RAW'!D600,'Newton-Miller_Convert'!$I$1:$J$6,2,FALSE)</f>
        <v>0.75</v>
      </c>
      <c r="E600">
        <f>VLOOKUP('Newton-Miller_RAW'!E600,'Newton-Miller_Convert'!$I$1:$J$6,2,FALSE)</f>
        <v>0.25</v>
      </c>
      <c r="F600">
        <f t="shared" si="18"/>
        <v>0.25</v>
      </c>
      <c r="G600">
        <f t="shared" si="19"/>
        <v>0.5</v>
      </c>
    </row>
    <row r="601" spans="1:7" x14ac:dyDescent="0.3">
      <c r="A601">
        <v>600</v>
      </c>
      <c r="B601">
        <f>'Newton-Miller_RAW'!B601</f>
        <v>200</v>
      </c>
      <c r="C601">
        <f>'Newton-Miller_RAW'!C601</f>
        <v>300</v>
      </c>
      <c r="D601">
        <f>VLOOKUP('Newton-Miller_RAW'!D601,'Newton-Miller_Convert'!$I$1:$J$6,2,FALSE)</f>
        <v>0.75</v>
      </c>
      <c r="E601">
        <f>VLOOKUP('Newton-Miller_RAW'!E601,'Newton-Miller_Convert'!$I$1:$J$6,2,FALSE)</f>
        <v>0.1</v>
      </c>
      <c r="F601">
        <f t="shared" si="18"/>
        <v>0.1</v>
      </c>
      <c r="G601">
        <f t="shared" si="19"/>
        <v>0.65</v>
      </c>
    </row>
    <row r="602" spans="1:7" x14ac:dyDescent="0.3">
      <c r="A602">
        <v>601</v>
      </c>
      <c r="B602">
        <f>'Newton-Miller_RAW'!B602</f>
        <v>200</v>
      </c>
      <c r="C602">
        <f>'Newton-Miller_RAW'!C602</f>
        <v>350</v>
      </c>
      <c r="D602">
        <f>VLOOKUP('Newton-Miller_RAW'!D602,'Newton-Miller_Convert'!$I$1:$J$6,2,FALSE)</f>
        <v>0.75</v>
      </c>
      <c r="E602">
        <f>VLOOKUP('Newton-Miller_RAW'!E602,'Newton-Miller_Convert'!$I$1:$J$6,2,FALSE)</f>
        <v>0.1</v>
      </c>
      <c r="F602">
        <f t="shared" si="18"/>
        <v>0.1</v>
      </c>
      <c r="G602">
        <f t="shared" si="19"/>
        <v>0.65</v>
      </c>
    </row>
    <row r="603" spans="1:7" x14ac:dyDescent="0.3">
      <c r="A603">
        <v>602</v>
      </c>
      <c r="B603">
        <f>'Newton-Miller_RAW'!B603</f>
        <v>280</v>
      </c>
      <c r="C603">
        <f>'Newton-Miller_RAW'!C603</f>
        <v>300</v>
      </c>
      <c r="D603">
        <f>VLOOKUP('Newton-Miller_RAW'!D603,'Newton-Miller_Convert'!$I$1:$J$6,2,FALSE)</f>
        <v>0</v>
      </c>
      <c r="E603">
        <f>VLOOKUP('Newton-Miller_RAW'!E603,'Newton-Miller_Convert'!$I$1:$J$6,2,FALSE)</f>
        <v>0</v>
      </c>
      <c r="F603">
        <f t="shared" si="18"/>
        <v>0</v>
      </c>
      <c r="G603">
        <f t="shared" si="19"/>
        <v>0</v>
      </c>
    </row>
    <row r="604" spans="1:7" x14ac:dyDescent="0.3">
      <c r="A604">
        <v>603</v>
      </c>
      <c r="B604">
        <f>'Newton-Miller_RAW'!B604</f>
        <v>78</v>
      </c>
      <c r="C604">
        <f>'Newton-Miller_RAW'!C604</f>
        <v>79</v>
      </c>
      <c r="D604">
        <f>VLOOKUP('Newton-Miller_RAW'!D604,'Newton-Miller_Convert'!$I$1:$J$6,2,FALSE)</f>
        <v>0.75</v>
      </c>
      <c r="E604">
        <f>VLOOKUP('Newton-Miller_RAW'!E604,'Newton-Miller_Convert'!$I$1:$J$6,2,FALSE)</f>
        <v>0.75</v>
      </c>
      <c r="F604">
        <f t="shared" si="18"/>
        <v>0.75</v>
      </c>
      <c r="G604">
        <f t="shared" si="19"/>
        <v>0</v>
      </c>
    </row>
    <row r="605" spans="1:7" x14ac:dyDescent="0.3">
      <c r="A605">
        <v>604</v>
      </c>
      <c r="B605">
        <f>'Newton-Miller_RAW'!B605</f>
        <v>500</v>
      </c>
      <c r="C605">
        <f>'Newton-Miller_RAW'!C605</f>
        <v>600</v>
      </c>
      <c r="D605">
        <f>VLOOKUP('Newton-Miller_RAW'!D605,'Newton-Miller_Convert'!$I$1:$J$6,2,FALSE)</f>
        <v>0.25</v>
      </c>
      <c r="E605">
        <f>VLOOKUP('Newton-Miller_RAW'!E605,'Newton-Miller_Convert'!$I$1:$J$6,2,FALSE)</f>
        <v>0.1</v>
      </c>
      <c r="F605">
        <f t="shared" si="18"/>
        <v>0.1</v>
      </c>
      <c r="G605">
        <f t="shared" si="19"/>
        <v>0.15</v>
      </c>
    </row>
    <row r="606" spans="1:7" x14ac:dyDescent="0.3">
      <c r="A606">
        <v>605</v>
      </c>
      <c r="B606">
        <f>'Newton-Miller_RAW'!B606</f>
        <v>250</v>
      </c>
      <c r="C606">
        <f>'Newton-Miller_RAW'!C606</f>
        <v>350</v>
      </c>
      <c r="D606">
        <f>VLOOKUP('Newton-Miller_RAW'!D606,'Newton-Miller_Convert'!$I$1:$J$6,2,FALSE)</f>
        <v>0.75</v>
      </c>
      <c r="E606">
        <f>VLOOKUP('Newton-Miller_RAW'!E606,'Newton-Miller_Convert'!$I$1:$J$6,2,FALSE)</f>
        <v>0.75</v>
      </c>
      <c r="F606">
        <f t="shared" si="18"/>
        <v>0.75</v>
      </c>
      <c r="G606">
        <f t="shared" si="19"/>
        <v>0</v>
      </c>
    </row>
    <row r="607" spans="1:7" x14ac:dyDescent="0.3">
      <c r="A607">
        <v>606</v>
      </c>
      <c r="B607">
        <f>'Newton-Miller_RAW'!B607</f>
        <v>150</v>
      </c>
      <c r="C607">
        <f>'Newton-Miller_RAW'!C607</f>
        <v>160</v>
      </c>
      <c r="D607">
        <f>VLOOKUP('Newton-Miller_RAW'!D607,'Newton-Miller_Convert'!$I$1:$J$6,2,FALSE)</f>
        <v>0.75</v>
      </c>
      <c r="E607">
        <f>VLOOKUP('Newton-Miller_RAW'!E607,'Newton-Miller_Convert'!$I$1:$J$6,2,FALSE)</f>
        <v>0.25</v>
      </c>
      <c r="F607">
        <f t="shared" si="18"/>
        <v>0.25</v>
      </c>
      <c r="G607">
        <f t="shared" si="19"/>
        <v>0.5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522D2-4877-104C-BD95-2D29252EBA09}">
  <dimension ref="B1:D191"/>
  <sheetViews>
    <sheetView workbookViewId="0">
      <selection activeCell="C2" sqref="C2"/>
    </sheetView>
  </sheetViews>
  <sheetFormatPr defaultColWidth="11.19921875" defaultRowHeight="15.6" x14ac:dyDescent="0.3"/>
  <cols>
    <col min="2" max="2" width="11.69921875" bestFit="1" customWidth="1"/>
    <col min="3" max="3" width="32.69921875" bestFit="1" customWidth="1"/>
    <col min="4" max="4" width="33" bestFit="1" customWidth="1"/>
  </cols>
  <sheetData>
    <row r="1" spans="2:4" x14ac:dyDescent="0.3">
      <c r="B1" s="1" t="s">
        <v>14</v>
      </c>
      <c r="C1" s="1" t="s">
        <v>15</v>
      </c>
      <c r="D1" s="1" t="s">
        <v>16</v>
      </c>
    </row>
    <row r="2" spans="2:4" x14ac:dyDescent="0.3">
      <c r="B2" s="8">
        <v>10</v>
      </c>
      <c r="C2">
        <f>SUMIF('Newton-Miller_Convert'!C:C,'Newton-Miller_Convert'!L2,'Newton-Miller_Convert'!E:E)</f>
        <v>0</v>
      </c>
      <c r="D2">
        <f>SUMIF('Newton-Miller_Convert'!B:B,'Newton-Miller_Convert'!L2,'Newton-Miller_Convert'!G:G)</f>
        <v>0</v>
      </c>
    </row>
    <row r="3" spans="2:4" x14ac:dyDescent="0.3">
      <c r="B3" s="8">
        <v>13</v>
      </c>
      <c r="C3">
        <f>SUMIF('Newton-Miller_Convert'!C:C,'Newton-Miller_Convert'!L3,'Newton-Miller_Convert'!E:E)</f>
        <v>0</v>
      </c>
      <c r="D3">
        <f>SUMIF('Newton-Miller_Convert'!B:B,'Newton-Miller_Convert'!L3,'Newton-Miller_Convert'!G:G)</f>
        <v>0</v>
      </c>
    </row>
    <row r="4" spans="2:4" x14ac:dyDescent="0.3">
      <c r="B4" s="8">
        <v>14</v>
      </c>
      <c r="C4">
        <f>SUMIF('Newton-Miller_Convert'!C:C,'Newton-Miller_Convert'!L4,'Newton-Miller_Convert'!E:E)</f>
        <v>0</v>
      </c>
      <c r="D4">
        <f>SUMIF('Newton-Miller_Convert'!B:B,'Newton-Miller_Convert'!L4,'Newton-Miller_Convert'!G:G)</f>
        <v>0</v>
      </c>
    </row>
    <row r="5" spans="2:4" x14ac:dyDescent="0.3">
      <c r="B5" s="8">
        <v>15</v>
      </c>
      <c r="C5">
        <f>SUMIF('Newton-Miller_Convert'!C:C,'Newton-Miller_Convert'!L5,'Newton-Miller_Convert'!E:E)</f>
        <v>0</v>
      </c>
      <c r="D5">
        <f>SUMIF('Newton-Miller_Convert'!B:B,'Newton-Miller_Convert'!L5,'Newton-Miller_Convert'!G:G)</f>
        <v>0</v>
      </c>
    </row>
    <row r="6" spans="2:4" x14ac:dyDescent="0.3">
      <c r="B6" s="8">
        <v>18</v>
      </c>
      <c r="C6">
        <f>SUMIF('Newton-Miller_Convert'!C:C,'Newton-Miller_Convert'!L6,'Newton-Miller_Convert'!E:E)</f>
        <v>0</v>
      </c>
      <c r="D6">
        <f>SUMIF('Newton-Miller_Convert'!B:B,'Newton-Miller_Convert'!L6,'Newton-Miller_Convert'!G:G)</f>
        <v>0</v>
      </c>
    </row>
    <row r="7" spans="2:4" x14ac:dyDescent="0.3">
      <c r="B7" s="8">
        <v>19</v>
      </c>
      <c r="C7">
        <f>SUMIF('Newton-Miller_Convert'!C:C,'Newton-Miller_Convert'!L7,'Newton-Miller_Convert'!E:E)</f>
        <v>0</v>
      </c>
      <c r="D7">
        <f>SUMIF('Newton-Miller_Convert'!B:B,'Newton-Miller_Convert'!L7,'Newton-Miller_Convert'!G:G)</f>
        <v>0</v>
      </c>
    </row>
    <row r="8" spans="2:4" x14ac:dyDescent="0.3">
      <c r="B8" s="8">
        <v>20</v>
      </c>
      <c r="C8">
        <f>SUMIF('Newton-Miller_Convert'!C:C,'Newton-Miller_Convert'!L8,'Newton-Miller_Convert'!E:E)</f>
        <v>0</v>
      </c>
      <c r="D8">
        <f>SUMIF('Newton-Miller_Convert'!B:B,'Newton-Miller_Convert'!L8,'Newton-Miller_Convert'!G:G)</f>
        <v>0.15</v>
      </c>
    </row>
    <row r="9" spans="2:4" x14ac:dyDescent="0.3">
      <c r="B9" s="8">
        <v>21</v>
      </c>
      <c r="C9">
        <f>SUMIF('Newton-Miller_Convert'!C:C,'Newton-Miller_Convert'!L9,'Newton-Miller_Convert'!E:E)</f>
        <v>0</v>
      </c>
      <c r="D9">
        <f>SUMIF('Newton-Miller_Convert'!B:B,'Newton-Miller_Convert'!L9,'Newton-Miller_Convert'!G:G)</f>
        <v>0</v>
      </c>
    </row>
    <row r="10" spans="2:4" x14ac:dyDescent="0.3">
      <c r="B10" s="8">
        <v>22</v>
      </c>
      <c r="C10">
        <f>SUMIF('Newton-Miller_Convert'!C:C,'Newton-Miller_Convert'!L10,'Newton-Miller_Convert'!E:E)</f>
        <v>0.1</v>
      </c>
      <c r="D10">
        <f>SUMIF('Newton-Miller_Convert'!B:B,'Newton-Miller_Convert'!L10,'Newton-Miller_Convert'!G:G)</f>
        <v>0</v>
      </c>
    </row>
    <row r="11" spans="2:4" x14ac:dyDescent="0.3">
      <c r="B11" s="8">
        <v>23</v>
      </c>
      <c r="C11">
        <f>SUMIF('Newton-Miller_Convert'!C:C,'Newton-Miller_Convert'!L11,'Newton-Miller_Convert'!E:E)</f>
        <v>0.1</v>
      </c>
      <c r="D11">
        <f>SUMIF('Newton-Miller_Convert'!B:B,'Newton-Miller_Convert'!L11,'Newton-Miller_Convert'!G:G)</f>
        <v>0</v>
      </c>
    </row>
    <row r="12" spans="2:4" x14ac:dyDescent="0.3">
      <c r="B12" s="8">
        <v>24</v>
      </c>
      <c r="C12">
        <f>SUMIF('Newton-Miller_Convert'!C:C,'Newton-Miller_Convert'!L12,'Newton-Miller_Convert'!E:E)</f>
        <v>0</v>
      </c>
      <c r="D12">
        <f>SUMIF('Newton-Miller_Convert'!B:B,'Newton-Miller_Convert'!L12,'Newton-Miller_Convert'!G:G)</f>
        <v>0</v>
      </c>
    </row>
    <row r="13" spans="2:4" x14ac:dyDescent="0.3">
      <c r="B13" s="8">
        <v>25</v>
      </c>
      <c r="C13">
        <f>SUMIF('Newton-Miller_Convert'!C:C,'Newton-Miller_Convert'!L13,'Newton-Miller_Convert'!E:E)</f>
        <v>0</v>
      </c>
      <c r="D13">
        <f>SUMIF('Newton-Miller_Convert'!B:B,'Newton-Miller_Convert'!L13,'Newton-Miller_Convert'!G:G)</f>
        <v>0</v>
      </c>
    </row>
    <row r="14" spans="2:4" x14ac:dyDescent="0.3">
      <c r="B14" s="8">
        <v>26</v>
      </c>
      <c r="C14">
        <f>SUMIF('Newton-Miller_Convert'!C:C,'Newton-Miller_Convert'!L14,'Newton-Miller_Convert'!E:E)</f>
        <v>0</v>
      </c>
      <c r="D14">
        <f>SUMIF('Newton-Miller_Convert'!B:B,'Newton-Miller_Convert'!L14,'Newton-Miller_Convert'!G:G)</f>
        <v>0</v>
      </c>
    </row>
    <row r="15" spans="2:4" x14ac:dyDescent="0.3">
      <c r="B15" s="8">
        <v>27</v>
      </c>
      <c r="C15">
        <f>SUMIF('Newton-Miller_Convert'!C:C,'Newton-Miller_Convert'!L15,'Newton-Miller_Convert'!E:E)</f>
        <v>0</v>
      </c>
      <c r="D15">
        <f>SUMIF('Newton-Miller_Convert'!B:B,'Newton-Miller_Convert'!L15,'Newton-Miller_Convert'!G:G)</f>
        <v>0</v>
      </c>
    </row>
    <row r="16" spans="2:4" x14ac:dyDescent="0.3">
      <c r="B16" s="8">
        <v>28</v>
      </c>
      <c r="C16">
        <f>SUMIF('Newton-Miller_Convert'!C:C,'Newton-Miller_Convert'!L16,'Newton-Miller_Convert'!E:E)</f>
        <v>0.75</v>
      </c>
      <c r="D16">
        <f>SUMIF('Newton-Miller_Convert'!B:B,'Newton-Miller_Convert'!L16,'Newton-Miller_Convert'!G:G)</f>
        <v>0</v>
      </c>
    </row>
    <row r="17" spans="2:4" x14ac:dyDescent="0.3">
      <c r="B17" s="8">
        <v>29</v>
      </c>
      <c r="C17">
        <f>SUMIF('Newton-Miller_Convert'!C:C,'Newton-Miller_Convert'!L17,'Newton-Miller_Convert'!E:E)</f>
        <v>0</v>
      </c>
      <c r="D17">
        <f>SUMIF('Newton-Miller_Convert'!B:B,'Newton-Miller_Convert'!L17,'Newton-Miller_Convert'!G:G)</f>
        <v>0</v>
      </c>
    </row>
    <row r="18" spans="2:4" x14ac:dyDescent="0.3">
      <c r="B18" s="8">
        <v>30</v>
      </c>
      <c r="C18">
        <f>SUMIF('Newton-Miller_Convert'!C:C,'Newton-Miller_Convert'!L18,'Newton-Miller_Convert'!E:E)</f>
        <v>0.75</v>
      </c>
      <c r="D18">
        <f>SUMIF('Newton-Miller_Convert'!B:B,'Newton-Miller_Convert'!L18,'Newton-Miller_Convert'!G:G)</f>
        <v>1.3</v>
      </c>
    </row>
    <row r="19" spans="2:4" x14ac:dyDescent="0.3">
      <c r="B19" s="8">
        <v>33</v>
      </c>
      <c r="C19">
        <f>SUMIF('Newton-Miller_Convert'!C:C,'Newton-Miller_Convert'!L19,'Newton-Miller_Convert'!E:E)</f>
        <v>0</v>
      </c>
      <c r="D19">
        <f>SUMIF('Newton-Miller_Convert'!B:B,'Newton-Miller_Convert'!L19,'Newton-Miller_Convert'!G:G)</f>
        <v>0</v>
      </c>
    </row>
    <row r="20" spans="2:4" x14ac:dyDescent="0.3">
      <c r="B20" s="8">
        <v>35</v>
      </c>
      <c r="C20">
        <f>SUMIF('Newton-Miller_Convert'!C:C,'Newton-Miller_Convert'!L20,'Newton-Miller_Convert'!E:E)</f>
        <v>0.75</v>
      </c>
      <c r="D20">
        <f>SUMIF('Newton-Miller_Convert'!B:B,'Newton-Miller_Convert'!L20,'Newton-Miller_Convert'!G:G)</f>
        <v>0.25</v>
      </c>
    </row>
    <row r="21" spans="2:4" x14ac:dyDescent="0.3">
      <c r="B21" s="8">
        <v>40</v>
      </c>
      <c r="C21">
        <f>SUMIF('Newton-Miller_Convert'!C:C,'Newton-Miller_Convert'!L21,'Newton-Miller_Convert'!E:E)</f>
        <v>0.75</v>
      </c>
      <c r="D21">
        <f>SUMIF('Newton-Miller_Convert'!B:B,'Newton-Miller_Convert'!L21,'Newton-Miller_Convert'!G:G)</f>
        <v>0.15</v>
      </c>
    </row>
    <row r="22" spans="2:4" x14ac:dyDescent="0.3">
      <c r="B22" s="8">
        <v>45</v>
      </c>
      <c r="C22">
        <f>SUMIF('Newton-Miller_Convert'!C:C,'Newton-Miller_Convert'!L22,'Newton-Miller_Convert'!E:E)</f>
        <v>0</v>
      </c>
      <c r="D22">
        <f>SUMIF('Newton-Miller_Convert'!B:B,'Newton-Miller_Convert'!L22,'Newton-Miller_Convert'!G:G)</f>
        <v>0.1</v>
      </c>
    </row>
    <row r="23" spans="2:4" x14ac:dyDescent="0.3">
      <c r="B23" s="8">
        <v>48</v>
      </c>
      <c r="C23">
        <f>SUMIF('Newton-Miller_Convert'!C:C,'Newton-Miller_Convert'!L23,'Newton-Miller_Convert'!E:E)</f>
        <v>0</v>
      </c>
      <c r="D23">
        <f>SUMIF('Newton-Miller_Convert'!B:B,'Newton-Miller_Convert'!L23,'Newton-Miller_Convert'!G:G)</f>
        <v>0</v>
      </c>
    </row>
    <row r="24" spans="2:4" x14ac:dyDescent="0.3">
      <c r="B24" s="8">
        <v>49</v>
      </c>
      <c r="C24">
        <f>SUMIF('Newton-Miller_Convert'!C:C,'Newton-Miller_Convert'!L24,'Newton-Miller_Convert'!E:E)</f>
        <v>0.1</v>
      </c>
      <c r="D24">
        <f>SUMIF('Newton-Miller_Convert'!B:B,'Newton-Miller_Convert'!L24,'Newton-Miller_Convert'!G:G)</f>
        <v>0</v>
      </c>
    </row>
    <row r="25" spans="2:4" x14ac:dyDescent="0.3">
      <c r="B25" s="8">
        <v>50</v>
      </c>
      <c r="C25">
        <f>SUMIF('Newton-Miller_Convert'!C:C,'Newton-Miller_Convert'!L25,'Newton-Miller_Convert'!E:E)</f>
        <v>0.95</v>
      </c>
      <c r="D25">
        <f>SUMIF('Newton-Miller_Convert'!B:B,'Newton-Miller_Convert'!L25,'Newton-Miller_Convert'!G:G)</f>
        <v>2.4500000000000002</v>
      </c>
    </row>
    <row r="26" spans="2:4" x14ac:dyDescent="0.3">
      <c r="B26" s="8">
        <v>53</v>
      </c>
      <c r="C26">
        <f>SUMIF('Newton-Miller_Convert'!C:C,'Newton-Miller_Convert'!L26,'Newton-Miller_Convert'!E:E)</f>
        <v>0</v>
      </c>
      <c r="D26">
        <f>SUMIF('Newton-Miller_Convert'!B:B,'Newton-Miller_Convert'!L26,'Newton-Miller_Convert'!G:G)</f>
        <v>0</v>
      </c>
    </row>
    <row r="27" spans="2:4" x14ac:dyDescent="0.3">
      <c r="B27" s="8">
        <v>54</v>
      </c>
      <c r="C27">
        <f>SUMIF('Newton-Miller_Convert'!C:C,'Newton-Miller_Convert'!L27,'Newton-Miller_Convert'!E:E)</f>
        <v>0</v>
      </c>
      <c r="D27">
        <f>SUMIF('Newton-Miller_Convert'!B:B,'Newton-Miller_Convert'!L27,'Newton-Miller_Convert'!G:G)</f>
        <v>0</v>
      </c>
    </row>
    <row r="28" spans="2:4" x14ac:dyDescent="0.3">
      <c r="B28" s="8">
        <v>55</v>
      </c>
      <c r="C28">
        <f>SUMIF('Newton-Miller_Convert'!C:C,'Newton-Miller_Convert'!L28,'Newton-Miller_Convert'!E:E)</f>
        <v>0</v>
      </c>
      <c r="D28">
        <f>SUMIF('Newton-Miller_Convert'!B:B,'Newton-Miller_Convert'!L28,'Newton-Miller_Convert'!G:G)</f>
        <v>0</v>
      </c>
    </row>
    <row r="29" spans="2:4" x14ac:dyDescent="0.3">
      <c r="B29" s="8">
        <v>56</v>
      </c>
      <c r="C29">
        <f>SUMIF('Newton-Miller_Convert'!C:C,'Newton-Miller_Convert'!L29,'Newton-Miller_Convert'!E:E)</f>
        <v>0</v>
      </c>
      <c r="D29">
        <f>SUMIF('Newton-Miller_Convert'!B:B,'Newton-Miller_Convert'!L29,'Newton-Miller_Convert'!G:G)</f>
        <v>0</v>
      </c>
    </row>
    <row r="30" spans="2:4" x14ac:dyDescent="0.3">
      <c r="B30" s="8">
        <v>58</v>
      </c>
      <c r="C30">
        <f>SUMIF('Newton-Miller_Convert'!C:C,'Newton-Miller_Convert'!L30,'Newton-Miller_Convert'!E:E)</f>
        <v>0</v>
      </c>
      <c r="D30">
        <f>SUMIF('Newton-Miller_Convert'!B:B,'Newton-Miller_Convert'!L30,'Newton-Miller_Convert'!G:G)</f>
        <v>0</v>
      </c>
    </row>
    <row r="31" spans="2:4" x14ac:dyDescent="0.3">
      <c r="B31" s="8">
        <v>60</v>
      </c>
      <c r="C31">
        <f>SUMIF('Newton-Miller_Convert'!C:C,'Newton-Miller_Convert'!L31,'Newton-Miller_Convert'!E:E)</f>
        <v>1.25</v>
      </c>
      <c r="D31">
        <f>SUMIF('Newton-Miller_Convert'!B:B,'Newton-Miller_Convert'!L31,'Newton-Miller_Convert'!G:G)</f>
        <v>0.5</v>
      </c>
    </row>
    <row r="32" spans="2:4" x14ac:dyDescent="0.3">
      <c r="B32" s="8">
        <v>65</v>
      </c>
      <c r="C32">
        <f>SUMIF('Newton-Miller_Convert'!C:C,'Newton-Miller_Convert'!L32,'Newton-Miller_Convert'!E:E)</f>
        <v>0</v>
      </c>
      <c r="D32">
        <f>SUMIF('Newton-Miller_Convert'!B:B,'Newton-Miller_Convert'!L32,'Newton-Miller_Convert'!G:G)</f>
        <v>0</v>
      </c>
    </row>
    <row r="33" spans="2:4" x14ac:dyDescent="0.3">
      <c r="B33" s="8">
        <v>66</v>
      </c>
      <c r="C33">
        <f>SUMIF('Newton-Miller_Convert'!C:C,'Newton-Miller_Convert'!L33,'Newton-Miller_Convert'!E:E)</f>
        <v>0</v>
      </c>
      <c r="D33">
        <f>SUMIF('Newton-Miller_Convert'!B:B,'Newton-Miller_Convert'!L33,'Newton-Miller_Convert'!G:G)</f>
        <v>0</v>
      </c>
    </row>
    <row r="34" spans="2:4" x14ac:dyDescent="0.3">
      <c r="B34" s="8">
        <v>67</v>
      </c>
      <c r="C34">
        <f>SUMIF('Newton-Miller_Convert'!C:C,'Newton-Miller_Convert'!L34,'Newton-Miller_Convert'!E:E)</f>
        <v>0</v>
      </c>
      <c r="D34">
        <f>SUMIF('Newton-Miller_Convert'!B:B,'Newton-Miller_Convert'!L34,'Newton-Miller_Convert'!G:G)</f>
        <v>0</v>
      </c>
    </row>
    <row r="35" spans="2:4" x14ac:dyDescent="0.3">
      <c r="B35" s="8">
        <v>69</v>
      </c>
      <c r="C35">
        <f>SUMIF('Newton-Miller_Convert'!C:C,'Newton-Miller_Convert'!L35,'Newton-Miller_Convert'!E:E)</f>
        <v>0.25</v>
      </c>
      <c r="D35">
        <f>SUMIF('Newton-Miller_Convert'!B:B,'Newton-Miller_Convert'!L35,'Newton-Miller_Convert'!G:G)</f>
        <v>0.1</v>
      </c>
    </row>
    <row r="36" spans="2:4" x14ac:dyDescent="0.3">
      <c r="B36" s="8">
        <v>70</v>
      </c>
      <c r="C36">
        <f>SUMIF('Newton-Miller_Convert'!C:C,'Newton-Miller_Convert'!L36,'Newton-Miller_Convert'!E:E)</f>
        <v>0.35</v>
      </c>
      <c r="D36">
        <f>SUMIF('Newton-Miller_Convert'!B:B,'Newton-Miller_Convert'!L36,'Newton-Miller_Convert'!G:G)</f>
        <v>1.55</v>
      </c>
    </row>
    <row r="37" spans="2:4" x14ac:dyDescent="0.3">
      <c r="B37" s="8">
        <v>71</v>
      </c>
      <c r="C37">
        <f>SUMIF('Newton-Miller_Convert'!C:C,'Newton-Miller_Convert'!L37,'Newton-Miller_Convert'!E:E)</f>
        <v>0</v>
      </c>
      <c r="D37">
        <f>SUMIF('Newton-Miller_Convert'!B:B,'Newton-Miller_Convert'!L37,'Newton-Miller_Convert'!G:G)</f>
        <v>0</v>
      </c>
    </row>
    <row r="38" spans="2:4" x14ac:dyDescent="0.3">
      <c r="B38" s="8">
        <v>72</v>
      </c>
      <c r="C38">
        <f>SUMIF('Newton-Miller_Convert'!C:C,'Newton-Miller_Convert'!L38,'Newton-Miller_Convert'!E:E)</f>
        <v>0</v>
      </c>
      <c r="D38">
        <f>SUMIF('Newton-Miller_Convert'!B:B,'Newton-Miller_Convert'!L38,'Newton-Miller_Convert'!G:G)</f>
        <v>0</v>
      </c>
    </row>
    <row r="39" spans="2:4" x14ac:dyDescent="0.3">
      <c r="B39" s="8">
        <v>73</v>
      </c>
      <c r="C39">
        <f>SUMIF('Newton-Miller_Convert'!C:C,'Newton-Miller_Convert'!L39,'Newton-Miller_Convert'!E:E)</f>
        <v>0.75</v>
      </c>
      <c r="D39">
        <f>SUMIF('Newton-Miller_Convert'!B:B,'Newton-Miller_Convert'!L39,'Newton-Miller_Convert'!G:G)</f>
        <v>0</v>
      </c>
    </row>
    <row r="40" spans="2:4" x14ac:dyDescent="0.3">
      <c r="B40" s="8">
        <v>74</v>
      </c>
      <c r="C40">
        <f>SUMIF('Newton-Miller_Convert'!C:C,'Newton-Miller_Convert'!L40,'Newton-Miller_Convert'!E:E)</f>
        <v>0</v>
      </c>
      <c r="D40">
        <f>SUMIF('Newton-Miller_Convert'!B:B,'Newton-Miller_Convert'!L40,'Newton-Miller_Convert'!G:G)</f>
        <v>0</v>
      </c>
    </row>
    <row r="41" spans="2:4" x14ac:dyDescent="0.3">
      <c r="B41" s="8">
        <v>75</v>
      </c>
      <c r="C41">
        <f>SUMIF('Newton-Miller_Convert'!C:C,'Newton-Miller_Convert'!L41,'Newton-Miller_Convert'!E:E)</f>
        <v>0</v>
      </c>
      <c r="D41">
        <f>SUMIF('Newton-Miller_Convert'!B:B,'Newton-Miller_Convert'!L41,'Newton-Miller_Convert'!G:G)</f>
        <v>0</v>
      </c>
    </row>
    <row r="42" spans="2:4" x14ac:dyDescent="0.3">
      <c r="B42" s="8">
        <v>77</v>
      </c>
      <c r="C42">
        <f>SUMIF('Newton-Miller_Convert'!C:C,'Newton-Miller_Convert'!L42,'Newton-Miller_Convert'!E:E)</f>
        <v>0</v>
      </c>
      <c r="D42">
        <f>SUMIF('Newton-Miller_Convert'!B:B,'Newton-Miller_Convert'!L42,'Newton-Miller_Convert'!G:G)</f>
        <v>0</v>
      </c>
    </row>
    <row r="43" spans="2:4" x14ac:dyDescent="0.3">
      <c r="B43" s="8">
        <v>78</v>
      </c>
      <c r="C43">
        <f>SUMIF('Newton-Miller_Convert'!C:C,'Newton-Miller_Convert'!L43,'Newton-Miller_Convert'!E:E)</f>
        <v>0</v>
      </c>
      <c r="D43">
        <f>SUMIF('Newton-Miller_Convert'!B:B,'Newton-Miller_Convert'!L43,'Newton-Miller_Convert'!G:G)</f>
        <v>0</v>
      </c>
    </row>
    <row r="44" spans="2:4" x14ac:dyDescent="0.3">
      <c r="B44" s="8">
        <v>79</v>
      </c>
      <c r="C44">
        <f>SUMIF('Newton-Miller_Convert'!C:C,'Newton-Miller_Convert'!L44,'Newton-Miller_Convert'!E:E)</f>
        <v>0.85</v>
      </c>
      <c r="D44">
        <f>SUMIF('Newton-Miller_Convert'!B:B,'Newton-Miller_Convert'!L44,'Newton-Miller_Convert'!G:G)</f>
        <v>0.65</v>
      </c>
    </row>
    <row r="45" spans="2:4" x14ac:dyDescent="0.3">
      <c r="B45" s="8">
        <v>80</v>
      </c>
      <c r="C45">
        <f>SUMIF('Newton-Miller_Convert'!C:C,'Newton-Miller_Convert'!L45,'Newton-Miller_Convert'!E:E)</f>
        <v>0.85</v>
      </c>
      <c r="D45">
        <f>SUMIF('Newton-Miller_Convert'!B:B,'Newton-Miller_Convert'!L45,'Newton-Miller_Convert'!G:G)</f>
        <v>1.8</v>
      </c>
    </row>
    <row r="46" spans="2:4" x14ac:dyDescent="0.3">
      <c r="B46" s="8">
        <v>86</v>
      </c>
      <c r="C46">
        <f>SUMIF('Newton-Miller_Convert'!C:C,'Newton-Miller_Convert'!L46,'Newton-Miller_Convert'!E:E)</f>
        <v>0</v>
      </c>
      <c r="D46">
        <f>SUMIF('Newton-Miller_Convert'!B:B,'Newton-Miller_Convert'!L46,'Newton-Miller_Convert'!G:G)</f>
        <v>0</v>
      </c>
    </row>
    <row r="47" spans="2:4" x14ac:dyDescent="0.3">
      <c r="B47" s="8">
        <v>87</v>
      </c>
      <c r="C47">
        <f>SUMIF('Newton-Miller_Convert'!C:C,'Newton-Miller_Convert'!L47,'Newton-Miller_Convert'!E:E)</f>
        <v>0</v>
      </c>
      <c r="D47">
        <f>SUMIF('Newton-Miller_Convert'!B:B,'Newton-Miller_Convert'!L47,'Newton-Miller_Convert'!G:G)</f>
        <v>0</v>
      </c>
    </row>
    <row r="48" spans="2:4" x14ac:dyDescent="0.3">
      <c r="B48" s="8">
        <v>89</v>
      </c>
      <c r="C48">
        <f>SUMIF('Newton-Miller_Convert'!C:C,'Newton-Miller_Convert'!L48,'Newton-Miller_Convert'!E:E)</f>
        <v>0</v>
      </c>
      <c r="D48">
        <f>SUMIF('Newton-Miller_Convert'!B:B,'Newton-Miller_Convert'!L48,'Newton-Miller_Convert'!G:G)</f>
        <v>0</v>
      </c>
    </row>
    <row r="49" spans="2:4" x14ac:dyDescent="0.3">
      <c r="B49" s="8">
        <v>90</v>
      </c>
      <c r="C49">
        <f>SUMIF('Newton-Miller_Convert'!C:C,'Newton-Miller_Convert'!L49,'Newton-Miller_Convert'!E:E)</f>
        <v>1.8</v>
      </c>
      <c r="D49">
        <f>SUMIF('Newton-Miller_Convert'!B:B,'Newton-Miller_Convert'!L49,'Newton-Miller_Convert'!G:G)</f>
        <v>1.0999999999999999</v>
      </c>
    </row>
    <row r="50" spans="2:4" x14ac:dyDescent="0.3">
      <c r="B50" s="8">
        <v>95</v>
      </c>
      <c r="C50">
        <f>SUMIF('Newton-Miller_Convert'!C:C,'Newton-Miller_Convert'!L50,'Newton-Miller_Convert'!E:E)</f>
        <v>0.1</v>
      </c>
      <c r="D50">
        <f>SUMIF('Newton-Miller_Convert'!B:B,'Newton-Miller_Convert'!L50,'Newton-Miller_Convert'!G:G)</f>
        <v>0</v>
      </c>
    </row>
    <row r="51" spans="2:4" x14ac:dyDescent="0.3">
      <c r="B51" s="8">
        <v>97</v>
      </c>
      <c r="C51">
        <f>SUMIF('Newton-Miller_Convert'!C:C,'Newton-Miller_Convert'!L51,'Newton-Miller_Convert'!E:E)</f>
        <v>0</v>
      </c>
      <c r="D51">
        <f>SUMIF('Newton-Miller_Convert'!B:B,'Newton-Miller_Convert'!L51,'Newton-Miller_Convert'!G:G)</f>
        <v>0</v>
      </c>
    </row>
    <row r="52" spans="2:4" x14ac:dyDescent="0.3">
      <c r="B52" s="8">
        <v>98</v>
      </c>
      <c r="C52">
        <f>SUMIF('Newton-Miller_Convert'!C:C,'Newton-Miller_Convert'!L52,'Newton-Miller_Convert'!E:E)</f>
        <v>1.5</v>
      </c>
      <c r="D52">
        <f>SUMIF('Newton-Miller_Convert'!B:B,'Newton-Miller_Convert'!L52,'Newton-Miller_Convert'!G:G)</f>
        <v>0</v>
      </c>
    </row>
    <row r="53" spans="2:4" x14ac:dyDescent="0.3">
      <c r="B53" s="8">
        <v>99</v>
      </c>
      <c r="C53">
        <f>SUMIF('Newton-Miller_Convert'!C:C,'Newton-Miller_Convert'!L53,'Newton-Miller_Convert'!E:E)</f>
        <v>0</v>
      </c>
      <c r="D53">
        <f>SUMIF('Newton-Miller_Convert'!B:B,'Newton-Miller_Convert'!L53,'Newton-Miller_Convert'!G:G)</f>
        <v>2.15</v>
      </c>
    </row>
    <row r="54" spans="2:4" x14ac:dyDescent="0.3">
      <c r="B54" s="8">
        <v>100</v>
      </c>
      <c r="C54">
        <f>SUMIF('Newton-Miller_Convert'!C:C,'Newton-Miller_Convert'!L54,'Newton-Miller_Convert'!E:E)</f>
        <v>2.7500000000000004</v>
      </c>
      <c r="D54">
        <f>SUMIF('Newton-Miller_Convert'!B:B,'Newton-Miller_Convert'!L54,'Newton-Miller_Convert'!G:G)</f>
        <v>14.250000000000002</v>
      </c>
    </row>
    <row r="55" spans="2:4" x14ac:dyDescent="0.3">
      <c r="B55" s="8">
        <v>101</v>
      </c>
      <c r="C55">
        <f>SUMIF('Newton-Miller_Convert'!C:C,'Newton-Miller_Convert'!L55,'Newton-Miller_Convert'!E:E)</f>
        <v>0</v>
      </c>
      <c r="D55">
        <f>SUMIF('Newton-Miller_Convert'!B:B,'Newton-Miller_Convert'!L55,'Newton-Miller_Convert'!G:G)</f>
        <v>0</v>
      </c>
    </row>
    <row r="56" spans="2:4" x14ac:dyDescent="0.3">
      <c r="B56" s="8">
        <v>102</v>
      </c>
      <c r="C56">
        <f>SUMIF('Newton-Miller_Convert'!C:C,'Newton-Miller_Convert'!L56,'Newton-Miller_Convert'!E:E)</f>
        <v>0</v>
      </c>
      <c r="D56">
        <f>SUMIF('Newton-Miller_Convert'!B:B,'Newton-Miller_Convert'!L56,'Newton-Miller_Convert'!G:G)</f>
        <v>0</v>
      </c>
    </row>
    <row r="57" spans="2:4" x14ac:dyDescent="0.3">
      <c r="B57" s="8">
        <v>105</v>
      </c>
      <c r="C57">
        <f>SUMIF('Newton-Miller_Convert'!C:C,'Newton-Miller_Convert'!L57,'Newton-Miller_Convert'!E:E)</f>
        <v>0.25</v>
      </c>
      <c r="D57">
        <f>SUMIF('Newton-Miller_Convert'!B:B,'Newton-Miller_Convert'!L57,'Newton-Miller_Convert'!G:G)</f>
        <v>0</v>
      </c>
    </row>
    <row r="58" spans="2:4" x14ac:dyDescent="0.3">
      <c r="B58" s="8">
        <v>106</v>
      </c>
      <c r="C58">
        <f>SUMIF('Newton-Miller_Convert'!C:C,'Newton-Miller_Convert'!L58,'Newton-Miller_Convert'!E:E)</f>
        <v>0</v>
      </c>
      <c r="D58">
        <f>SUMIF('Newton-Miller_Convert'!B:B,'Newton-Miller_Convert'!L58,'Newton-Miller_Convert'!G:G)</f>
        <v>0</v>
      </c>
    </row>
    <row r="59" spans="2:4" x14ac:dyDescent="0.3">
      <c r="B59" s="8">
        <v>110</v>
      </c>
      <c r="C59">
        <f>SUMIF('Newton-Miller_Convert'!C:C,'Newton-Miller_Convert'!L59,'Newton-Miller_Convert'!E:E)</f>
        <v>0.6</v>
      </c>
      <c r="D59">
        <f>SUMIF('Newton-Miller_Convert'!B:B,'Newton-Miller_Convert'!L59,'Newton-Miller_Convert'!G:G)</f>
        <v>0.75</v>
      </c>
    </row>
    <row r="60" spans="2:4" x14ac:dyDescent="0.3">
      <c r="B60" s="8">
        <v>115</v>
      </c>
      <c r="C60">
        <f>SUMIF('Newton-Miller_Convert'!C:C,'Newton-Miller_Convert'!L60,'Newton-Miller_Convert'!E:E)</f>
        <v>0</v>
      </c>
      <c r="D60">
        <f>SUMIF('Newton-Miller_Convert'!B:B,'Newton-Miller_Convert'!L60,'Newton-Miller_Convert'!G:G)</f>
        <v>0.5</v>
      </c>
    </row>
    <row r="61" spans="2:4" x14ac:dyDescent="0.3">
      <c r="B61" s="8">
        <v>119</v>
      </c>
      <c r="C61">
        <f>SUMIF('Newton-Miller_Convert'!C:C,'Newton-Miller_Convert'!L61,'Newton-Miller_Convert'!E:E)</f>
        <v>0</v>
      </c>
      <c r="D61">
        <f>SUMIF('Newton-Miller_Convert'!B:B,'Newton-Miller_Convert'!L61,'Newton-Miller_Convert'!G:G)</f>
        <v>0</v>
      </c>
    </row>
    <row r="62" spans="2:4" x14ac:dyDescent="0.3">
      <c r="B62" s="8">
        <v>120</v>
      </c>
      <c r="C62">
        <f>SUMIF('Newton-Miller_Convert'!C:C,'Newton-Miller_Convert'!L62,'Newton-Miller_Convert'!E:E)</f>
        <v>6.35</v>
      </c>
      <c r="D62">
        <f>SUMIF('Newton-Miller_Convert'!B:B,'Newton-Miller_Convert'!L62,'Newton-Miller_Convert'!G:G)</f>
        <v>0.95000000000000007</v>
      </c>
    </row>
    <row r="63" spans="2:4" x14ac:dyDescent="0.3">
      <c r="B63" s="8">
        <v>125</v>
      </c>
      <c r="C63">
        <f>SUMIF('Newton-Miller_Convert'!C:C,'Newton-Miller_Convert'!L63,'Newton-Miller_Convert'!E:E)</f>
        <v>0.75</v>
      </c>
      <c r="D63">
        <f>SUMIF('Newton-Miller_Convert'!B:B,'Newton-Miller_Convert'!L63,'Newton-Miller_Convert'!G:G)</f>
        <v>0.75</v>
      </c>
    </row>
    <row r="64" spans="2:4" x14ac:dyDescent="0.3">
      <c r="B64" s="8">
        <v>126</v>
      </c>
      <c r="C64">
        <f>SUMIF('Newton-Miller_Convert'!C:C,'Newton-Miller_Convert'!L64,'Newton-Miller_Convert'!E:E)</f>
        <v>0</v>
      </c>
      <c r="D64">
        <f>SUMIF('Newton-Miller_Convert'!B:B,'Newton-Miller_Convert'!L64,'Newton-Miller_Convert'!G:G)</f>
        <v>0</v>
      </c>
    </row>
    <row r="65" spans="2:4" x14ac:dyDescent="0.3">
      <c r="B65" s="8">
        <v>127</v>
      </c>
      <c r="C65">
        <f>SUMIF('Newton-Miller_Convert'!C:C,'Newton-Miller_Convert'!L65,'Newton-Miller_Convert'!E:E)</f>
        <v>0.75</v>
      </c>
      <c r="D65">
        <f>SUMIF('Newton-Miller_Convert'!B:B,'Newton-Miller_Convert'!L65,'Newton-Miller_Convert'!G:G)</f>
        <v>0</v>
      </c>
    </row>
    <row r="66" spans="2:4" x14ac:dyDescent="0.3">
      <c r="B66" s="8">
        <v>128</v>
      </c>
      <c r="C66">
        <f>SUMIF('Newton-Miller_Convert'!C:C,'Newton-Miller_Convert'!L66,'Newton-Miller_Convert'!E:E)</f>
        <v>0</v>
      </c>
      <c r="D66">
        <f>SUMIF('Newton-Miller_Convert'!B:B,'Newton-Miller_Convert'!L66,'Newton-Miller_Convert'!G:G)</f>
        <v>0</v>
      </c>
    </row>
    <row r="67" spans="2:4" x14ac:dyDescent="0.3">
      <c r="B67" s="8">
        <v>129</v>
      </c>
      <c r="C67">
        <f>SUMIF('Newton-Miller_Convert'!C:C,'Newton-Miller_Convert'!L67,'Newton-Miller_Convert'!E:E)</f>
        <v>0.1</v>
      </c>
      <c r="D67">
        <f>SUMIF('Newton-Miller_Convert'!B:B,'Newton-Miller_Convert'!L67,'Newton-Miller_Convert'!G:G)</f>
        <v>0</v>
      </c>
    </row>
    <row r="68" spans="2:4" x14ac:dyDescent="0.3">
      <c r="B68" s="8">
        <v>130</v>
      </c>
      <c r="C68">
        <f>SUMIF('Newton-Miller_Convert'!C:C,'Newton-Miller_Convert'!L68,'Newton-Miller_Convert'!E:E)</f>
        <v>1.4000000000000001</v>
      </c>
      <c r="D68">
        <f>SUMIF('Newton-Miller_Convert'!B:B,'Newton-Miller_Convert'!L68,'Newton-Miller_Convert'!G:G)</f>
        <v>1.6</v>
      </c>
    </row>
    <row r="69" spans="2:4" x14ac:dyDescent="0.3">
      <c r="B69" s="8">
        <v>133</v>
      </c>
      <c r="C69">
        <f>SUMIF('Newton-Miller_Convert'!C:C,'Newton-Miller_Convert'!L69,'Newton-Miller_Convert'!E:E)</f>
        <v>0</v>
      </c>
      <c r="D69">
        <f>SUMIF('Newton-Miller_Convert'!B:B,'Newton-Miller_Convert'!L69,'Newton-Miller_Convert'!G:G)</f>
        <v>0</v>
      </c>
    </row>
    <row r="70" spans="2:4" x14ac:dyDescent="0.3">
      <c r="B70" s="8">
        <v>135</v>
      </c>
      <c r="C70">
        <f>SUMIF('Newton-Miller_Convert'!C:C,'Newton-Miller_Convert'!L70,'Newton-Miller_Convert'!E:E)</f>
        <v>0</v>
      </c>
      <c r="D70">
        <f>SUMIF('Newton-Miller_Convert'!B:B,'Newton-Miller_Convert'!L70,'Newton-Miller_Convert'!G:G)</f>
        <v>0</v>
      </c>
    </row>
    <row r="71" spans="2:4" x14ac:dyDescent="0.3">
      <c r="B71" s="8">
        <v>138</v>
      </c>
      <c r="C71">
        <f>SUMIF('Newton-Miller_Convert'!C:C,'Newton-Miller_Convert'!L71,'Newton-Miller_Convert'!E:E)</f>
        <v>0.1</v>
      </c>
      <c r="D71">
        <f>SUMIF('Newton-Miller_Convert'!B:B,'Newton-Miller_Convert'!L71,'Newton-Miller_Convert'!G:G)</f>
        <v>0</v>
      </c>
    </row>
    <row r="72" spans="2:4" x14ac:dyDescent="0.3">
      <c r="B72" s="8">
        <v>139</v>
      </c>
      <c r="C72">
        <f>SUMIF('Newton-Miller_Convert'!C:C,'Newton-Miller_Convert'!L72,'Newton-Miller_Convert'!E:E)</f>
        <v>0</v>
      </c>
      <c r="D72">
        <f>SUMIF('Newton-Miller_Convert'!B:B,'Newton-Miller_Convert'!L72,'Newton-Miller_Convert'!G:G)</f>
        <v>0</v>
      </c>
    </row>
    <row r="73" spans="2:4" x14ac:dyDescent="0.3">
      <c r="B73" s="8">
        <v>140</v>
      </c>
      <c r="C73">
        <f>SUMIF('Newton-Miller_Convert'!C:C,'Newton-Miller_Convert'!L73,'Newton-Miller_Convert'!E:E)</f>
        <v>1.5</v>
      </c>
      <c r="D73">
        <f>SUMIF('Newton-Miller_Convert'!B:B,'Newton-Miller_Convert'!L73,'Newton-Miller_Convert'!G:G)</f>
        <v>1.4500000000000002</v>
      </c>
    </row>
    <row r="74" spans="2:4" x14ac:dyDescent="0.3">
      <c r="B74" s="8">
        <v>142</v>
      </c>
      <c r="C74">
        <f>SUMIF('Newton-Miller_Convert'!C:C,'Newton-Miller_Convert'!L74,'Newton-Miller_Convert'!E:E)</f>
        <v>0</v>
      </c>
      <c r="D74">
        <f>SUMIF('Newton-Miller_Convert'!B:B,'Newton-Miller_Convert'!L74,'Newton-Miller_Convert'!G:G)</f>
        <v>0</v>
      </c>
    </row>
    <row r="75" spans="2:4" x14ac:dyDescent="0.3">
      <c r="B75" s="8">
        <v>145</v>
      </c>
      <c r="C75">
        <f>SUMIF('Newton-Miller_Convert'!C:C,'Newton-Miller_Convert'!L75,'Newton-Miller_Convert'!E:E)</f>
        <v>0</v>
      </c>
      <c r="D75">
        <f>SUMIF('Newton-Miller_Convert'!B:B,'Newton-Miller_Convert'!L75,'Newton-Miller_Convert'!G:G)</f>
        <v>0</v>
      </c>
    </row>
    <row r="76" spans="2:4" x14ac:dyDescent="0.3">
      <c r="B76" s="8">
        <v>146</v>
      </c>
      <c r="C76">
        <f>SUMIF('Newton-Miller_Convert'!C:C,'Newton-Miller_Convert'!L76,'Newton-Miller_Convert'!E:E)</f>
        <v>0.75</v>
      </c>
      <c r="D76">
        <f>SUMIF('Newton-Miller_Convert'!B:B,'Newton-Miller_Convert'!L76,'Newton-Miller_Convert'!G:G)</f>
        <v>0</v>
      </c>
    </row>
    <row r="77" spans="2:4" x14ac:dyDescent="0.3">
      <c r="B77" s="8">
        <v>148</v>
      </c>
      <c r="C77">
        <f>SUMIF('Newton-Miller_Convert'!C:C,'Newton-Miller_Convert'!L77,'Newton-Miller_Convert'!E:E)</f>
        <v>0.1</v>
      </c>
      <c r="D77">
        <f>SUMIF('Newton-Miller_Convert'!B:B,'Newton-Miller_Convert'!L77,'Newton-Miller_Convert'!G:G)</f>
        <v>0</v>
      </c>
    </row>
    <row r="78" spans="2:4" x14ac:dyDescent="0.3">
      <c r="B78" s="8">
        <v>149</v>
      </c>
      <c r="C78">
        <f>SUMIF('Newton-Miller_Convert'!C:C,'Newton-Miller_Convert'!L78,'Newton-Miller_Convert'!E:E)</f>
        <v>0.2</v>
      </c>
      <c r="D78">
        <f>SUMIF('Newton-Miller_Convert'!B:B,'Newton-Miller_Convert'!L78,'Newton-Miller_Convert'!G:G)</f>
        <v>0</v>
      </c>
    </row>
    <row r="79" spans="2:4" x14ac:dyDescent="0.3">
      <c r="B79" s="8">
        <v>150</v>
      </c>
      <c r="C79">
        <f>SUMIF('Newton-Miller_Convert'!C:C,'Newton-Miller_Convert'!L79,'Newton-Miller_Convert'!E:E)</f>
        <v>7.1499999999999986</v>
      </c>
      <c r="D79">
        <f>SUMIF('Newton-Miller_Convert'!B:B,'Newton-Miller_Convert'!L79,'Newton-Miller_Convert'!G:G)</f>
        <v>22.099999999999994</v>
      </c>
    </row>
    <row r="80" spans="2:4" x14ac:dyDescent="0.3">
      <c r="B80" s="8">
        <v>154</v>
      </c>
      <c r="C80">
        <f>SUMIF('Newton-Miller_Convert'!C:C,'Newton-Miller_Convert'!L80,'Newton-Miller_Convert'!E:E)</f>
        <v>0</v>
      </c>
      <c r="D80">
        <f>SUMIF('Newton-Miller_Convert'!B:B,'Newton-Miller_Convert'!L80,'Newton-Miller_Convert'!G:G)</f>
        <v>0.15</v>
      </c>
    </row>
    <row r="81" spans="2:4" x14ac:dyDescent="0.3">
      <c r="B81" s="8">
        <v>155</v>
      </c>
      <c r="C81">
        <f>SUMIF('Newton-Miller_Convert'!C:C,'Newton-Miller_Convert'!L81,'Newton-Miller_Convert'!E:E)</f>
        <v>0.30000000000000004</v>
      </c>
      <c r="D81">
        <f>SUMIF('Newton-Miller_Convert'!B:B,'Newton-Miller_Convert'!L81,'Newton-Miller_Convert'!G:G)</f>
        <v>0</v>
      </c>
    </row>
    <row r="82" spans="2:4" x14ac:dyDescent="0.3">
      <c r="B82" s="8">
        <v>159</v>
      </c>
      <c r="C82">
        <f>SUMIF('Newton-Miller_Convert'!C:C,'Newton-Miller_Convert'!L82,'Newton-Miller_Convert'!E:E)</f>
        <v>0.25</v>
      </c>
      <c r="D82">
        <f>SUMIF('Newton-Miller_Convert'!B:B,'Newton-Miller_Convert'!L82,'Newton-Miller_Convert'!G:G)</f>
        <v>0</v>
      </c>
    </row>
    <row r="83" spans="2:4" x14ac:dyDescent="0.3">
      <c r="B83" s="8">
        <v>160</v>
      </c>
      <c r="C83">
        <f>SUMIF('Newton-Miller_Convert'!C:C,'Newton-Miller_Convert'!L83,'Newton-Miller_Convert'!E:E)</f>
        <v>1.9</v>
      </c>
      <c r="D83">
        <f>SUMIF('Newton-Miller_Convert'!B:B,'Newton-Miller_Convert'!L83,'Newton-Miller_Convert'!G:G)</f>
        <v>2.2000000000000002</v>
      </c>
    </row>
    <row r="84" spans="2:4" x14ac:dyDescent="0.3">
      <c r="B84" s="8">
        <v>165</v>
      </c>
      <c r="C84">
        <f>SUMIF('Newton-Miller_Convert'!C:C,'Newton-Miller_Convert'!L84,'Newton-Miller_Convert'!E:E)</f>
        <v>0.25</v>
      </c>
      <c r="D84">
        <f>SUMIF('Newton-Miller_Convert'!B:B,'Newton-Miller_Convert'!L84,'Newton-Miller_Convert'!G:G)</f>
        <v>0</v>
      </c>
    </row>
    <row r="85" spans="2:4" x14ac:dyDescent="0.3">
      <c r="B85" s="8">
        <v>170</v>
      </c>
      <c r="C85">
        <f>SUMIF('Newton-Miller_Convert'!C:C,'Newton-Miller_Convert'!L85,'Newton-Miller_Convert'!E:E)</f>
        <v>1.4000000000000001</v>
      </c>
      <c r="D85">
        <f>SUMIF('Newton-Miller_Convert'!B:B,'Newton-Miller_Convert'!L85,'Newton-Miller_Convert'!G:G)</f>
        <v>0.25</v>
      </c>
    </row>
    <row r="86" spans="2:4" x14ac:dyDescent="0.3">
      <c r="B86" s="8">
        <v>171</v>
      </c>
      <c r="C86">
        <f>SUMIF('Newton-Miller_Convert'!C:C,'Newton-Miller_Convert'!L86,'Newton-Miller_Convert'!E:E)</f>
        <v>0</v>
      </c>
      <c r="D86">
        <f>SUMIF('Newton-Miller_Convert'!B:B,'Newton-Miller_Convert'!L86,'Newton-Miller_Convert'!G:G)</f>
        <v>0.65</v>
      </c>
    </row>
    <row r="87" spans="2:4" x14ac:dyDescent="0.3">
      <c r="B87" s="8">
        <v>174</v>
      </c>
      <c r="C87">
        <f>SUMIF('Newton-Miller_Convert'!C:C,'Newton-Miller_Convert'!L87,'Newton-Miller_Convert'!E:E)</f>
        <v>0.25</v>
      </c>
      <c r="D87">
        <f>SUMIF('Newton-Miller_Convert'!B:B,'Newton-Miller_Convert'!L87,'Newton-Miller_Convert'!G:G)</f>
        <v>0</v>
      </c>
    </row>
    <row r="88" spans="2:4" x14ac:dyDescent="0.3">
      <c r="B88" s="8">
        <v>175</v>
      </c>
      <c r="C88">
        <f>SUMIF('Newton-Miller_Convert'!C:C,'Newton-Miller_Convert'!L88,'Newton-Miller_Convert'!E:E)</f>
        <v>0.1</v>
      </c>
      <c r="D88">
        <f>SUMIF('Newton-Miller_Convert'!B:B,'Newton-Miller_Convert'!L88,'Newton-Miller_Convert'!G:G)</f>
        <v>0</v>
      </c>
    </row>
    <row r="89" spans="2:4" x14ac:dyDescent="0.3">
      <c r="B89" s="8">
        <v>180</v>
      </c>
      <c r="C89">
        <f>SUMIF('Newton-Miller_Convert'!C:C,'Newton-Miller_Convert'!L89,'Newton-Miller_Convert'!E:E)</f>
        <v>3.2000000000000006</v>
      </c>
      <c r="D89">
        <f>SUMIF('Newton-Miller_Convert'!B:B,'Newton-Miller_Convert'!L89,'Newton-Miller_Convert'!G:G)</f>
        <v>4.1500000000000004</v>
      </c>
    </row>
    <row r="90" spans="2:4" x14ac:dyDescent="0.3">
      <c r="B90" s="8">
        <v>185</v>
      </c>
      <c r="C90">
        <f>SUMIF('Newton-Miller_Convert'!C:C,'Newton-Miller_Convert'!L90,'Newton-Miller_Convert'!E:E)</f>
        <v>0</v>
      </c>
      <c r="D90">
        <f>SUMIF('Newton-Miller_Convert'!B:B,'Newton-Miller_Convert'!L90,'Newton-Miller_Convert'!G:G)</f>
        <v>0</v>
      </c>
    </row>
    <row r="91" spans="2:4" x14ac:dyDescent="0.3">
      <c r="B91" s="8">
        <v>188</v>
      </c>
      <c r="C91">
        <f>SUMIF('Newton-Miller_Convert'!C:C,'Newton-Miller_Convert'!L91,'Newton-Miller_Convert'!E:E)</f>
        <v>0</v>
      </c>
      <c r="D91">
        <f>SUMIF('Newton-Miller_Convert'!B:B,'Newton-Miller_Convert'!L91,'Newton-Miller_Convert'!G:G)</f>
        <v>0.1</v>
      </c>
    </row>
    <row r="92" spans="2:4" x14ac:dyDescent="0.3">
      <c r="B92" s="8">
        <v>189</v>
      </c>
      <c r="C92">
        <f>SUMIF('Newton-Miller_Convert'!C:C,'Newton-Miller_Convert'!L92,'Newton-Miller_Convert'!E:E)</f>
        <v>0</v>
      </c>
      <c r="D92">
        <f>SUMIF('Newton-Miller_Convert'!B:B,'Newton-Miller_Convert'!L92,'Newton-Miller_Convert'!G:G)</f>
        <v>0</v>
      </c>
    </row>
    <row r="93" spans="2:4" x14ac:dyDescent="0.3">
      <c r="B93" s="8">
        <v>190</v>
      </c>
      <c r="C93">
        <f>SUMIF('Newton-Miller_Convert'!C:C,'Newton-Miller_Convert'!L93,'Newton-Miller_Convert'!E:E)</f>
        <v>2.85</v>
      </c>
      <c r="D93">
        <f>SUMIF('Newton-Miller_Convert'!B:B,'Newton-Miller_Convert'!L93,'Newton-Miller_Convert'!G:G)</f>
        <v>1</v>
      </c>
    </row>
    <row r="94" spans="2:4" x14ac:dyDescent="0.3">
      <c r="B94" s="8">
        <v>194</v>
      </c>
      <c r="C94">
        <f>SUMIF('Newton-Miller_Convert'!C:C,'Newton-Miller_Convert'!L94,'Newton-Miller_Convert'!E:E)</f>
        <v>0</v>
      </c>
      <c r="D94">
        <f>SUMIF('Newton-Miller_Convert'!B:B,'Newton-Miller_Convert'!L94,'Newton-Miller_Convert'!G:G)</f>
        <v>0</v>
      </c>
    </row>
    <row r="95" spans="2:4" x14ac:dyDescent="0.3">
      <c r="B95" s="8">
        <v>195</v>
      </c>
      <c r="C95">
        <f>SUMIF('Newton-Miller_Convert'!C:C,'Newton-Miller_Convert'!L95,'Newton-Miller_Convert'!E:E)</f>
        <v>0</v>
      </c>
      <c r="D95">
        <f>SUMIF('Newton-Miller_Convert'!B:B,'Newton-Miller_Convert'!L95,'Newton-Miller_Convert'!G:G)</f>
        <v>0</v>
      </c>
    </row>
    <row r="96" spans="2:4" x14ac:dyDescent="0.3">
      <c r="B96" s="8">
        <v>197</v>
      </c>
      <c r="C96">
        <f>SUMIF('Newton-Miller_Convert'!C:C,'Newton-Miller_Convert'!L96,'Newton-Miller_Convert'!E:E)</f>
        <v>0</v>
      </c>
      <c r="D96">
        <f>SUMIF('Newton-Miller_Convert'!B:B,'Newton-Miller_Convert'!L96,'Newton-Miller_Convert'!G:G)</f>
        <v>0</v>
      </c>
    </row>
    <row r="97" spans="2:4" x14ac:dyDescent="0.3">
      <c r="B97" s="8">
        <v>198</v>
      </c>
      <c r="C97">
        <f>SUMIF('Newton-Miller_Convert'!C:C,'Newton-Miller_Convert'!L97,'Newton-Miller_Convert'!E:E)</f>
        <v>0.5</v>
      </c>
      <c r="D97">
        <f>SUMIF('Newton-Miller_Convert'!B:B,'Newton-Miller_Convert'!L97,'Newton-Miller_Convert'!G:G)</f>
        <v>0</v>
      </c>
    </row>
    <row r="98" spans="2:4" x14ac:dyDescent="0.3">
      <c r="B98" s="8">
        <v>199</v>
      </c>
      <c r="C98">
        <f>SUMIF('Newton-Miller_Convert'!C:C,'Newton-Miller_Convert'!L98,'Newton-Miller_Convert'!E:E)</f>
        <v>0.1</v>
      </c>
      <c r="D98">
        <f>SUMIF('Newton-Miller_Convert'!B:B,'Newton-Miller_Convert'!L98,'Newton-Miller_Convert'!G:G)</f>
        <v>3.5</v>
      </c>
    </row>
    <row r="99" spans="2:4" x14ac:dyDescent="0.3">
      <c r="B99" s="8">
        <v>200</v>
      </c>
      <c r="C99">
        <f>SUMIF('Newton-Miller_Convert'!C:C,'Newton-Miller_Convert'!L99,'Newton-Miller_Convert'!E:E)</f>
        <v>13.299999999999995</v>
      </c>
      <c r="D99">
        <f>SUMIF('Newton-Miller_Convert'!B:B,'Newton-Miller_Convert'!L99,'Newton-Miller_Convert'!G:G)</f>
        <v>26.699999999999992</v>
      </c>
    </row>
    <row r="100" spans="2:4" x14ac:dyDescent="0.3">
      <c r="B100" s="8">
        <v>205</v>
      </c>
      <c r="C100">
        <f>SUMIF('Newton-Miller_Convert'!C:C,'Newton-Miller_Convert'!L100,'Newton-Miller_Convert'!E:E)</f>
        <v>0</v>
      </c>
      <c r="D100">
        <f>SUMIF('Newton-Miller_Convert'!B:B,'Newton-Miller_Convert'!L100,'Newton-Miller_Convert'!G:G)</f>
        <v>0</v>
      </c>
    </row>
    <row r="101" spans="2:4" x14ac:dyDescent="0.3">
      <c r="B101" s="8">
        <v>209</v>
      </c>
      <c r="C101">
        <f>SUMIF('Newton-Miller_Convert'!C:C,'Newton-Miller_Convert'!L101,'Newton-Miller_Convert'!E:E)</f>
        <v>0</v>
      </c>
      <c r="D101">
        <f>SUMIF('Newton-Miller_Convert'!B:B,'Newton-Miller_Convert'!L101,'Newton-Miller_Convert'!G:G)</f>
        <v>0</v>
      </c>
    </row>
    <row r="102" spans="2:4" x14ac:dyDescent="0.3">
      <c r="B102" s="8">
        <v>210</v>
      </c>
      <c r="C102">
        <f>SUMIF('Newton-Miller_Convert'!C:C,'Newton-Miller_Convert'!L102,'Newton-Miller_Convert'!E:E)</f>
        <v>0.25</v>
      </c>
      <c r="D102">
        <f>SUMIF('Newton-Miller_Convert'!B:B,'Newton-Miller_Convert'!L102,'Newton-Miller_Convert'!G:G)</f>
        <v>1.35</v>
      </c>
    </row>
    <row r="103" spans="2:4" x14ac:dyDescent="0.3">
      <c r="B103" s="8">
        <v>215</v>
      </c>
      <c r="C103">
        <f>SUMIF('Newton-Miller_Convert'!C:C,'Newton-Miller_Convert'!L103,'Newton-Miller_Convert'!E:E)</f>
        <v>0</v>
      </c>
      <c r="D103">
        <f>SUMIF('Newton-Miller_Convert'!B:B,'Newton-Miller_Convert'!L103,'Newton-Miller_Convert'!G:G)</f>
        <v>0.15</v>
      </c>
    </row>
    <row r="104" spans="2:4" x14ac:dyDescent="0.3">
      <c r="B104" s="8">
        <v>219</v>
      </c>
      <c r="C104">
        <f>SUMIF('Newton-Miller_Convert'!C:C,'Newton-Miller_Convert'!L104,'Newton-Miller_Convert'!E:E)</f>
        <v>0</v>
      </c>
      <c r="D104">
        <f>SUMIF('Newton-Miller_Convert'!B:B,'Newton-Miller_Convert'!L104,'Newton-Miller_Convert'!G:G)</f>
        <v>0.65</v>
      </c>
    </row>
    <row r="105" spans="2:4" x14ac:dyDescent="0.3">
      <c r="B105" s="8">
        <v>220</v>
      </c>
      <c r="C105">
        <f>SUMIF('Newton-Miller_Convert'!C:C,'Newton-Miller_Convert'!L105,'Newton-Miller_Convert'!E:E)</f>
        <v>2.0499999999999998</v>
      </c>
      <c r="D105">
        <f>SUMIF('Newton-Miller_Convert'!B:B,'Newton-Miller_Convert'!L105,'Newton-Miller_Convert'!G:G)</f>
        <v>1.1499999999999999</v>
      </c>
    </row>
    <row r="106" spans="2:4" x14ac:dyDescent="0.3">
      <c r="B106" s="8">
        <v>221</v>
      </c>
      <c r="C106">
        <f>SUMIF('Newton-Miller_Convert'!C:C,'Newton-Miller_Convert'!L106,'Newton-Miller_Convert'!E:E)</f>
        <v>0</v>
      </c>
      <c r="D106">
        <f>SUMIF('Newton-Miller_Convert'!B:B,'Newton-Miller_Convert'!L106,'Newton-Miller_Convert'!G:G)</f>
        <v>0.25</v>
      </c>
    </row>
    <row r="107" spans="2:4" x14ac:dyDescent="0.3">
      <c r="B107" s="8">
        <v>225</v>
      </c>
      <c r="C107">
        <f>SUMIF('Newton-Miller_Convert'!C:C,'Newton-Miller_Convert'!L107,'Newton-Miller_Convert'!E:E)</f>
        <v>0</v>
      </c>
      <c r="D107">
        <f>SUMIF('Newton-Miller_Convert'!B:B,'Newton-Miller_Convert'!L107,'Newton-Miller_Convert'!G:G)</f>
        <v>0</v>
      </c>
    </row>
    <row r="108" spans="2:4" x14ac:dyDescent="0.3">
      <c r="B108" s="8">
        <v>229</v>
      </c>
      <c r="C108">
        <f>SUMIF('Newton-Miller_Convert'!C:C,'Newton-Miller_Convert'!L108,'Newton-Miller_Convert'!E:E)</f>
        <v>0.1</v>
      </c>
      <c r="D108">
        <f>SUMIF('Newton-Miller_Convert'!B:B,'Newton-Miller_Convert'!L108,'Newton-Miller_Convert'!G:G)</f>
        <v>0</v>
      </c>
    </row>
    <row r="109" spans="2:4" x14ac:dyDescent="0.3">
      <c r="B109" s="8">
        <v>230</v>
      </c>
      <c r="C109">
        <f>SUMIF('Newton-Miller_Convert'!C:C,'Newton-Miller_Convert'!L109,'Newton-Miller_Convert'!E:E)</f>
        <v>1.7</v>
      </c>
      <c r="D109">
        <f>SUMIF('Newton-Miller_Convert'!B:B,'Newton-Miller_Convert'!L109,'Newton-Miller_Convert'!G:G)</f>
        <v>0.65</v>
      </c>
    </row>
    <row r="110" spans="2:4" x14ac:dyDescent="0.3">
      <c r="B110" s="8">
        <v>237</v>
      </c>
      <c r="C110">
        <f>SUMIF('Newton-Miller_Convert'!C:C,'Newton-Miller_Convert'!L110,'Newton-Miller_Convert'!E:E)</f>
        <v>0</v>
      </c>
      <c r="D110">
        <f>SUMIF('Newton-Miller_Convert'!B:B,'Newton-Miller_Convert'!L110,'Newton-Miller_Convert'!G:G)</f>
        <v>0</v>
      </c>
    </row>
    <row r="111" spans="2:4" x14ac:dyDescent="0.3">
      <c r="B111" s="8">
        <v>238</v>
      </c>
      <c r="C111">
        <f>SUMIF('Newton-Miller_Convert'!C:C,'Newton-Miller_Convert'!L111,'Newton-Miller_Convert'!E:E)</f>
        <v>0</v>
      </c>
      <c r="D111">
        <f>SUMIF('Newton-Miller_Convert'!B:B,'Newton-Miller_Convert'!L111,'Newton-Miller_Convert'!G:G)</f>
        <v>0</v>
      </c>
    </row>
    <row r="112" spans="2:4" x14ac:dyDescent="0.3">
      <c r="B112" s="8">
        <v>239</v>
      </c>
      <c r="C112">
        <f>SUMIF('Newton-Miller_Convert'!C:C,'Newton-Miller_Convert'!L112,'Newton-Miller_Convert'!E:E)</f>
        <v>0.25</v>
      </c>
      <c r="D112">
        <f>SUMIF('Newton-Miller_Convert'!B:B,'Newton-Miller_Convert'!L112,'Newton-Miller_Convert'!G:G)</f>
        <v>0</v>
      </c>
    </row>
    <row r="113" spans="2:4" x14ac:dyDescent="0.3">
      <c r="B113" s="8">
        <v>240</v>
      </c>
      <c r="C113">
        <f>SUMIF('Newton-Miller_Convert'!C:C,'Newton-Miller_Convert'!L113,'Newton-Miller_Convert'!E:E)</f>
        <v>1.25</v>
      </c>
      <c r="D113">
        <f>SUMIF('Newton-Miller_Convert'!B:B,'Newton-Miller_Convert'!L113,'Newton-Miller_Convert'!G:G)</f>
        <v>1.1499999999999999</v>
      </c>
    </row>
    <row r="114" spans="2:4" x14ac:dyDescent="0.3">
      <c r="B114" s="8">
        <v>244</v>
      </c>
      <c r="C114">
        <f>SUMIF('Newton-Miller_Convert'!C:C,'Newton-Miller_Convert'!L114,'Newton-Miller_Convert'!E:E)</f>
        <v>0</v>
      </c>
      <c r="D114">
        <f>SUMIF('Newton-Miller_Convert'!B:B,'Newton-Miller_Convert'!L114,'Newton-Miller_Convert'!G:G)</f>
        <v>0</v>
      </c>
    </row>
    <row r="115" spans="2:4" x14ac:dyDescent="0.3">
      <c r="B115" s="8">
        <v>245</v>
      </c>
      <c r="C115">
        <f>SUMIF('Newton-Miller_Convert'!C:C,'Newton-Miller_Convert'!L115,'Newton-Miller_Convert'!E:E)</f>
        <v>0</v>
      </c>
      <c r="D115">
        <f>SUMIF('Newton-Miller_Convert'!B:B,'Newton-Miller_Convert'!L115,'Newton-Miller_Convert'!G:G)</f>
        <v>0</v>
      </c>
    </row>
    <row r="116" spans="2:4" x14ac:dyDescent="0.3">
      <c r="B116" s="8">
        <v>246</v>
      </c>
      <c r="C116">
        <f>SUMIF('Newton-Miller_Convert'!C:C,'Newton-Miller_Convert'!L116,'Newton-Miller_Convert'!E:E)</f>
        <v>0.25</v>
      </c>
      <c r="D116">
        <f>SUMIF('Newton-Miller_Convert'!B:B,'Newton-Miller_Convert'!L116,'Newton-Miller_Convert'!G:G)</f>
        <v>0</v>
      </c>
    </row>
    <row r="117" spans="2:4" x14ac:dyDescent="0.3">
      <c r="B117" s="8">
        <v>247</v>
      </c>
      <c r="C117">
        <f>SUMIF('Newton-Miller_Convert'!C:C,'Newton-Miller_Convert'!L117,'Newton-Miller_Convert'!E:E)</f>
        <v>0</v>
      </c>
      <c r="D117">
        <f>SUMIF('Newton-Miller_Convert'!B:B,'Newton-Miller_Convert'!L117,'Newton-Miller_Convert'!G:G)</f>
        <v>0</v>
      </c>
    </row>
    <row r="118" spans="2:4" x14ac:dyDescent="0.3">
      <c r="B118" s="8">
        <v>249</v>
      </c>
      <c r="C118">
        <f>SUMIF('Newton-Miller_Convert'!C:C,'Newton-Miller_Convert'!L118,'Newton-Miller_Convert'!E:E)</f>
        <v>2.2000000000000002</v>
      </c>
      <c r="D118">
        <f>SUMIF('Newton-Miller_Convert'!B:B,'Newton-Miller_Convert'!L118,'Newton-Miller_Convert'!G:G)</f>
        <v>0.75</v>
      </c>
    </row>
    <row r="119" spans="2:4" x14ac:dyDescent="0.3">
      <c r="B119" s="8">
        <v>250</v>
      </c>
      <c r="C119">
        <f>SUMIF('Newton-Miller_Convert'!C:C,'Newton-Miller_Convert'!L119,'Newton-Miller_Convert'!E:E)</f>
        <v>12.849999999999998</v>
      </c>
      <c r="D119">
        <f>SUMIF('Newton-Miller_Convert'!B:B,'Newton-Miller_Convert'!L119,'Newton-Miller_Convert'!G:G)</f>
        <v>17.599999999999998</v>
      </c>
    </row>
    <row r="120" spans="2:4" x14ac:dyDescent="0.3">
      <c r="B120" s="8">
        <v>255</v>
      </c>
      <c r="C120">
        <f>SUMIF('Newton-Miller_Convert'!C:C,'Newton-Miller_Convert'!L120,'Newton-Miller_Convert'!E:E)</f>
        <v>0.6</v>
      </c>
      <c r="D120">
        <f>SUMIF('Newton-Miller_Convert'!B:B,'Newton-Miller_Convert'!L120,'Newton-Miller_Convert'!G:G)</f>
        <v>0</v>
      </c>
    </row>
    <row r="121" spans="2:4" x14ac:dyDescent="0.3">
      <c r="B121" s="8">
        <v>259</v>
      </c>
      <c r="C121">
        <f>SUMIF('Newton-Miller_Convert'!C:C,'Newton-Miller_Convert'!L121,'Newton-Miller_Convert'!E:E)</f>
        <v>0</v>
      </c>
      <c r="D121">
        <f>SUMIF('Newton-Miller_Convert'!B:B,'Newton-Miller_Convert'!L121,'Newton-Miller_Convert'!G:G)</f>
        <v>0</v>
      </c>
    </row>
    <row r="122" spans="2:4" x14ac:dyDescent="0.3">
      <c r="B122" s="8">
        <v>260</v>
      </c>
      <c r="C122">
        <f>SUMIF('Newton-Miller_Convert'!C:C,'Newton-Miller_Convert'!L122,'Newton-Miller_Convert'!E:E)</f>
        <v>0.95</v>
      </c>
      <c r="D122">
        <f>SUMIF('Newton-Miller_Convert'!B:B,'Newton-Miller_Convert'!L122,'Newton-Miller_Convert'!G:G)</f>
        <v>1.5</v>
      </c>
    </row>
    <row r="123" spans="2:4" x14ac:dyDescent="0.3">
      <c r="B123" s="8">
        <v>265</v>
      </c>
      <c r="C123">
        <f>SUMIF('Newton-Miller_Convert'!C:C,'Newton-Miller_Convert'!L123,'Newton-Miller_Convert'!E:E)</f>
        <v>0</v>
      </c>
      <c r="D123">
        <f>SUMIF('Newton-Miller_Convert'!B:B,'Newton-Miller_Convert'!L123,'Newton-Miller_Convert'!G:G)</f>
        <v>0.65</v>
      </c>
    </row>
    <row r="124" spans="2:4" x14ac:dyDescent="0.3">
      <c r="B124" s="8">
        <v>269</v>
      </c>
      <c r="C124">
        <f>SUMIF('Newton-Miller_Convert'!C:C,'Newton-Miller_Convert'!L124,'Newton-Miller_Convert'!E:E)</f>
        <v>0.1</v>
      </c>
      <c r="D124">
        <f>SUMIF('Newton-Miller_Convert'!B:B,'Newton-Miller_Convert'!L124,'Newton-Miller_Convert'!G:G)</f>
        <v>0</v>
      </c>
    </row>
    <row r="125" spans="2:4" x14ac:dyDescent="0.3">
      <c r="B125" s="8">
        <v>270</v>
      </c>
      <c r="C125">
        <f>SUMIF('Newton-Miller_Convert'!C:C,'Newton-Miller_Convert'!L125,'Newton-Miller_Convert'!E:E)</f>
        <v>0.7</v>
      </c>
      <c r="D125">
        <f>SUMIF('Newton-Miller_Convert'!B:B,'Newton-Miller_Convert'!L125,'Newton-Miller_Convert'!G:G)</f>
        <v>0.15</v>
      </c>
    </row>
    <row r="126" spans="2:4" x14ac:dyDescent="0.3">
      <c r="B126" s="8">
        <v>273</v>
      </c>
      <c r="C126">
        <f>SUMIF('Newton-Miller_Convert'!C:C,'Newton-Miller_Convert'!L126,'Newton-Miller_Convert'!E:E)</f>
        <v>0.75</v>
      </c>
      <c r="D126">
        <f>SUMIF('Newton-Miller_Convert'!B:B,'Newton-Miller_Convert'!L126,'Newton-Miller_Convert'!G:G)</f>
        <v>0</v>
      </c>
    </row>
    <row r="127" spans="2:4" x14ac:dyDescent="0.3">
      <c r="B127" s="8">
        <v>275</v>
      </c>
      <c r="C127">
        <f>SUMIF('Newton-Miller_Convert'!C:C,'Newton-Miller_Convert'!L127,'Newton-Miller_Convert'!E:E)</f>
        <v>0.1</v>
      </c>
      <c r="D127">
        <f>SUMIF('Newton-Miller_Convert'!B:B,'Newton-Miller_Convert'!L127,'Newton-Miller_Convert'!G:G)</f>
        <v>0</v>
      </c>
    </row>
    <row r="128" spans="2:4" x14ac:dyDescent="0.3">
      <c r="B128" s="8">
        <v>279</v>
      </c>
      <c r="C128">
        <f>SUMIF('Newton-Miller_Convert'!C:C,'Newton-Miller_Convert'!L128,'Newton-Miller_Convert'!E:E)</f>
        <v>0</v>
      </c>
      <c r="D128">
        <f>SUMIF('Newton-Miller_Convert'!B:B,'Newton-Miller_Convert'!L128,'Newton-Miller_Convert'!G:G)</f>
        <v>0.5</v>
      </c>
    </row>
    <row r="129" spans="2:4" x14ac:dyDescent="0.3">
      <c r="B129" s="8">
        <v>280</v>
      </c>
      <c r="C129">
        <f>SUMIF('Newton-Miller_Convert'!C:C,'Newton-Miller_Convert'!L129,'Newton-Miller_Convert'!E:E)</f>
        <v>3.95</v>
      </c>
      <c r="D129">
        <f>SUMIF('Newton-Miller_Convert'!B:B,'Newton-Miller_Convert'!L129,'Newton-Miller_Convert'!G:G)</f>
        <v>2.5999999999999996</v>
      </c>
    </row>
    <row r="130" spans="2:4" x14ac:dyDescent="0.3">
      <c r="B130" s="8">
        <v>288</v>
      </c>
      <c r="C130">
        <f>SUMIF('Newton-Miller_Convert'!C:C,'Newton-Miller_Convert'!L130,'Newton-Miller_Convert'!E:E)</f>
        <v>0</v>
      </c>
      <c r="D130">
        <f>SUMIF('Newton-Miller_Convert'!B:B,'Newton-Miller_Convert'!L130,'Newton-Miller_Convert'!G:G)</f>
        <v>0</v>
      </c>
    </row>
    <row r="131" spans="2:4" x14ac:dyDescent="0.3">
      <c r="B131" s="8">
        <v>289</v>
      </c>
      <c r="C131">
        <f>SUMIF('Newton-Miller_Convert'!C:C,'Newton-Miller_Convert'!L131,'Newton-Miller_Convert'!E:E)</f>
        <v>0</v>
      </c>
      <c r="D131">
        <f>SUMIF('Newton-Miller_Convert'!B:B,'Newton-Miller_Convert'!L131,'Newton-Miller_Convert'!G:G)</f>
        <v>0</v>
      </c>
    </row>
    <row r="132" spans="2:4" x14ac:dyDescent="0.3">
      <c r="B132" s="8">
        <v>290</v>
      </c>
      <c r="C132">
        <f>SUMIF('Newton-Miller_Convert'!C:C,'Newton-Miller_Convert'!L132,'Newton-Miller_Convert'!E:E)</f>
        <v>1.05</v>
      </c>
      <c r="D132">
        <f>SUMIF('Newton-Miller_Convert'!B:B,'Newton-Miller_Convert'!L132,'Newton-Miller_Convert'!G:G)</f>
        <v>0.9</v>
      </c>
    </row>
    <row r="133" spans="2:4" x14ac:dyDescent="0.3">
      <c r="B133" s="8">
        <v>296</v>
      </c>
      <c r="C133">
        <f>SUMIF('Newton-Miller_Convert'!C:C,'Newton-Miller_Convert'!L133,'Newton-Miller_Convert'!E:E)</f>
        <v>0</v>
      </c>
      <c r="D133">
        <f>SUMIF('Newton-Miller_Convert'!B:B,'Newton-Miller_Convert'!L133,'Newton-Miller_Convert'!G:G)</f>
        <v>0</v>
      </c>
    </row>
    <row r="134" spans="2:4" x14ac:dyDescent="0.3">
      <c r="B134" s="8">
        <v>298</v>
      </c>
      <c r="C134">
        <f>SUMIF('Newton-Miller_Convert'!C:C,'Newton-Miller_Convert'!L134,'Newton-Miller_Convert'!E:E)</f>
        <v>0</v>
      </c>
      <c r="D134">
        <f>SUMIF('Newton-Miller_Convert'!B:B,'Newton-Miller_Convert'!L134,'Newton-Miller_Convert'!G:G)</f>
        <v>0</v>
      </c>
    </row>
    <row r="135" spans="2:4" x14ac:dyDescent="0.3">
      <c r="B135" s="8">
        <v>299</v>
      </c>
      <c r="C135">
        <f>SUMIF('Newton-Miller_Convert'!C:C,'Newton-Miller_Convert'!L135,'Newton-Miller_Convert'!E:E)</f>
        <v>1.3</v>
      </c>
      <c r="D135">
        <f>SUMIF('Newton-Miller_Convert'!B:B,'Newton-Miller_Convert'!L135,'Newton-Miller_Convert'!G:G)</f>
        <v>0.65</v>
      </c>
    </row>
    <row r="136" spans="2:4" x14ac:dyDescent="0.3">
      <c r="B136" s="8">
        <v>300</v>
      </c>
      <c r="C136">
        <f>SUMIF('Newton-Miller_Convert'!C:C,'Newton-Miller_Convert'!L136,'Newton-Miller_Convert'!E:E)</f>
        <v>13.699999999999996</v>
      </c>
      <c r="D136">
        <f>SUMIF('Newton-Miller_Convert'!B:B,'Newton-Miller_Convert'!L136,'Newton-Miller_Convert'!G:G)</f>
        <v>18.149999999999999</v>
      </c>
    </row>
    <row r="137" spans="2:4" x14ac:dyDescent="0.3">
      <c r="B137" s="8">
        <v>301</v>
      </c>
      <c r="C137">
        <f>SUMIF('Newton-Miller_Convert'!C:C,'Newton-Miller_Convert'!L137,'Newton-Miller_Convert'!E:E)</f>
        <v>0.1</v>
      </c>
      <c r="D137">
        <f>SUMIF('Newton-Miller_Convert'!B:B,'Newton-Miller_Convert'!L137,'Newton-Miller_Convert'!G:G)</f>
        <v>0</v>
      </c>
    </row>
    <row r="138" spans="2:4" x14ac:dyDescent="0.3">
      <c r="B138" s="8">
        <v>305</v>
      </c>
      <c r="C138">
        <f>SUMIF('Newton-Miller_Convert'!C:C,'Newton-Miller_Convert'!L138,'Newton-Miller_Convert'!E:E)</f>
        <v>0</v>
      </c>
      <c r="D138">
        <f>SUMIF('Newton-Miller_Convert'!B:B,'Newton-Miller_Convert'!L138,'Newton-Miller_Convert'!G:G)</f>
        <v>0</v>
      </c>
    </row>
    <row r="139" spans="2:4" x14ac:dyDescent="0.3">
      <c r="B139" s="8">
        <v>306</v>
      </c>
      <c r="C139">
        <f>SUMIF('Newton-Miller_Convert'!C:C,'Newton-Miller_Convert'!L139,'Newton-Miller_Convert'!E:E)</f>
        <v>0.1</v>
      </c>
      <c r="D139">
        <f>SUMIF('Newton-Miller_Convert'!B:B,'Newton-Miller_Convert'!L139,'Newton-Miller_Convert'!G:G)</f>
        <v>0</v>
      </c>
    </row>
    <row r="140" spans="2:4" x14ac:dyDescent="0.3">
      <c r="B140" s="8">
        <v>309</v>
      </c>
      <c r="C140">
        <f>SUMIF('Newton-Miller_Convert'!C:C,'Newton-Miller_Convert'!L140,'Newton-Miller_Convert'!E:E)</f>
        <v>0.1</v>
      </c>
      <c r="D140">
        <f>SUMIF('Newton-Miller_Convert'!B:B,'Newton-Miller_Convert'!L140,'Newton-Miller_Convert'!G:G)</f>
        <v>0</v>
      </c>
    </row>
    <row r="141" spans="2:4" x14ac:dyDescent="0.3">
      <c r="B141" s="8">
        <v>310</v>
      </c>
      <c r="C141">
        <f>SUMIF('Newton-Miller_Convert'!C:C,'Newton-Miller_Convert'!L141,'Newton-Miller_Convert'!E:E)</f>
        <v>0</v>
      </c>
      <c r="D141">
        <f>SUMIF('Newton-Miller_Convert'!B:B,'Newton-Miller_Convert'!L141,'Newton-Miller_Convert'!G:G)</f>
        <v>0</v>
      </c>
    </row>
    <row r="142" spans="2:4" x14ac:dyDescent="0.3">
      <c r="B142" s="8">
        <v>312</v>
      </c>
      <c r="C142">
        <f>SUMIF('Newton-Miller_Convert'!C:C,'Newton-Miller_Convert'!L142,'Newton-Miller_Convert'!E:E)</f>
        <v>0</v>
      </c>
      <c r="D142">
        <f>SUMIF('Newton-Miller_Convert'!B:B,'Newton-Miller_Convert'!L142,'Newton-Miller_Convert'!G:G)</f>
        <v>0.5</v>
      </c>
    </row>
    <row r="143" spans="2:4" x14ac:dyDescent="0.3">
      <c r="B143" s="8">
        <v>316</v>
      </c>
      <c r="C143">
        <f>SUMIF('Newton-Miller_Convert'!C:C,'Newton-Miller_Convert'!L143,'Newton-Miller_Convert'!E:E)</f>
        <v>0</v>
      </c>
      <c r="D143">
        <f>SUMIF('Newton-Miller_Convert'!B:B,'Newton-Miller_Convert'!L143,'Newton-Miller_Convert'!G:G)</f>
        <v>0</v>
      </c>
    </row>
    <row r="144" spans="2:4" x14ac:dyDescent="0.3">
      <c r="B144" s="8">
        <v>320</v>
      </c>
      <c r="C144">
        <f>SUMIF('Newton-Miller_Convert'!C:C,'Newton-Miller_Convert'!L144,'Newton-Miller_Convert'!E:E)</f>
        <v>1.2000000000000002</v>
      </c>
      <c r="D144">
        <f>SUMIF('Newton-Miller_Convert'!B:B,'Newton-Miller_Convert'!L144,'Newton-Miller_Convert'!G:G)</f>
        <v>1.25</v>
      </c>
    </row>
    <row r="145" spans="2:4" x14ac:dyDescent="0.3">
      <c r="B145" s="8">
        <v>325</v>
      </c>
      <c r="C145">
        <f>SUMIF('Newton-Miller_Convert'!C:C,'Newton-Miller_Convert'!L145,'Newton-Miller_Convert'!E:E)</f>
        <v>0.25</v>
      </c>
      <c r="D145">
        <f>SUMIF('Newton-Miller_Convert'!B:B,'Newton-Miller_Convert'!L145,'Newton-Miller_Convert'!G:G)</f>
        <v>0</v>
      </c>
    </row>
    <row r="146" spans="2:4" x14ac:dyDescent="0.3">
      <c r="B146" s="8">
        <v>330</v>
      </c>
      <c r="C146">
        <f>SUMIF('Newton-Miller_Convert'!C:C,'Newton-Miller_Convert'!L146,'Newton-Miller_Convert'!E:E)</f>
        <v>0.5</v>
      </c>
      <c r="D146">
        <f>SUMIF('Newton-Miller_Convert'!B:B,'Newton-Miller_Convert'!L146,'Newton-Miller_Convert'!G:G)</f>
        <v>0</v>
      </c>
    </row>
    <row r="147" spans="2:4" x14ac:dyDescent="0.3">
      <c r="B147" s="8">
        <v>340</v>
      </c>
      <c r="C147">
        <f>SUMIF('Newton-Miller_Convert'!C:C,'Newton-Miller_Convert'!L147,'Newton-Miller_Convert'!E:E)</f>
        <v>0.35</v>
      </c>
      <c r="D147">
        <f>SUMIF('Newton-Miller_Convert'!B:B,'Newton-Miller_Convert'!L147,'Newton-Miller_Convert'!G:G)</f>
        <v>0</v>
      </c>
    </row>
    <row r="148" spans="2:4" x14ac:dyDescent="0.3">
      <c r="B148" s="8">
        <v>349</v>
      </c>
      <c r="C148">
        <f>SUMIF('Newton-Miller_Convert'!C:C,'Newton-Miller_Convert'!L148,'Newton-Miller_Convert'!E:E)</f>
        <v>0</v>
      </c>
      <c r="D148">
        <f>SUMIF('Newton-Miller_Convert'!B:B,'Newton-Miller_Convert'!L148,'Newton-Miller_Convert'!G:G)</f>
        <v>0</v>
      </c>
    </row>
    <row r="149" spans="2:4" x14ac:dyDescent="0.3">
      <c r="B149" s="8">
        <v>350</v>
      </c>
      <c r="C149">
        <f>SUMIF('Newton-Miller_Convert'!C:C,'Newton-Miller_Convert'!L149,'Newton-Miller_Convert'!E:E)</f>
        <v>14.499999999999993</v>
      </c>
      <c r="D149">
        <f>SUMIF('Newton-Miller_Convert'!B:B,'Newton-Miller_Convert'!L149,'Newton-Miller_Convert'!G:G)</f>
        <v>5</v>
      </c>
    </row>
    <row r="150" spans="2:4" x14ac:dyDescent="0.3">
      <c r="B150" s="8">
        <v>351</v>
      </c>
      <c r="C150">
        <f>SUMIF('Newton-Miller_Convert'!C:C,'Newton-Miller_Convert'!L150,'Newton-Miller_Convert'!E:E)</f>
        <v>0</v>
      </c>
      <c r="D150">
        <f>SUMIF('Newton-Miller_Convert'!B:B,'Newton-Miller_Convert'!L150,'Newton-Miller_Convert'!G:G)</f>
        <v>0</v>
      </c>
    </row>
    <row r="151" spans="2:4" x14ac:dyDescent="0.3">
      <c r="B151" s="8">
        <v>355</v>
      </c>
      <c r="C151">
        <f>SUMIF('Newton-Miller_Convert'!C:C,'Newton-Miller_Convert'!L151,'Newton-Miller_Convert'!E:E)</f>
        <v>0</v>
      </c>
      <c r="D151">
        <f>SUMIF('Newton-Miller_Convert'!B:B,'Newton-Miller_Convert'!L151,'Newton-Miller_Convert'!G:G)</f>
        <v>0</v>
      </c>
    </row>
    <row r="152" spans="2:4" x14ac:dyDescent="0.3">
      <c r="B152" s="8">
        <v>360</v>
      </c>
      <c r="C152">
        <f>SUMIF('Newton-Miller_Convert'!C:C,'Newton-Miller_Convert'!L152,'Newton-Miller_Convert'!E:E)</f>
        <v>1.35</v>
      </c>
      <c r="D152">
        <f>SUMIF('Newton-Miller_Convert'!B:B,'Newton-Miller_Convert'!L152,'Newton-Miller_Convert'!G:G)</f>
        <v>0.15</v>
      </c>
    </row>
    <row r="153" spans="2:4" x14ac:dyDescent="0.3">
      <c r="B153" s="8">
        <v>365</v>
      </c>
      <c r="C153">
        <f>SUMIF('Newton-Miller_Convert'!C:C,'Newton-Miller_Convert'!L153,'Newton-Miller_Convert'!E:E)</f>
        <v>0.1</v>
      </c>
      <c r="D153">
        <f>SUMIF('Newton-Miller_Convert'!B:B,'Newton-Miller_Convert'!L153,'Newton-Miller_Convert'!G:G)</f>
        <v>0</v>
      </c>
    </row>
    <row r="154" spans="2:4" x14ac:dyDescent="0.3">
      <c r="B154" s="8">
        <v>369</v>
      </c>
      <c r="C154">
        <f>SUMIF('Newton-Miller_Convert'!C:C,'Newton-Miller_Convert'!L154,'Newton-Miller_Convert'!E:E)</f>
        <v>0.25</v>
      </c>
      <c r="D154">
        <f>SUMIF('Newton-Miller_Convert'!B:B,'Newton-Miller_Convert'!L154,'Newton-Miller_Convert'!G:G)</f>
        <v>0</v>
      </c>
    </row>
    <row r="155" spans="2:4" x14ac:dyDescent="0.3">
      <c r="B155" s="8">
        <v>370</v>
      </c>
      <c r="C155">
        <f>SUMIF('Newton-Miller_Convert'!C:C,'Newton-Miller_Convert'!L155,'Newton-Miller_Convert'!E:E)</f>
        <v>0.1</v>
      </c>
      <c r="D155">
        <f>SUMIF('Newton-Miller_Convert'!B:B,'Newton-Miller_Convert'!L155,'Newton-Miller_Convert'!G:G)</f>
        <v>0.65</v>
      </c>
    </row>
    <row r="156" spans="2:4" x14ac:dyDescent="0.3">
      <c r="B156" s="8">
        <v>375</v>
      </c>
      <c r="C156">
        <f>SUMIF('Newton-Miller_Convert'!C:C,'Newton-Miller_Convert'!L156,'Newton-Miller_Convert'!E:E)</f>
        <v>0.25</v>
      </c>
      <c r="D156">
        <f>SUMIF('Newton-Miller_Convert'!B:B,'Newton-Miller_Convert'!L156,'Newton-Miller_Convert'!G:G)</f>
        <v>0</v>
      </c>
    </row>
    <row r="157" spans="2:4" x14ac:dyDescent="0.3">
      <c r="B157" s="8">
        <v>380</v>
      </c>
      <c r="C157">
        <f>SUMIF('Newton-Miller_Convert'!C:C,'Newton-Miller_Convert'!L157,'Newton-Miller_Convert'!E:E)</f>
        <v>3.35</v>
      </c>
      <c r="D157">
        <f>SUMIF('Newton-Miller_Convert'!B:B,'Newton-Miller_Convert'!L157,'Newton-Miller_Convert'!G:G)</f>
        <v>0</v>
      </c>
    </row>
    <row r="158" spans="2:4" x14ac:dyDescent="0.3">
      <c r="B158" s="8">
        <v>390</v>
      </c>
      <c r="C158">
        <f>SUMIF('Newton-Miller_Convert'!C:C,'Newton-Miller_Convert'!L158,'Newton-Miller_Convert'!E:E)</f>
        <v>0.75</v>
      </c>
      <c r="D158">
        <f>SUMIF('Newton-Miller_Convert'!B:B,'Newton-Miller_Convert'!L158,'Newton-Miller_Convert'!G:G)</f>
        <v>0</v>
      </c>
    </row>
    <row r="159" spans="2:4" x14ac:dyDescent="0.3">
      <c r="B159" s="8">
        <v>398</v>
      </c>
      <c r="C159">
        <f>SUMIF('Newton-Miller_Convert'!C:C,'Newton-Miller_Convert'!L159,'Newton-Miller_Convert'!E:E)</f>
        <v>0.75</v>
      </c>
      <c r="D159">
        <f>SUMIF('Newton-Miller_Convert'!B:B,'Newton-Miller_Convert'!L159,'Newton-Miller_Convert'!G:G)</f>
        <v>0</v>
      </c>
    </row>
    <row r="160" spans="2:4" x14ac:dyDescent="0.3">
      <c r="B160" s="8">
        <v>399</v>
      </c>
      <c r="C160">
        <f>SUMIF('Newton-Miller_Convert'!C:C,'Newton-Miller_Convert'!L160,'Newton-Miller_Convert'!E:E)</f>
        <v>0.1</v>
      </c>
      <c r="D160">
        <f>SUMIF('Newton-Miller_Convert'!B:B,'Newton-Miller_Convert'!L160,'Newton-Miller_Convert'!G:G)</f>
        <v>0.6</v>
      </c>
    </row>
    <row r="161" spans="2:4" x14ac:dyDescent="0.3">
      <c r="B161" s="8">
        <v>400</v>
      </c>
      <c r="C161">
        <f>SUMIF('Newton-Miller_Convert'!C:C,'Newton-Miller_Convert'!L161,'Newton-Miller_Convert'!E:E)</f>
        <v>3.2500000000000009</v>
      </c>
      <c r="D161">
        <f>SUMIF('Newton-Miller_Convert'!B:B,'Newton-Miller_Convert'!L161,'Newton-Miller_Convert'!G:G)</f>
        <v>4.4000000000000004</v>
      </c>
    </row>
    <row r="162" spans="2:4" x14ac:dyDescent="0.3">
      <c r="B162" s="8">
        <v>410</v>
      </c>
      <c r="C162">
        <f>SUMIF('Newton-Miller_Convert'!C:C,'Newton-Miller_Convert'!L162,'Newton-Miller_Convert'!E:E)</f>
        <v>0</v>
      </c>
      <c r="D162">
        <f>SUMIF('Newton-Miller_Convert'!B:B,'Newton-Miller_Convert'!L162,'Newton-Miller_Convert'!G:G)</f>
        <v>0</v>
      </c>
    </row>
    <row r="163" spans="2:4" x14ac:dyDescent="0.3">
      <c r="B163" s="8">
        <v>415</v>
      </c>
      <c r="C163">
        <f>SUMIF('Newton-Miller_Convert'!C:C,'Newton-Miller_Convert'!L163,'Newton-Miller_Convert'!E:E)</f>
        <v>0.1</v>
      </c>
      <c r="D163">
        <f>SUMIF('Newton-Miller_Convert'!B:B,'Newton-Miller_Convert'!L163,'Newton-Miller_Convert'!G:G)</f>
        <v>0</v>
      </c>
    </row>
    <row r="164" spans="2:4" x14ac:dyDescent="0.3">
      <c r="B164" s="8">
        <v>420</v>
      </c>
      <c r="C164">
        <f>SUMIF('Newton-Miller_Convert'!C:C,'Newton-Miller_Convert'!L164,'Newton-Miller_Convert'!E:E)</f>
        <v>0.25</v>
      </c>
      <c r="D164">
        <f>SUMIF('Newton-Miller_Convert'!B:B,'Newton-Miller_Convert'!L164,'Newton-Miller_Convert'!G:G)</f>
        <v>0</v>
      </c>
    </row>
    <row r="165" spans="2:4" x14ac:dyDescent="0.3">
      <c r="B165" s="8">
        <v>425</v>
      </c>
      <c r="C165">
        <f>SUMIF('Newton-Miller_Convert'!C:C,'Newton-Miller_Convert'!L165,'Newton-Miller_Convert'!E:E)</f>
        <v>0</v>
      </c>
      <c r="D165">
        <f>SUMIF('Newton-Miller_Convert'!B:B,'Newton-Miller_Convert'!L165,'Newton-Miller_Convert'!G:G)</f>
        <v>0</v>
      </c>
    </row>
    <row r="166" spans="2:4" x14ac:dyDescent="0.3">
      <c r="B166" s="8">
        <v>430</v>
      </c>
      <c r="C166">
        <f>SUMIF('Newton-Miller_Convert'!C:C,'Newton-Miller_Convert'!L166,'Newton-Miller_Convert'!E:E)</f>
        <v>0.35</v>
      </c>
      <c r="D166">
        <f>SUMIF('Newton-Miller_Convert'!B:B,'Newton-Miller_Convert'!L166,'Newton-Miller_Convert'!G:G)</f>
        <v>0.5</v>
      </c>
    </row>
    <row r="167" spans="2:4" x14ac:dyDescent="0.3">
      <c r="B167" s="8">
        <v>440</v>
      </c>
      <c r="C167">
        <f>SUMIF('Newton-Miller_Convert'!C:C,'Newton-Miller_Convert'!L167,'Newton-Miller_Convert'!E:E)</f>
        <v>0.5</v>
      </c>
      <c r="D167">
        <f>SUMIF('Newton-Miller_Convert'!B:B,'Newton-Miller_Convert'!L167,'Newton-Miller_Convert'!G:G)</f>
        <v>0</v>
      </c>
    </row>
    <row r="168" spans="2:4" x14ac:dyDescent="0.3">
      <c r="B168" s="8">
        <v>449</v>
      </c>
      <c r="C168">
        <f>SUMIF('Newton-Miller_Convert'!C:C,'Newton-Miller_Convert'!L168,'Newton-Miller_Convert'!E:E)</f>
        <v>0</v>
      </c>
      <c r="D168">
        <f>SUMIF('Newton-Miller_Convert'!B:B,'Newton-Miller_Convert'!L168,'Newton-Miller_Convert'!G:G)</f>
        <v>0</v>
      </c>
    </row>
    <row r="169" spans="2:4" x14ac:dyDescent="0.3">
      <c r="B169" s="8">
        <v>450</v>
      </c>
      <c r="C169">
        <f>SUMIF('Newton-Miller_Convert'!C:C,'Newton-Miller_Convert'!L169,'Newton-Miller_Convert'!E:E)</f>
        <v>2.9500000000000006</v>
      </c>
      <c r="D169">
        <f>SUMIF('Newton-Miller_Convert'!B:B,'Newton-Miller_Convert'!L169,'Newton-Miller_Convert'!G:G)</f>
        <v>0.65</v>
      </c>
    </row>
    <row r="170" spans="2:4" x14ac:dyDescent="0.3">
      <c r="B170" s="8">
        <v>458</v>
      </c>
      <c r="C170">
        <f>SUMIF('Newton-Miller_Convert'!C:C,'Newton-Miller_Convert'!L170,'Newton-Miller_Convert'!E:E)</f>
        <v>0</v>
      </c>
      <c r="D170">
        <f>SUMIF('Newton-Miller_Convert'!B:B,'Newton-Miller_Convert'!L170,'Newton-Miller_Convert'!G:G)</f>
        <v>0</v>
      </c>
    </row>
    <row r="171" spans="2:4" x14ac:dyDescent="0.3">
      <c r="B171" s="8">
        <v>460</v>
      </c>
      <c r="C171">
        <f>SUMIF('Newton-Miller_Convert'!C:C,'Newton-Miller_Convert'!L171,'Newton-Miller_Convert'!E:E)</f>
        <v>0</v>
      </c>
      <c r="D171">
        <f>SUMIF('Newton-Miller_Convert'!B:B,'Newton-Miller_Convert'!L171,'Newton-Miller_Convert'!G:G)</f>
        <v>0</v>
      </c>
    </row>
    <row r="172" spans="2:4" x14ac:dyDescent="0.3">
      <c r="B172" s="8">
        <v>470</v>
      </c>
      <c r="C172">
        <f>SUMIF('Newton-Miller_Convert'!C:C,'Newton-Miller_Convert'!L172,'Newton-Miller_Convert'!E:E)</f>
        <v>0.1</v>
      </c>
      <c r="D172">
        <f>SUMIF('Newton-Miller_Convert'!B:B,'Newton-Miller_Convert'!L172,'Newton-Miller_Convert'!G:G)</f>
        <v>0</v>
      </c>
    </row>
    <row r="173" spans="2:4" x14ac:dyDescent="0.3">
      <c r="B173" s="8">
        <v>480</v>
      </c>
      <c r="C173">
        <f>SUMIF('Newton-Miller_Convert'!C:C,'Newton-Miller_Convert'!L173,'Newton-Miller_Convert'!E:E)</f>
        <v>0</v>
      </c>
      <c r="D173">
        <f>SUMIF('Newton-Miller_Convert'!B:B,'Newton-Miller_Convert'!L173,'Newton-Miller_Convert'!G:G)</f>
        <v>0</v>
      </c>
    </row>
    <row r="174" spans="2:4" x14ac:dyDescent="0.3">
      <c r="B174" s="8">
        <v>499</v>
      </c>
      <c r="C174">
        <f>SUMIF('Newton-Miller_Convert'!C:C,'Newton-Miller_Convert'!L174,'Newton-Miller_Convert'!E:E)</f>
        <v>0.1</v>
      </c>
      <c r="D174">
        <f>SUMIF('Newton-Miller_Convert'!B:B,'Newton-Miller_Convert'!L174,'Newton-Miller_Convert'!G:G)</f>
        <v>0</v>
      </c>
    </row>
    <row r="175" spans="2:4" x14ac:dyDescent="0.3">
      <c r="B175" s="8">
        <v>500</v>
      </c>
      <c r="C175">
        <f>SUMIF('Newton-Miller_Convert'!C:C,'Newton-Miller_Convert'!L175,'Newton-Miller_Convert'!E:E)</f>
        <v>2.15</v>
      </c>
      <c r="D175">
        <f>SUMIF('Newton-Miller_Convert'!B:B,'Newton-Miller_Convert'!L175,'Newton-Miller_Convert'!G:G)</f>
        <v>1.2999999999999998</v>
      </c>
    </row>
    <row r="176" spans="2:4" x14ac:dyDescent="0.3">
      <c r="B176" s="8">
        <v>550</v>
      </c>
      <c r="C176">
        <f>SUMIF('Newton-Miller_Convert'!C:C,'Newton-Miller_Convert'!L176,'Newton-Miller_Convert'!E:E)</f>
        <v>0.6</v>
      </c>
      <c r="D176">
        <f>SUMIF('Newton-Miller_Convert'!B:B,'Newton-Miller_Convert'!L176,'Newton-Miller_Convert'!G:G)</f>
        <v>0.65</v>
      </c>
    </row>
    <row r="177" spans="2:4" x14ac:dyDescent="0.3">
      <c r="B177" s="8">
        <v>570</v>
      </c>
      <c r="C177">
        <f>SUMIF('Newton-Miller_Convert'!C:C,'Newton-Miller_Convert'!L177,'Newton-Miller_Convert'!E:E)</f>
        <v>0.1</v>
      </c>
      <c r="D177">
        <f>SUMIF('Newton-Miller_Convert'!B:B,'Newton-Miller_Convert'!L177,'Newton-Miller_Convert'!G:G)</f>
        <v>0</v>
      </c>
    </row>
    <row r="178" spans="2:4" x14ac:dyDescent="0.3">
      <c r="B178" s="8">
        <v>575</v>
      </c>
      <c r="C178">
        <f>SUMIF('Newton-Miller_Convert'!C:C,'Newton-Miller_Convert'!L178,'Newton-Miller_Convert'!E:E)</f>
        <v>0.1</v>
      </c>
      <c r="D178">
        <f>SUMIF('Newton-Miller_Convert'!B:B,'Newton-Miller_Convert'!L178,'Newton-Miller_Convert'!G:G)</f>
        <v>0</v>
      </c>
    </row>
    <row r="179" spans="2:4" x14ac:dyDescent="0.3">
      <c r="B179" s="8">
        <v>579</v>
      </c>
      <c r="C179">
        <f>SUMIF('Newton-Miller_Convert'!C:C,'Newton-Miller_Convert'!L179,'Newton-Miller_Convert'!E:E)</f>
        <v>0</v>
      </c>
      <c r="D179">
        <f>SUMIF('Newton-Miller_Convert'!B:B,'Newton-Miller_Convert'!L179,'Newton-Miller_Convert'!G:G)</f>
        <v>0</v>
      </c>
    </row>
    <row r="180" spans="2:4" x14ac:dyDescent="0.3">
      <c r="B180" s="8">
        <v>600</v>
      </c>
      <c r="C180">
        <f>SUMIF('Newton-Miller_Convert'!C:C,'Newton-Miller_Convert'!L180,'Newton-Miller_Convert'!E:E)</f>
        <v>1.9000000000000001</v>
      </c>
      <c r="D180">
        <f>SUMIF('Newton-Miller_Convert'!B:B,'Newton-Miller_Convert'!L180,'Newton-Miller_Convert'!G:G)</f>
        <v>1</v>
      </c>
    </row>
    <row r="181" spans="2:4" x14ac:dyDescent="0.3">
      <c r="B181" s="8">
        <v>630</v>
      </c>
      <c r="C181">
        <f>SUMIF('Newton-Miller_Convert'!C:C,'Newton-Miller_Convert'!L181,'Newton-Miller_Convert'!E:E)</f>
        <v>0</v>
      </c>
      <c r="D181">
        <f>SUMIF('Newton-Miller_Convert'!B:B,'Newton-Miller_Convert'!L181,'Newton-Miller_Convert'!G:G)</f>
        <v>0</v>
      </c>
    </row>
    <row r="182" spans="2:4" x14ac:dyDescent="0.3">
      <c r="B182" s="8">
        <v>650</v>
      </c>
      <c r="C182">
        <f>SUMIF('Newton-Miller_Convert'!C:C,'Newton-Miller_Convert'!L182,'Newton-Miller_Convert'!E:E)</f>
        <v>0.1</v>
      </c>
      <c r="D182">
        <f>SUMIF('Newton-Miller_Convert'!B:B,'Newton-Miller_Convert'!L182,'Newton-Miller_Convert'!G:G)</f>
        <v>0</v>
      </c>
    </row>
    <row r="183" spans="2:4" x14ac:dyDescent="0.3">
      <c r="B183" s="8">
        <v>670</v>
      </c>
      <c r="C183">
        <f>SUMIF('Newton-Miller_Convert'!C:C,'Newton-Miller_Convert'!L183,'Newton-Miller_Convert'!E:E)</f>
        <v>0</v>
      </c>
      <c r="D183">
        <f>SUMIF('Newton-Miller_Convert'!B:B,'Newton-Miller_Convert'!L183,'Newton-Miller_Convert'!G:G)</f>
        <v>0</v>
      </c>
    </row>
    <row r="184" spans="2:4" x14ac:dyDescent="0.3">
      <c r="B184" s="8">
        <v>679</v>
      </c>
      <c r="C184">
        <f>SUMIF('Newton-Miller_Convert'!C:C,'Newton-Miller_Convert'!L184,'Newton-Miller_Convert'!E:E)</f>
        <v>0</v>
      </c>
      <c r="D184">
        <f>SUMIF('Newton-Miller_Convert'!B:B,'Newton-Miller_Convert'!L184,'Newton-Miller_Convert'!G:G)</f>
        <v>0</v>
      </c>
    </row>
    <row r="185" spans="2:4" x14ac:dyDescent="0.3">
      <c r="B185" s="8">
        <v>699</v>
      </c>
      <c r="C185">
        <f>SUMIF('Newton-Miller_Convert'!C:C,'Newton-Miller_Convert'!L185,'Newton-Miller_Convert'!E:E)</f>
        <v>0</v>
      </c>
      <c r="D185">
        <f>SUMIF('Newton-Miller_Convert'!B:B,'Newton-Miller_Convert'!L185,'Newton-Miller_Convert'!G:G)</f>
        <v>0</v>
      </c>
    </row>
    <row r="186" spans="2:4" x14ac:dyDescent="0.3">
      <c r="B186" s="8">
        <v>700</v>
      </c>
      <c r="C186">
        <f>SUMIF('Newton-Miller_Convert'!C:C,'Newton-Miller_Convert'!L186,'Newton-Miller_Convert'!E:E)</f>
        <v>0.5</v>
      </c>
      <c r="D186">
        <f>SUMIF('Newton-Miller_Convert'!B:B,'Newton-Miller_Convert'!L186,'Newton-Miller_Convert'!G:G)</f>
        <v>0</v>
      </c>
    </row>
    <row r="187" spans="2:4" x14ac:dyDescent="0.3">
      <c r="B187" s="8">
        <v>750</v>
      </c>
      <c r="C187">
        <f>SUMIF('Newton-Miller_Convert'!C:C,'Newton-Miller_Convert'!L187,'Newton-Miller_Convert'!E:E)</f>
        <v>0</v>
      </c>
      <c r="D187">
        <f>SUMIF('Newton-Miller_Convert'!B:B,'Newton-Miller_Convert'!L187,'Newton-Miller_Convert'!G:G)</f>
        <v>0</v>
      </c>
    </row>
    <row r="188" spans="2:4" x14ac:dyDescent="0.3">
      <c r="B188" s="8">
        <v>800</v>
      </c>
      <c r="C188">
        <f>SUMIF('Newton-Miller_Convert'!C:C,'Newton-Miller_Convert'!L188,'Newton-Miller_Convert'!E:E)</f>
        <v>0</v>
      </c>
      <c r="D188">
        <f>SUMIF('Newton-Miller_Convert'!B:B,'Newton-Miller_Convert'!L188,'Newton-Miller_Convert'!G:G)</f>
        <v>0</v>
      </c>
    </row>
    <row r="189" spans="2:4" x14ac:dyDescent="0.3">
      <c r="B189" s="8">
        <v>900</v>
      </c>
      <c r="C189">
        <f>SUMIF('Newton-Miller_Convert'!C:C,'Newton-Miller_Convert'!L189,'Newton-Miller_Convert'!E:E)</f>
        <v>0</v>
      </c>
      <c r="D189">
        <f>SUMIF('Newton-Miller_Convert'!B:B,'Newton-Miller_Convert'!L189,'Newton-Miller_Convert'!G:G)</f>
        <v>0</v>
      </c>
    </row>
    <row r="190" spans="2:4" x14ac:dyDescent="0.3">
      <c r="B190" s="8">
        <v>1000</v>
      </c>
      <c r="C190">
        <f>SUMIF('Newton-Miller_Convert'!C:C,'Newton-Miller_Convert'!L190,'Newton-Miller_Convert'!E:E)</f>
        <v>0</v>
      </c>
      <c r="D190">
        <f>SUMIF('Newton-Miller_Convert'!B:B,'Newton-Miller_Convert'!L190,'Newton-Miller_Convert'!G:G)</f>
        <v>0</v>
      </c>
    </row>
    <row r="191" spans="2:4" x14ac:dyDescent="0.3">
      <c r="B191" s="8">
        <v>3000</v>
      </c>
      <c r="C191">
        <f>SUMIF('Newton-Miller_Convert'!C:C,'Newton-Miller_Convert'!L191,'Newton-Miller_Convert'!E:E)</f>
        <v>0</v>
      </c>
      <c r="D191">
        <f>SUMIF('Newton-Miller_Convert'!B:B,'Newton-Miller_Convert'!L191,'Newton-Miller_Convert'!G:G)</f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AAED6-DC47-9341-834B-DAD975340A47}">
  <dimension ref="A1:K191"/>
  <sheetViews>
    <sheetView workbookViewId="0">
      <selection activeCell="F31" sqref="F31"/>
    </sheetView>
  </sheetViews>
  <sheetFormatPr defaultColWidth="11.19921875" defaultRowHeight="15.6" x14ac:dyDescent="0.3"/>
  <cols>
    <col min="2" max="2" width="19.796875" bestFit="1" customWidth="1"/>
    <col min="3" max="3" width="19.5" bestFit="1" customWidth="1"/>
    <col min="5" max="5" width="26.19921875" bestFit="1" customWidth="1"/>
    <col min="6" max="6" width="27.296875" bestFit="1" customWidth="1"/>
    <col min="7" max="7" width="31.5" bestFit="1" customWidth="1"/>
    <col min="11" max="11" width="31.5" bestFit="1" customWidth="1"/>
  </cols>
  <sheetData>
    <row r="1" spans="1:11" x14ac:dyDescent="0.3">
      <c r="B1" s="1" t="s">
        <v>17</v>
      </c>
      <c r="C1" s="1" t="s">
        <v>18</v>
      </c>
      <c r="E1" s="1" t="s">
        <v>19</v>
      </c>
      <c r="F1" s="1" t="s">
        <v>20</v>
      </c>
      <c r="G1" s="1" t="s">
        <v>21</v>
      </c>
      <c r="J1" s="1" t="s">
        <v>23</v>
      </c>
      <c r="K1" s="1" t="s">
        <v>21</v>
      </c>
    </row>
    <row r="2" spans="1:11" x14ac:dyDescent="0.3">
      <c r="A2" s="8">
        <v>10</v>
      </c>
      <c r="B2">
        <f>SUM('Total Purchase Likelihood'!C2)</f>
        <v>0</v>
      </c>
      <c r="C2">
        <f>'Total Purchase Likelihood'!C2</f>
        <v>0</v>
      </c>
      <c r="E2" s="7">
        <f>MAX(C:C)-C2</f>
        <v>140.34999999999988</v>
      </c>
      <c r="F2" s="7">
        <f>MAX(B:B)-B2</f>
        <v>158.75000000000006</v>
      </c>
      <c r="G2" s="4">
        <f>SUM(E2:F2)/606</f>
        <v>0.49356435643564339</v>
      </c>
      <c r="J2" s="8">
        <v>10</v>
      </c>
      <c r="K2" s="4">
        <v>0.49356435643564339</v>
      </c>
    </row>
    <row r="3" spans="1:11" x14ac:dyDescent="0.3">
      <c r="A3" s="8">
        <v>13</v>
      </c>
      <c r="B3" s="7">
        <f>SUM('Total Purchase Likelihood'!D$2:'Total Purchase Likelihood'!D3)</f>
        <v>0</v>
      </c>
      <c r="C3" s="7">
        <f>SUM('Total Purchase Likelihood'!C$2:C3)</f>
        <v>0</v>
      </c>
      <c r="E3" s="7">
        <f t="shared" ref="E3:E66" si="0">MAX(C:C)-C3</f>
        <v>140.34999999999988</v>
      </c>
      <c r="F3" s="7">
        <f t="shared" ref="F3:F66" si="1">MAX(B:B)-B3</f>
        <v>158.75000000000006</v>
      </c>
      <c r="G3" s="4">
        <f>SUM(E3:F3)/606</f>
        <v>0.49356435643564339</v>
      </c>
      <c r="J3" s="8">
        <v>13</v>
      </c>
      <c r="K3" s="4">
        <v>0.49356435643564339</v>
      </c>
    </row>
    <row r="4" spans="1:11" x14ac:dyDescent="0.3">
      <c r="A4" s="8">
        <v>14</v>
      </c>
      <c r="B4" s="7">
        <f>SUM('Total Purchase Likelihood'!D$2:'Total Purchase Likelihood'!D4)</f>
        <v>0</v>
      </c>
      <c r="C4" s="7">
        <f>SUM('Total Purchase Likelihood'!C$2:C4)</f>
        <v>0</v>
      </c>
      <c r="E4" s="7">
        <f t="shared" si="0"/>
        <v>140.34999999999988</v>
      </c>
      <c r="F4" s="7">
        <f t="shared" si="1"/>
        <v>158.75000000000006</v>
      </c>
      <c r="G4" s="4">
        <f t="shared" ref="G4:G66" si="2">SUM(E4:F4)/606</f>
        <v>0.49356435643564339</v>
      </c>
      <c r="J4" s="8">
        <v>14</v>
      </c>
      <c r="K4" s="4">
        <v>0.49356435643564339</v>
      </c>
    </row>
    <row r="5" spans="1:11" x14ac:dyDescent="0.3">
      <c r="A5" s="8">
        <v>15</v>
      </c>
      <c r="B5" s="7">
        <f>SUM('Total Purchase Likelihood'!D$2:'Total Purchase Likelihood'!D5)</f>
        <v>0</v>
      </c>
      <c r="C5" s="7">
        <f>SUM('Total Purchase Likelihood'!C$2:C5)</f>
        <v>0</v>
      </c>
      <c r="E5" s="7">
        <f t="shared" si="0"/>
        <v>140.34999999999988</v>
      </c>
      <c r="F5" s="7">
        <f t="shared" si="1"/>
        <v>158.75000000000006</v>
      </c>
      <c r="G5" s="4">
        <f t="shared" si="2"/>
        <v>0.49356435643564339</v>
      </c>
      <c r="J5" s="8">
        <v>15</v>
      </c>
      <c r="K5" s="4">
        <v>0.49356435643564339</v>
      </c>
    </row>
    <row r="6" spans="1:11" x14ac:dyDescent="0.3">
      <c r="A6" s="8">
        <v>18</v>
      </c>
      <c r="B6" s="7">
        <f>SUM('Total Purchase Likelihood'!D$2:'Total Purchase Likelihood'!D6)</f>
        <v>0</v>
      </c>
      <c r="C6" s="7">
        <f>SUM('Total Purchase Likelihood'!C$2:C6)</f>
        <v>0</v>
      </c>
      <c r="E6" s="7">
        <f t="shared" si="0"/>
        <v>140.34999999999988</v>
      </c>
      <c r="F6" s="7">
        <f t="shared" si="1"/>
        <v>158.75000000000006</v>
      </c>
      <c r="G6" s="4">
        <f t="shared" si="2"/>
        <v>0.49356435643564339</v>
      </c>
      <c r="J6" s="8">
        <v>18</v>
      </c>
      <c r="K6" s="4">
        <v>0.49356435643564339</v>
      </c>
    </row>
    <row r="7" spans="1:11" x14ac:dyDescent="0.3">
      <c r="A7" s="8">
        <v>19</v>
      </c>
      <c r="B7" s="7">
        <f>SUM('Total Purchase Likelihood'!D$2:'Total Purchase Likelihood'!D7)</f>
        <v>0</v>
      </c>
      <c r="C7" s="7">
        <f>SUM('Total Purchase Likelihood'!C$2:C7)</f>
        <v>0</v>
      </c>
      <c r="E7" s="7">
        <f t="shared" si="0"/>
        <v>140.34999999999988</v>
      </c>
      <c r="F7" s="7">
        <f t="shared" si="1"/>
        <v>158.75000000000006</v>
      </c>
      <c r="G7" s="4">
        <f t="shared" si="2"/>
        <v>0.49356435643564339</v>
      </c>
      <c r="J7" s="8">
        <v>19</v>
      </c>
      <c r="K7" s="4">
        <v>0.49356435643564339</v>
      </c>
    </row>
    <row r="8" spans="1:11" x14ac:dyDescent="0.3">
      <c r="A8" s="8">
        <v>20</v>
      </c>
      <c r="B8" s="7">
        <f>SUM('Total Purchase Likelihood'!D$2:'Total Purchase Likelihood'!D8)</f>
        <v>0.15</v>
      </c>
      <c r="C8" s="7">
        <f>SUM('Total Purchase Likelihood'!C$2:C8)</f>
        <v>0</v>
      </c>
      <c r="E8" s="7">
        <f t="shared" si="0"/>
        <v>140.34999999999988</v>
      </c>
      <c r="F8" s="7">
        <f t="shared" si="1"/>
        <v>158.60000000000005</v>
      </c>
      <c r="G8" s="4">
        <f t="shared" si="2"/>
        <v>0.4933168316831682</v>
      </c>
      <c r="J8" s="8">
        <v>20</v>
      </c>
      <c r="K8" s="4">
        <v>0.4933168316831682</v>
      </c>
    </row>
    <row r="9" spans="1:11" x14ac:dyDescent="0.3">
      <c r="A9" s="8">
        <v>21</v>
      </c>
      <c r="B9" s="7">
        <f>SUM('Total Purchase Likelihood'!D$2:'Total Purchase Likelihood'!D9)</f>
        <v>0.15</v>
      </c>
      <c r="C9" s="7">
        <f>SUM('Total Purchase Likelihood'!C$2:C9)</f>
        <v>0</v>
      </c>
      <c r="E9" s="7">
        <f t="shared" si="0"/>
        <v>140.34999999999988</v>
      </c>
      <c r="F9" s="7">
        <f t="shared" si="1"/>
        <v>158.60000000000005</v>
      </c>
      <c r="G9" s="4">
        <f t="shared" si="2"/>
        <v>0.4933168316831682</v>
      </c>
      <c r="J9" s="8">
        <v>21</v>
      </c>
      <c r="K9" s="4">
        <v>0.4933168316831682</v>
      </c>
    </row>
    <row r="10" spans="1:11" x14ac:dyDescent="0.3">
      <c r="A10" s="8">
        <v>22</v>
      </c>
      <c r="B10" s="7">
        <f>SUM('Total Purchase Likelihood'!D$2:'Total Purchase Likelihood'!D10)</f>
        <v>0.15</v>
      </c>
      <c r="C10" s="7">
        <f>SUM('Total Purchase Likelihood'!C$2:C10)</f>
        <v>0.1</v>
      </c>
      <c r="E10" s="7">
        <f t="shared" si="0"/>
        <v>140.24999999999989</v>
      </c>
      <c r="F10" s="7">
        <f t="shared" si="1"/>
        <v>158.60000000000005</v>
      </c>
      <c r="G10" s="4">
        <f t="shared" si="2"/>
        <v>0.49315181518151802</v>
      </c>
      <c r="J10" s="8">
        <v>22</v>
      </c>
      <c r="K10" s="4">
        <v>0.49315181518151802</v>
      </c>
    </row>
    <row r="11" spans="1:11" x14ac:dyDescent="0.3">
      <c r="A11" s="8">
        <v>23</v>
      </c>
      <c r="B11" s="7">
        <f>SUM('Total Purchase Likelihood'!D$2:'Total Purchase Likelihood'!D11)</f>
        <v>0.15</v>
      </c>
      <c r="C11" s="7">
        <f>SUM('Total Purchase Likelihood'!C$2:C11)</f>
        <v>0.2</v>
      </c>
      <c r="E11" s="7">
        <f t="shared" si="0"/>
        <v>140.14999999999989</v>
      </c>
      <c r="F11" s="7">
        <f t="shared" si="1"/>
        <v>158.60000000000005</v>
      </c>
      <c r="G11" s="4">
        <f t="shared" si="2"/>
        <v>0.49298679867986789</v>
      </c>
      <c r="J11" s="8">
        <v>23</v>
      </c>
      <c r="K11" s="4">
        <v>0.49298679867986789</v>
      </c>
    </row>
    <row r="12" spans="1:11" x14ac:dyDescent="0.3">
      <c r="A12" s="8">
        <v>24</v>
      </c>
      <c r="B12" s="7">
        <f>SUM('Total Purchase Likelihood'!D$2:'Total Purchase Likelihood'!D12)</f>
        <v>0.15</v>
      </c>
      <c r="C12" s="7">
        <f>SUM('Total Purchase Likelihood'!C$2:C12)</f>
        <v>0.2</v>
      </c>
      <c r="E12" s="7">
        <f t="shared" si="0"/>
        <v>140.14999999999989</v>
      </c>
      <c r="F12" s="7">
        <f t="shared" si="1"/>
        <v>158.60000000000005</v>
      </c>
      <c r="G12" s="4">
        <f t="shared" si="2"/>
        <v>0.49298679867986789</v>
      </c>
      <c r="J12" s="8">
        <v>24</v>
      </c>
      <c r="K12" s="4">
        <v>0.49298679867986789</v>
      </c>
    </row>
    <row r="13" spans="1:11" x14ac:dyDescent="0.3">
      <c r="A13" s="8">
        <v>25</v>
      </c>
      <c r="B13" s="7">
        <f>SUM('Total Purchase Likelihood'!D$2:'Total Purchase Likelihood'!D13)</f>
        <v>0.15</v>
      </c>
      <c r="C13" s="7">
        <f>SUM('Total Purchase Likelihood'!C$2:C13)</f>
        <v>0.2</v>
      </c>
      <c r="E13" s="7">
        <f t="shared" si="0"/>
        <v>140.14999999999989</v>
      </c>
      <c r="F13" s="7">
        <f t="shared" si="1"/>
        <v>158.60000000000005</v>
      </c>
      <c r="G13" s="4">
        <f t="shared" si="2"/>
        <v>0.49298679867986789</v>
      </c>
      <c r="J13" s="8">
        <v>25</v>
      </c>
      <c r="K13" s="4">
        <v>0.49298679867986789</v>
      </c>
    </row>
    <row r="14" spans="1:11" x14ac:dyDescent="0.3">
      <c r="A14" s="8">
        <v>26</v>
      </c>
      <c r="B14" s="7">
        <f>SUM('Total Purchase Likelihood'!D$2:'Total Purchase Likelihood'!D14)</f>
        <v>0.15</v>
      </c>
      <c r="C14" s="7">
        <f>SUM('Total Purchase Likelihood'!C$2:C14)</f>
        <v>0.2</v>
      </c>
      <c r="E14" s="7">
        <f t="shared" si="0"/>
        <v>140.14999999999989</v>
      </c>
      <c r="F14" s="7">
        <f t="shared" si="1"/>
        <v>158.60000000000005</v>
      </c>
      <c r="G14" s="4">
        <f t="shared" si="2"/>
        <v>0.49298679867986789</v>
      </c>
      <c r="J14" s="8">
        <v>26</v>
      </c>
      <c r="K14" s="4">
        <v>0.49298679867986789</v>
      </c>
    </row>
    <row r="15" spans="1:11" x14ac:dyDescent="0.3">
      <c r="A15" s="8">
        <v>27</v>
      </c>
      <c r="B15" s="7">
        <f>SUM('Total Purchase Likelihood'!D$2:'Total Purchase Likelihood'!D15)</f>
        <v>0.15</v>
      </c>
      <c r="C15" s="7">
        <f>SUM('Total Purchase Likelihood'!C$2:C15)</f>
        <v>0.2</v>
      </c>
      <c r="E15" s="7">
        <f t="shared" si="0"/>
        <v>140.14999999999989</v>
      </c>
      <c r="F15" s="7">
        <f t="shared" si="1"/>
        <v>158.60000000000005</v>
      </c>
      <c r="G15" s="4">
        <f t="shared" si="2"/>
        <v>0.49298679867986789</v>
      </c>
      <c r="J15" s="8">
        <v>27</v>
      </c>
      <c r="K15" s="4">
        <v>0.49298679867986789</v>
      </c>
    </row>
    <row r="16" spans="1:11" x14ac:dyDescent="0.3">
      <c r="A16" s="8">
        <v>28</v>
      </c>
      <c r="B16" s="7">
        <f>SUM('Total Purchase Likelihood'!D$2:'Total Purchase Likelihood'!D16)</f>
        <v>0.15</v>
      </c>
      <c r="C16" s="7">
        <f>SUM('Total Purchase Likelihood'!C$2:C16)</f>
        <v>0.95</v>
      </c>
      <c r="E16" s="7">
        <f t="shared" si="0"/>
        <v>139.39999999999989</v>
      </c>
      <c r="F16" s="7">
        <f t="shared" si="1"/>
        <v>158.60000000000005</v>
      </c>
      <c r="G16" s="4">
        <f t="shared" si="2"/>
        <v>0.49174917491749165</v>
      </c>
      <c r="J16" s="8">
        <v>28</v>
      </c>
      <c r="K16" s="4">
        <v>0.49174917491749165</v>
      </c>
    </row>
    <row r="17" spans="1:11" x14ac:dyDescent="0.3">
      <c r="A17" s="8">
        <v>29</v>
      </c>
      <c r="B17" s="7">
        <f>SUM('Total Purchase Likelihood'!D$2:'Total Purchase Likelihood'!D17)</f>
        <v>0.15</v>
      </c>
      <c r="C17" s="7">
        <f>SUM('Total Purchase Likelihood'!C$2:C17)</f>
        <v>0.95</v>
      </c>
      <c r="E17" s="7">
        <f t="shared" si="0"/>
        <v>139.39999999999989</v>
      </c>
      <c r="F17" s="7">
        <f t="shared" si="1"/>
        <v>158.60000000000005</v>
      </c>
      <c r="G17" s="4">
        <f t="shared" si="2"/>
        <v>0.49174917491749165</v>
      </c>
      <c r="J17" s="8">
        <v>29</v>
      </c>
      <c r="K17" s="4">
        <v>0.49174917491749165</v>
      </c>
    </row>
    <row r="18" spans="1:11" x14ac:dyDescent="0.3">
      <c r="A18" s="8">
        <v>30</v>
      </c>
      <c r="B18" s="7">
        <f>SUM('Total Purchase Likelihood'!D$2:'Total Purchase Likelihood'!D18)</f>
        <v>1.45</v>
      </c>
      <c r="C18" s="7">
        <f>SUM('Total Purchase Likelihood'!C$2:C18)</f>
        <v>1.7</v>
      </c>
      <c r="E18" s="7">
        <f t="shared" si="0"/>
        <v>138.64999999999989</v>
      </c>
      <c r="F18" s="7">
        <f t="shared" si="1"/>
        <v>157.30000000000007</v>
      </c>
      <c r="G18" s="4">
        <f t="shared" si="2"/>
        <v>0.48836633663366324</v>
      </c>
      <c r="J18" s="8">
        <v>30</v>
      </c>
      <c r="K18" s="4">
        <v>0.48836633663366324</v>
      </c>
    </row>
    <row r="19" spans="1:11" x14ac:dyDescent="0.3">
      <c r="A19" s="8">
        <v>33</v>
      </c>
      <c r="B19" s="7">
        <f>SUM('Total Purchase Likelihood'!D$2:'Total Purchase Likelihood'!D19)</f>
        <v>1.45</v>
      </c>
      <c r="C19" s="7">
        <f>SUM('Total Purchase Likelihood'!C$2:C19)</f>
        <v>1.7</v>
      </c>
      <c r="E19" s="7">
        <f t="shared" si="0"/>
        <v>138.64999999999989</v>
      </c>
      <c r="F19" s="7">
        <f t="shared" si="1"/>
        <v>157.30000000000007</v>
      </c>
      <c r="G19" s="4">
        <f t="shared" si="2"/>
        <v>0.48836633663366324</v>
      </c>
      <c r="J19" s="8">
        <v>33</v>
      </c>
      <c r="K19" s="4">
        <v>0.48836633663366324</v>
      </c>
    </row>
    <row r="20" spans="1:11" x14ac:dyDescent="0.3">
      <c r="A20" s="8">
        <v>35</v>
      </c>
      <c r="B20" s="7">
        <f>SUM('Total Purchase Likelihood'!D$2:'Total Purchase Likelihood'!D20)</f>
        <v>1.7</v>
      </c>
      <c r="C20" s="7">
        <f>SUM('Total Purchase Likelihood'!C$2:C20)</f>
        <v>2.4500000000000002</v>
      </c>
      <c r="E20" s="7">
        <f t="shared" si="0"/>
        <v>137.89999999999989</v>
      </c>
      <c r="F20" s="7">
        <f t="shared" si="1"/>
        <v>157.05000000000007</v>
      </c>
      <c r="G20" s="4">
        <f t="shared" si="2"/>
        <v>0.48671617161716163</v>
      </c>
      <c r="J20" s="8">
        <v>35</v>
      </c>
      <c r="K20" s="4">
        <v>0.48671617161716163</v>
      </c>
    </row>
    <row r="21" spans="1:11" x14ac:dyDescent="0.3">
      <c r="A21" s="8">
        <v>40</v>
      </c>
      <c r="B21" s="7">
        <f>SUM('Total Purchase Likelihood'!D$2:'Total Purchase Likelihood'!D21)</f>
        <v>1.8499999999999999</v>
      </c>
      <c r="C21" s="7">
        <f>SUM('Total Purchase Likelihood'!C$2:C21)</f>
        <v>3.2</v>
      </c>
      <c r="E21" s="7">
        <f t="shared" si="0"/>
        <v>137.14999999999989</v>
      </c>
      <c r="F21" s="7">
        <f t="shared" si="1"/>
        <v>156.90000000000006</v>
      </c>
      <c r="G21" s="4">
        <f t="shared" si="2"/>
        <v>0.48523102310231014</v>
      </c>
      <c r="J21" s="8">
        <v>40</v>
      </c>
      <c r="K21" s="4">
        <v>0.48523102310231014</v>
      </c>
    </row>
    <row r="22" spans="1:11" x14ac:dyDescent="0.3">
      <c r="A22" s="8">
        <v>45</v>
      </c>
      <c r="B22" s="7">
        <f>SUM('Total Purchase Likelihood'!D$2:'Total Purchase Likelihood'!D22)</f>
        <v>1.95</v>
      </c>
      <c r="C22" s="7">
        <f>SUM('Total Purchase Likelihood'!C$2:C22)</f>
        <v>3.2</v>
      </c>
      <c r="E22" s="7">
        <f t="shared" si="0"/>
        <v>137.14999999999989</v>
      </c>
      <c r="F22" s="7">
        <f t="shared" si="1"/>
        <v>156.80000000000007</v>
      </c>
      <c r="G22" s="4">
        <f t="shared" si="2"/>
        <v>0.48506600660065996</v>
      </c>
      <c r="J22" s="8">
        <v>45</v>
      </c>
      <c r="K22" s="4">
        <v>0.48506600660065996</v>
      </c>
    </row>
    <row r="23" spans="1:11" x14ac:dyDescent="0.3">
      <c r="A23" s="8">
        <v>48</v>
      </c>
      <c r="B23" s="7">
        <f>SUM('Total Purchase Likelihood'!D$2:'Total Purchase Likelihood'!D23)</f>
        <v>1.95</v>
      </c>
      <c r="C23" s="7">
        <f>SUM('Total Purchase Likelihood'!C$2:C23)</f>
        <v>3.2</v>
      </c>
      <c r="E23" s="7">
        <f t="shared" si="0"/>
        <v>137.14999999999989</v>
      </c>
      <c r="F23" s="7">
        <f t="shared" si="1"/>
        <v>156.80000000000007</v>
      </c>
      <c r="G23" s="4">
        <f t="shared" si="2"/>
        <v>0.48506600660065996</v>
      </c>
      <c r="J23" s="8">
        <v>48</v>
      </c>
      <c r="K23" s="4">
        <v>0.48506600660065996</v>
      </c>
    </row>
    <row r="24" spans="1:11" x14ac:dyDescent="0.3">
      <c r="A24" s="8">
        <v>49</v>
      </c>
      <c r="B24" s="7">
        <f>SUM('Total Purchase Likelihood'!D$2:'Total Purchase Likelihood'!D24)</f>
        <v>1.95</v>
      </c>
      <c r="C24" s="7">
        <f>SUM('Total Purchase Likelihood'!C$2:C24)</f>
        <v>3.3000000000000003</v>
      </c>
      <c r="E24" s="7">
        <f t="shared" si="0"/>
        <v>137.04999999999987</v>
      </c>
      <c r="F24" s="7">
        <f t="shared" si="1"/>
        <v>156.80000000000007</v>
      </c>
      <c r="G24" s="4">
        <f t="shared" si="2"/>
        <v>0.48490099009900978</v>
      </c>
      <c r="J24" s="8">
        <v>49</v>
      </c>
      <c r="K24" s="4">
        <v>0.48490099009900978</v>
      </c>
    </row>
    <row r="25" spans="1:11" x14ac:dyDescent="0.3">
      <c r="A25" s="8">
        <v>50</v>
      </c>
      <c r="B25" s="7">
        <f>SUM('Total Purchase Likelihood'!D$2:'Total Purchase Likelihood'!D25)</f>
        <v>4.4000000000000004</v>
      </c>
      <c r="C25" s="7">
        <f>SUM('Total Purchase Likelihood'!C$2:C25)</f>
        <v>4.25</v>
      </c>
      <c r="E25" s="7">
        <f t="shared" si="0"/>
        <v>136.09999999999988</v>
      </c>
      <c r="F25" s="7">
        <f t="shared" si="1"/>
        <v>154.35000000000005</v>
      </c>
      <c r="G25" s="4">
        <f t="shared" si="2"/>
        <v>0.4792904290429042</v>
      </c>
      <c r="J25" s="8">
        <v>50</v>
      </c>
      <c r="K25" s="4">
        <v>0.4792904290429042</v>
      </c>
    </row>
    <row r="26" spans="1:11" x14ac:dyDescent="0.3">
      <c r="A26" s="8">
        <v>53</v>
      </c>
      <c r="B26" s="7">
        <f>SUM('Total Purchase Likelihood'!D$2:'Total Purchase Likelihood'!D26)</f>
        <v>4.4000000000000004</v>
      </c>
      <c r="C26" s="7">
        <f>SUM('Total Purchase Likelihood'!C$2:C26)</f>
        <v>4.25</v>
      </c>
      <c r="E26" s="7">
        <f t="shared" si="0"/>
        <v>136.09999999999988</v>
      </c>
      <c r="F26" s="7">
        <f t="shared" si="1"/>
        <v>154.35000000000005</v>
      </c>
      <c r="G26" s="4">
        <f t="shared" si="2"/>
        <v>0.4792904290429042</v>
      </c>
      <c r="J26" s="8">
        <v>53</v>
      </c>
      <c r="K26" s="4">
        <v>0.4792904290429042</v>
      </c>
    </row>
    <row r="27" spans="1:11" x14ac:dyDescent="0.3">
      <c r="A27" s="8">
        <v>54</v>
      </c>
      <c r="B27" s="7">
        <f>SUM('Total Purchase Likelihood'!D$2:'Total Purchase Likelihood'!D27)</f>
        <v>4.4000000000000004</v>
      </c>
      <c r="C27" s="7">
        <f>SUM('Total Purchase Likelihood'!C$2:C27)</f>
        <v>4.25</v>
      </c>
      <c r="E27" s="7">
        <f t="shared" si="0"/>
        <v>136.09999999999988</v>
      </c>
      <c r="F27" s="7">
        <f t="shared" si="1"/>
        <v>154.35000000000005</v>
      </c>
      <c r="G27" s="4">
        <f t="shared" si="2"/>
        <v>0.4792904290429042</v>
      </c>
      <c r="J27" s="8">
        <v>54</v>
      </c>
      <c r="K27" s="4">
        <v>0.4792904290429042</v>
      </c>
    </row>
    <row r="28" spans="1:11" x14ac:dyDescent="0.3">
      <c r="A28" s="8">
        <v>55</v>
      </c>
      <c r="B28" s="7">
        <f>SUM('Total Purchase Likelihood'!D$2:'Total Purchase Likelihood'!D28)</f>
        <v>4.4000000000000004</v>
      </c>
      <c r="C28" s="7">
        <f>SUM('Total Purchase Likelihood'!C$2:C28)</f>
        <v>4.25</v>
      </c>
      <c r="E28" s="7">
        <f t="shared" si="0"/>
        <v>136.09999999999988</v>
      </c>
      <c r="F28" s="7">
        <f t="shared" si="1"/>
        <v>154.35000000000005</v>
      </c>
      <c r="G28" s="4">
        <f t="shared" si="2"/>
        <v>0.4792904290429042</v>
      </c>
      <c r="J28" s="8">
        <v>55</v>
      </c>
      <c r="K28" s="4">
        <v>0.4792904290429042</v>
      </c>
    </row>
    <row r="29" spans="1:11" x14ac:dyDescent="0.3">
      <c r="A29" s="8">
        <v>56</v>
      </c>
      <c r="B29" s="7">
        <f>SUM('Total Purchase Likelihood'!D$2:'Total Purchase Likelihood'!D29)</f>
        <v>4.4000000000000004</v>
      </c>
      <c r="C29" s="7">
        <f>SUM('Total Purchase Likelihood'!C$2:C29)</f>
        <v>4.25</v>
      </c>
      <c r="E29" s="7">
        <f t="shared" si="0"/>
        <v>136.09999999999988</v>
      </c>
      <c r="F29" s="7">
        <f t="shared" si="1"/>
        <v>154.35000000000005</v>
      </c>
      <c r="G29" s="4">
        <f t="shared" si="2"/>
        <v>0.4792904290429042</v>
      </c>
      <c r="J29" s="8">
        <v>56</v>
      </c>
      <c r="K29" s="4">
        <v>0.4792904290429042</v>
      </c>
    </row>
    <row r="30" spans="1:11" x14ac:dyDescent="0.3">
      <c r="A30" s="8">
        <v>58</v>
      </c>
      <c r="B30" s="7">
        <f>SUM('Total Purchase Likelihood'!D$2:'Total Purchase Likelihood'!D30)</f>
        <v>4.4000000000000004</v>
      </c>
      <c r="C30" s="7">
        <f>SUM('Total Purchase Likelihood'!C$2:C30)</f>
        <v>4.25</v>
      </c>
      <c r="E30" s="7">
        <f t="shared" si="0"/>
        <v>136.09999999999988</v>
      </c>
      <c r="F30" s="7">
        <f t="shared" si="1"/>
        <v>154.35000000000005</v>
      </c>
      <c r="G30" s="4">
        <f t="shared" si="2"/>
        <v>0.4792904290429042</v>
      </c>
      <c r="J30" s="8">
        <v>58</v>
      </c>
      <c r="K30" s="4">
        <v>0.4792904290429042</v>
      </c>
    </row>
    <row r="31" spans="1:11" x14ac:dyDescent="0.3">
      <c r="A31" s="8">
        <v>60</v>
      </c>
      <c r="B31" s="7">
        <f>SUM('Total Purchase Likelihood'!D$2:'Total Purchase Likelihood'!D31)</f>
        <v>4.9000000000000004</v>
      </c>
      <c r="C31" s="7">
        <f>SUM('Total Purchase Likelihood'!C$2:C31)</f>
        <v>5.5</v>
      </c>
      <c r="E31" s="7">
        <f t="shared" si="0"/>
        <v>134.84999999999988</v>
      </c>
      <c r="F31" s="7">
        <f t="shared" si="1"/>
        <v>153.85000000000005</v>
      </c>
      <c r="G31" s="4">
        <f t="shared" si="2"/>
        <v>0.47640264026402629</v>
      </c>
      <c r="J31" s="8">
        <v>60</v>
      </c>
      <c r="K31" s="4">
        <v>0.47640264026402629</v>
      </c>
    </row>
    <row r="32" spans="1:11" x14ac:dyDescent="0.3">
      <c r="A32" s="8">
        <v>65</v>
      </c>
      <c r="B32" s="7">
        <f>SUM('Total Purchase Likelihood'!D$2:'Total Purchase Likelihood'!D32)</f>
        <v>4.9000000000000004</v>
      </c>
      <c r="C32" s="7">
        <f>SUM('Total Purchase Likelihood'!C$2:C32)</f>
        <v>5.5</v>
      </c>
      <c r="E32" s="7">
        <f t="shared" si="0"/>
        <v>134.84999999999988</v>
      </c>
      <c r="F32" s="7">
        <f t="shared" si="1"/>
        <v>153.85000000000005</v>
      </c>
      <c r="G32" s="4">
        <f t="shared" si="2"/>
        <v>0.47640264026402629</v>
      </c>
      <c r="J32" s="8">
        <v>65</v>
      </c>
      <c r="K32" s="4">
        <v>0.47640264026402629</v>
      </c>
    </row>
    <row r="33" spans="1:11" x14ac:dyDescent="0.3">
      <c r="A33" s="8">
        <v>66</v>
      </c>
      <c r="B33" s="7">
        <f>SUM('Total Purchase Likelihood'!D$2:'Total Purchase Likelihood'!D33)</f>
        <v>4.9000000000000004</v>
      </c>
      <c r="C33" s="7">
        <f>SUM('Total Purchase Likelihood'!C$2:C33)</f>
        <v>5.5</v>
      </c>
      <c r="E33" s="7">
        <f t="shared" si="0"/>
        <v>134.84999999999988</v>
      </c>
      <c r="F33" s="7">
        <f t="shared" si="1"/>
        <v>153.85000000000005</v>
      </c>
      <c r="G33" s="4">
        <f t="shared" si="2"/>
        <v>0.47640264026402629</v>
      </c>
      <c r="J33" s="8">
        <v>66</v>
      </c>
      <c r="K33" s="4">
        <v>0.47640264026402629</v>
      </c>
    </row>
    <row r="34" spans="1:11" x14ac:dyDescent="0.3">
      <c r="A34" s="8">
        <v>67</v>
      </c>
      <c r="B34" s="7">
        <f>SUM('Total Purchase Likelihood'!D$2:'Total Purchase Likelihood'!D34)</f>
        <v>4.9000000000000004</v>
      </c>
      <c r="C34" s="7">
        <f>SUM('Total Purchase Likelihood'!C$2:C34)</f>
        <v>5.5</v>
      </c>
      <c r="E34" s="7">
        <f t="shared" si="0"/>
        <v>134.84999999999988</v>
      </c>
      <c r="F34" s="7">
        <f t="shared" si="1"/>
        <v>153.85000000000005</v>
      </c>
      <c r="G34" s="4">
        <f t="shared" si="2"/>
        <v>0.47640264026402629</v>
      </c>
      <c r="J34" s="8">
        <v>67</v>
      </c>
      <c r="K34" s="4">
        <v>0.47640264026402629</v>
      </c>
    </row>
    <row r="35" spans="1:11" x14ac:dyDescent="0.3">
      <c r="A35" s="8">
        <v>69</v>
      </c>
      <c r="B35" s="7">
        <f>SUM('Total Purchase Likelihood'!D$2:'Total Purchase Likelihood'!D35)</f>
        <v>5</v>
      </c>
      <c r="C35" s="7">
        <f>SUM('Total Purchase Likelihood'!C$2:C35)</f>
        <v>5.75</v>
      </c>
      <c r="E35" s="7">
        <f t="shared" si="0"/>
        <v>134.59999999999988</v>
      </c>
      <c r="F35" s="7">
        <f t="shared" si="1"/>
        <v>153.75000000000006</v>
      </c>
      <c r="G35" s="4">
        <f t="shared" si="2"/>
        <v>0.47582508250825067</v>
      </c>
      <c r="J35" s="8">
        <v>69</v>
      </c>
      <c r="K35" s="4">
        <v>0.47582508250825067</v>
      </c>
    </row>
    <row r="36" spans="1:11" x14ac:dyDescent="0.3">
      <c r="A36" s="8">
        <v>70</v>
      </c>
      <c r="B36" s="7">
        <f>SUM('Total Purchase Likelihood'!D$2:'Total Purchase Likelihood'!D36)</f>
        <v>6.55</v>
      </c>
      <c r="C36" s="7">
        <f>SUM('Total Purchase Likelihood'!C$2:C36)</f>
        <v>6.1</v>
      </c>
      <c r="E36" s="7">
        <f t="shared" si="0"/>
        <v>134.24999999999989</v>
      </c>
      <c r="F36" s="7">
        <f t="shared" si="1"/>
        <v>152.20000000000005</v>
      </c>
      <c r="G36" s="4">
        <f t="shared" si="2"/>
        <v>0.47268976897689757</v>
      </c>
      <c r="J36" s="8">
        <v>70</v>
      </c>
      <c r="K36" s="4">
        <v>0.47268976897689757</v>
      </c>
    </row>
    <row r="37" spans="1:11" x14ac:dyDescent="0.3">
      <c r="A37" s="8">
        <v>71</v>
      </c>
      <c r="B37" s="7">
        <f>SUM('Total Purchase Likelihood'!D$2:'Total Purchase Likelihood'!D37)</f>
        <v>6.55</v>
      </c>
      <c r="C37" s="7">
        <f>SUM('Total Purchase Likelihood'!C$2:C37)</f>
        <v>6.1</v>
      </c>
      <c r="E37" s="7">
        <f t="shared" si="0"/>
        <v>134.24999999999989</v>
      </c>
      <c r="F37" s="7">
        <f t="shared" si="1"/>
        <v>152.20000000000005</v>
      </c>
      <c r="G37" s="4">
        <f t="shared" si="2"/>
        <v>0.47268976897689757</v>
      </c>
      <c r="J37" s="8">
        <v>71</v>
      </c>
      <c r="K37" s="4">
        <v>0.47268976897689757</v>
      </c>
    </row>
    <row r="38" spans="1:11" x14ac:dyDescent="0.3">
      <c r="A38" s="8">
        <v>72</v>
      </c>
      <c r="B38" s="7">
        <f>SUM('Total Purchase Likelihood'!D$2:'Total Purchase Likelihood'!D38)</f>
        <v>6.55</v>
      </c>
      <c r="C38" s="7">
        <f>SUM('Total Purchase Likelihood'!C$2:C38)</f>
        <v>6.1</v>
      </c>
      <c r="E38" s="7">
        <f t="shared" si="0"/>
        <v>134.24999999999989</v>
      </c>
      <c r="F38" s="7">
        <f t="shared" si="1"/>
        <v>152.20000000000005</v>
      </c>
      <c r="G38" s="4">
        <f t="shared" si="2"/>
        <v>0.47268976897689757</v>
      </c>
      <c r="J38" s="8">
        <v>72</v>
      </c>
      <c r="K38" s="4">
        <v>0.47268976897689757</v>
      </c>
    </row>
    <row r="39" spans="1:11" x14ac:dyDescent="0.3">
      <c r="A39" s="8">
        <v>73</v>
      </c>
      <c r="B39" s="7">
        <f>SUM('Total Purchase Likelihood'!D$2:'Total Purchase Likelihood'!D39)</f>
        <v>6.55</v>
      </c>
      <c r="C39" s="7">
        <f>SUM('Total Purchase Likelihood'!C$2:C39)</f>
        <v>6.85</v>
      </c>
      <c r="E39" s="7">
        <f t="shared" si="0"/>
        <v>133.49999999999989</v>
      </c>
      <c r="F39" s="7">
        <f t="shared" si="1"/>
        <v>152.20000000000005</v>
      </c>
      <c r="G39" s="4">
        <f t="shared" si="2"/>
        <v>0.47145214521452133</v>
      </c>
      <c r="J39" s="8">
        <v>73</v>
      </c>
      <c r="K39" s="4">
        <v>0.47145214521452133</v>
      </c>
    </row>
    <row r="40" spans="1:11" x14ac:dyDescent="0.3">
      <c r="A40" s="8">
        <v>74</v>
      </c>
      <c r="B40" s="7">
        <f>SUM('Total Purchase Likelihood'!D$2:'Total Purchase Likelihood'!D40)</f>
        <v>6.55</v>
      </c>
      <c r="C40" s="7">
        <f>SUM('Total Purchase Likelihood'!C$2:C40)</f>
        <v>6.85</v>
      </c>
      <c r="E40" s="7">
        <f t="shared" si="0"/>
        <v>133.49999999999989</v>
      </c>
      <c r="F40" s="7">
        <f t="shared" si="1"/>
        <v>152.20000000000005</v>
      </c>
      <c r="G40" s="4">
        <f t="shared" si="2"/>
        <v>0.47145214521452133</v>
      </c>
      <c r="J40" s="8">
        <v>74</v>
      </c>
      <c r="K40" s="4">
        <v>0.47145214521452133</v>
      </c>
    </row>
    <row r="41" spans="1:11" x14ac:dyDescent="0.3">
      <c r="A41" s="8">
        <v>75</v>
      </c>
      <c r="B41" s="7">
        <f>SUM('Total Purchase Likelihood'!D$2:'Total Purchase Likelihood'!D41)</f>
        <v>6.55</v>
      </c>
      <c r="C41" s="7">
        <f>SUM('Total Purchase Likelihood'!C$2:C41)</f>
        <v>6.85</v>
      </c>
      <c r="E41" s="7">
        <f t="shared" si="0"/>
        <v>133.49999999999989</v>
      </c>
      <c r="F41" s="7">
        <f t="shared" si="1"/>
        <v>152.20000000000005</v>
      </c>
      <c r="G41" s="4">
        <f t="shared" si="2"/>
        <v>0.47145214521452133</v>
      </c>
      <c r="J41" s="8">
        <v>75</v>
      </c>
      <c r="K41" s="4">
        <v>0.47145214521452133</v>
      </c>
    </row>
    <row r="42" spans="1:11" x14ac:dyDescent="0.3">
      <c r="A42" s="8">
        <v>77</v>
      </c>
      <c r="B42" s="7">
        <f>SUM('Total Purchase Likelihood'!D$2:'Total Purchase Likelihood'!D42)</f>
        <v>6.55</v>
      </c>
      <c r="C42" s="7">
        <f>SUM('Total Purchase Likelihood'!C$2:C42)</f>
        <v>6.85</v>
      </c>
      <c r="E42" s="7">
        <f t="shared" si="0"/>
        <v>133.49999999999989</v>
      </c>
      <c r="F42" s="7">
        <f t="shared" si="1"/>
        <v>152.20000000000005</v>
      </c>
      <c r="G42" s="4">
        <f t="shared" si="2"/>
        <v>0.47145214521452133</v>
      </c>
      <c r="J42" s="8">
        <v>77</v>
      </c>
      <c r="K42" s="4">
        <v>0.47145214521452133</v>
      </c>
    </row>
    <row r="43" spans="1:11" x14ac:dyDescent="0.3">
      <c r="A43" s="8">
        <v>78</v>
      </c>
      <c r="B43" s="7">
        <f>SUM('Total Purchase Likelihood'!D$2:'Total Purchase Likelihood'!D43)</f>
        <v>6.55</v>
      </c>
      <c r="C43" s="7">
        <f>SUM('Total Purchase Likelihood'!C$2:C43)</f>
        <v>6.85</v>
      </c>
      <c r="E43" s="7">
        <f t="shared" si="0"/>
        <v>133.49999999999989</v>
      </c>
      <c r="F43" s="7">
        <f t="shared" si="1"/>
        <v>152.20000000000005</v>
      </c>
      <c r="G43" s="4">
        <f t="shared" si="2"/>
        <v>0.47145214521452133</v>
      </c>
      <c r="J43" s="8">
        <v>78</v>
      </c>
      <c r="K43" s="4">
        <v>0.47145214521452133</v>
      </c>
    </row>
    <row r="44" spans="1:11" x14ac:dyDescent="0.3">
      <c r="A44" s="8">
        <v>79</v>
      </c>
      <c r="B44" s="7">
        <f>SUM('Total Purchase Likelihood'!D$2:'Total Purchase Likelihood'!D44)</f>
        <v>7.2</v>
      </c>
      <c r="C44" s="7">
        <f>SUM('Total Purchase Likelihood'!C$2:C44)</f>
        <v>7.6999999999999993</v>
      </c>
      <c r="E44" s="7">
        <f t="shared" si="0"/>
        <v>132.64999999999989</v>
      </c>
      <c r="F44" s="7">
        <f t="shared" si="1"/>
        <v>151.55000000000007</v>
      </c>
      <c r="G44" s="4">
        <f t="shared" si="2"/>
        <v>0.46897689768976886</v>
      </c>
      <c r="J44" s="8">
        <v>79</v>
      </c>
      <c r="K44" s="4">
        <v>0.46897689768976886</v>
      </c>
    </row>
    <row r="45" spans="1:11" x14ac:dyDescent="0.3">
      <c r="A45" s="8">
        <v>80</v>
      </c>
      <c r="B45" s="7">
        <f>SUM('Total Purchase Likelihood'!D$2:'Total Purchase Likelihood'!D45)</f>
        <v>9</v>
      </c>
      <c r="C45" s="7">
        <f>SUM('Total Purchase Likelihood'!C$2:C45)</f>
        <v>8.5499999999999989</v>
      </c>
      <c r="E45" s="7">
        <f t="shared" si="0"/>
        <v>131.79999999999987</v>
      </c>
      <c r="F45" s="7">
        <f t="shared" si="1"/>
        <v>149.75000000000006</v>
      </c>
      <c r="G45" s="4">
        <f t="shared" si="2"/>
        <v>0.46460396039603952</v>
      </c>
      <c r="J45" s="8">
        <v>80</v>
      </c>
      <c r="K45" s="4">
        <v>0.46460396039603952</v>
      </c>
    </row>
    <row r="46" spans="1:11" x14ac:dyDescent="0.3">
      <c r="A46" s="8">
        <v>86</v>
      </c>
      <c r="B46" s="7">
        <f>SUM('Total Purchase Likelihood'!D$2:'Total Purchase Likelihood'!D46)</f>
        <v>9</v>
      </c>
      <c r="C46" s="7">
        <f>SUM('Total Purchase Likelihood'!C$2:C46)</f>
        <v>8.5499999999999989</v>
      </c>
      <c r="E46" s="7">
        <f t="shared" si="0"/>
        <v>131.79999999999987</v>
      </c>
      <c r="F46" s="7">
        <f t="shared" si="1"/>
        <v>149.75000000000006</v>
      </c>
      <c r="G46" s="4">
        <f t="shared" si="2"/>
        <v>0.46460396039603952</v>
      </c>
      <c r="J46" s="8">
        <v>86</v>
      </c>
      <c r="K46" s="4">
        <v>0.46460396039603952</v>
      </c>
    </row>
    <row r="47" spans="1:11" x14ac:dyDescent="0.3">
      <c r="A47" s="8">
        <v>87</v>
      </c>
      <c r="B47" s="7">
        <f>SUM('Total Purchase Likelihood'!D$2:'Total Purchase Likelihood'!D47)</f>
        <v>9</v>
      </c>
      <c r="C47" s="7">
        <f>SUM('Total Purchase Likelihood'!C$2:C47)</f>
        <v>8.5499999999999989</v>
      </c>
      <c r="E47" s="7">
        <f t="shared" si="0"/>
        <v>131.79999999999987</v>
      </c>
      <c r="F47" s="7">
        <f t="shared" si="1"/>
        <v>149.75000000000006</v>
      </c>
      <c r="G47" s="4">
        <f t="shared" si="2"/>
        <v>0.46460396039603952</v>
      </c>
      <c r="J47" s="8">
        <v>87</v>
      </c>
      <c r="K47" s="4">
        <v>0.46460396039603952</v>
      </c>
    </row>
    <row r="48" spans="1:11" x14ac:dyDescent="0.3">
      <c r="A48" s="8">
        <v>89</v>
      </c>
      <c r="B48" s="7">
        <f>SUM('Total Purchase Likelihood'!D$2:'Total Purchase Likelihood'!D48)</f>
        <v>9</v>
      </c>
      <c r="C48" s="7">
        <f>SUM('Total Purchase Likelihood'!C$2:C48)</f>
        <v>8.5499999999999989</v>
      </c>
      <c r="E48" s="7">
        <f t="shared" si="0"/>
        <v>131.79999999999987</v>
      </c>
      <c r="F48" s="7">
        <f t="shared" si="1"/>
        <v>149.75000000000006</v>
      </c>
      <c r="G48" s="4">
        <f t="shared" si="2"/>
        <v>0.46460396039603952</v>
      </c>
      <c r="J48" s="8">
        <v>89</v>
      </c>
      <c r="K48" s="4">
        <v>0.46460396039603952</v>
      </c>
    </row>
    <row r="49" spans="1:11" x14ac:dyDescent="0.3">
      <c r="A49" s="8">
        <v>90</v>
      </c>
      <c r="B49" s="7">
        <f>SUM('Total Purchase Likelihood'!D$2:'Total Purchase Likelihood'!D49)</f>
        <v>10.1</v>
      </c>
      <c r="C49" s="7">
        <f>SUM('Total Purchase Likelihood'!C$2:C49)</f>
        <v>10.35</v>
      </c>
      <c r="E49" s="7">
        <f t="shared" si="0"/>
        <v>129.99999999999989</v>
      </c>
      <c r="F49" s="7">
        <f t="shared" si="1"/>
        <v>148.65000000000006</v>
      </c>
      <c r="G49" s="4">
        <f t="shared" si="2"/>
        <v>0.4598184818481848</v>
      </c>
      <c r="J49" s="8">
        <v>90</v>
      </c>
      <c r="K49" s="4">
        <v>0.4598184818481848</v>
      </c>
    </row>
    <row r="50" spans="1:11" x14ac:dyDescent="0.3">
      <c r="A50" s="8">
        <v>95</v>
      </c>
      <c r="B50" s="7">
        <f>SUM('Total Purchase Likelihood'!D$2:'Total Purchase Likelihood'!D50)</f>
        <v>10.1</v>
      </c>
      <c r="C50" s="7">
        <f>SUM('Total Purchase Likelihood'!C$2:C50)</f>
        <v>10.45</v>
      </c>
      <c r="E50" s="7">
        <f t="shared" si="0"/>
        <v>129.89999999999989</v>
      </c>
      <c r="F50" s="7">
        <f t="shared" si="1"/>
        <v>148.65000000000006</v>
      </c>
      <c r="G50" s="4">
        <f t="shared" si="2"/>
        <v>0.45965346534653456</v>
      </c>
      <c r="J50" s="8">
        <v>95</v>
      </c>
      <c r="K50" s="4">
        <v>0.45965346534653456</v>
      </c>
    </row>
    <row r="51" spans="1:11" x14ac:dyDescent="0.3">
      <c r="A51" s="8">
        <v>97</v>
      </c>
      <c r="B51" s="7">
        <f>SUM('Total Purchase Likelihood'!D$2:'Total Purchase Likelihood'!D51)</f>
        <v>10.1</v>
      </c>
      <c r="C51" s="7">
        <f>SUM('Total Purchase Likelihood'!C$2:C51)</f>
        <v>10.45</v>
      </c>
      <c r="E51" s="7">
        <f t="shared" si="0"/>
        <v>129.89999999999989</v>
      </c>
      <c r="F51" s="7">
        <f t="shared" si="1"/>
        <v>148.65000000000006</v>
      </c>
      <c r="G51" s="4">
        <f t="shared" si="2"/>
        <v>0.45965346534653456</v>
      </c>
      <c r="J51" s="8">
        <v>97</v>
      </c>
      <c r="K51" s="4">
        <v>0.45965346534653456</v>
      </c>
    </row>
    <row r="52" spans="1:11" x14ac:dyDescent="0.3">
      <c r="A52" s="8">
        <v>98</v>
      </c>
      <c r="B52" s="7">
        <f>SUM('Total Purchase Likelihood'!D$2:'Total Purchase Likelihood'!D52)</f>
        <v>10.1</v>
      </c>
      <c r="C52" s="7">
        <f>SUM('Total Purchase Likelihood'!C$2:C52)</f>
        <v>11.95</v>
      </c>
      <c r="E52" s="7">
        <f t="shared" si="0"/>
        <v>128.39999999999989</v>
      </c>
      <c r="F52" s="7">
        <f t="shared" si="1"/>
        <v>148.65000000000006</v>
      </c>
      <c r="G52" s="4">
        <f t="shared" si="2"/>
        <v>0.45717821782178208</v>
      </c>
      <c r="J52" s="8">
        <v>98</v>
      </c>
      <c r="K52" s="4">
        <v>0.45717821782178208</v>
      </c>
    </row>
    <row r="53" spans="1:11" x14ac:dyDescent="0.3">
      <c r="A53" s="8">
        <v>99</v>
      </c>
      <c r="B53" s="7">
        <f>SUM('Total Purchase Likelihood'!D$2:'Total Purchase Likelihood'!D53)</f>
        <v>12.25</v>
      </c>
      <c r="C53" s="7">
        <f>SUM('Total Purchase Likelihood'!C$2:C53)</f>
        <v>11.95</v>
      </c>
      <c r="E53" s="7">
        <f t="shared" si="0"/>
        <v>128.39999999999989</v>
      </c>
      <c r="F53" s="7">
        <f t="shared" si="1"/>
        <v>146.50000000000006</v>
      </c>
      <c r="G53" s="4">
        <f t="shared" si="2"/>
        <v>0.45363036303630361</v>
      </c>
      <c r="J53" s="8">
        <v>99</v>
      </c>
      <c r="K53" s="4">
        <v>0.45363036303630361</v>
      </c>
    </row>
    <row r="54" spans="1:11" x14ac:dyDescent="0.3">
      <c r="A54" s="8">
        <v>100</v>
      </c>
      <c r="B54" s="7">
        <f>SUM('Total Purchase Likelihood'!D$2:'Total Purchase Likelihood'!D54)</f>
        <v>26.5</v>
      </c>
      <c r="C54" s="7">
        <f>SUM('Total Purchase Likelihood'!C$2:C54)</f>
        <v>14.7</v>
      </c>
      <c r="E54" s="7">
        <f t="shared" si="0"/>
        <v>125.64999999999988</v>
      </c>
      <c r="F54" s="7">
        <f t="shared" si="1"/>
        <v>132.25000000000006</v>
      </c>
      <c r="G54" s="4">
        <f t="shared" si="2"/>
        <v>0.42557755775577544</v>
      </c>
      <c r="J54" s="8">
        <v>100</v>
      </c>
      <c r="K54" s="4">
        <v>0.42557755775577544</v>
      </c>
    </row>
    <row r="55" spans="1:11" x14ac:dyDescent="0.3">
      <c r="A55" s="8">
        <v>101</v>
      </c>
      <c r="B55" s="7">
        <f>SUM('Total Purchase Likelihood'!D$2:'Total Purchase Likelihood'!D55)</f>
        <v>26.5</v>
      </c>
      <c r="C55" s="7">
        <f>SUM('Total Purchase Likelihood'!C$2:C55)</f>
        <v>14.7</v>
      </c>
      <c r="E55" s="7">
        <f t="shared" si="0"/>
        <v>125.64999999999988</v>
      </c>
      <c r="F55" s="7">
        <f t="shared" si="1"/>
        <v>132.25000000000006</v>
      </c>
      <c r="G55" s="4">
        <f t="shared" si="2"/>
        <v>0.42557755775577544</v>
      </c>
      <c r="J55" s="8">
        <v>101</v>
      </c>
      <c r="K55" s="4">
        <v>0.42557755775577544</v>
      </c>
    </row>
    <row r="56" spans="1:11" x14ac:dyDescent="0.3">
      <c r="A56" s="8">
        <v>102</v>
      </c>
      <c r="B56" s="7">
        <f>SUM('Total Purchase Likelihood'!D$2:'Total Purchase Likelihood'!D56)</f>
        <v>26.5</v>
      </c>
      <c r="C56" s="7">
        <f>SUM('Total Purchase Likelihood'!C$2:C56)</f>
        <v>14.7</v>
      </c>
      <c r="E56" s="7">
        <f t="shared" si="0"/>
        <v>125.64999999999988</v>
      </c>
      <c r="F56" s="7">
        <f t="shared" si="1"/>
        <v>132.25000000000006</v>
      </c>
      <c r="G56" s="4">
        <f t="shared" si="2"/>
        <v>0.42557755775577544</v>
      </c>
      <c r="J56" s="8">
        <v>102</v>
      </c>
      <c r="K56" s="4">
        <v>0.42557755775577544</v>
      </c>
    </row>
    <row r="57" spans="1:11" x14ac:dyDescent="0.3">
      <c r="A57" s="8">
        <v>105</v>
      </c>
      <c r="B57" s="7">
        <f>SUM('Total Purchase Likelihood'!D$2:'Total Purchase Likelihood'!D57)</f>
        <v>26.5</v>
      </c>
      <c r="C57" s="7">
        <f>SUM('Total Purchase Likelihood'!C$2:C57)</f>
        <v>14.95</v>
      </c>
      <c r="E57" s="7">
        <f t="shared" si="0"/>
        <v>125.39999999999988</v>
      </c>
      <c r="F57" s="7">
        <f t="shared" si="1"/>
        <v>132.25000000000006</v>
      </c>
      <c r="G57" s="4">
        <f t="shared" si="2"/>
        <v>0.42516501650165001</v>
      </c>
      <c r="J57" s="8">
        <v>105</v>
      </c>
      <c r="K57" s="4">
        <v>0.42516501650165001</v>
      </c>
    </row>
    <row r="58" spans="1:11" x14ac:dyDescent="0.3">
      <c r="A58" s="8">
        <v>106</v>
      </c>
      <c r="B58" s="7">
        <f>SUM('Total Purchase Likelihood'!D$2:'Total Purchase Likelihood'!D58)</f>
        <v>26.5</v>
      </c>
      <c r="C58" s="7">
        <f>SUM('Total Purchase Likelihood'!C$2:C58)</f>
        <v>14.95</v>
      </c>
      <c r="E58" s="7">
        <f t="shared" si="0"/>
        <v>125.39999999999988</v>
      </c>
      <c r="F58" s="7">
        <f t="shared" si="1"/>
        <v>132.25000000000006</v>
      </c>
      <c r="G58" s="4">
        <f t="shared" si="2"/>
        <v>0.42516501650165001</v>
      </c>
      <c r="J58" s="8">
        <v>106</v>
      </c>
      <c r="K58" s="4">
        <v>0.42516501650165001</v>
      </c>
    </row>
    <row r="59" spans="1:11" x14ac:dyDescent="0.3">
      <c r="A59" s="8">
        <v>110</v>
      </c>
      <c r="B59" s="7">
        <f>SUM('Total Purchase Likelihood'!D$2:'Total Purchase Likelihood'!D59)</f>
        <v>27.25</v>
      </c>
      <c r="C59" s="7">
        <f>SUM('Total Purchase Likelihood'!C$2:C59)</f>
        <v>15.549999999999999</v>
      </c>
      <c r="E59" s="7">
        <f t="shared" si="0"/>
        <v>124.79999999999988</v>
      </c>
      <c r="F59" s="7">
        <f t="shared" si="1"/>
        <v>131.50000000000006</v>
      </c>
      <c r="G59" s="4">
        <f t="shared" si="2"/>
        <v>0.42293729372937289</v>
      </c>
      <c r="J59" s="8">
        <v>110</v>
      </c>
      <c r="K59" s="4">
        <v>0.42293729372937289</v>
      </c>
    </row>
    <row r="60" spans="1:11" x14ac:dyDescent="0.3">
      <c r="A60" s="8">
        <v>115</v>
      </c>
      <c r="B60" s="7">
        <f>SUM('Total Purchase Likelihood'!D$2:'Total Purchase Likelihood'!D60)</f>
        <v>27.75</v>
      </c>
      <c r="C60" s="7">
        <f>SUM('Total Purchase Likelihood'!C$2:C60)</f>
        <v>15.549999999999999</v>
      </c>
      <c r="E60" s="7">
        <f t="shared" si="0"/>
        <v>124.79999999999988</v>
      </c>
      <c r="F60" s="7">
        <f t="shared" si="1"/>
        <v>131.00000000000006</v>
      </c>
      <c r="G60" s="4">
        <f t="shared" si="2"/>
        <v>0.42211221122112202</v>
      </c>
      <c r="J60" s="8">
        <v>115</v>
      </c>
      <c r="K60" s="4">
        <v>0.42211221122112202</v>
      </c>
    </row>
    <row r="61" spans="1:11" x14ac:dyDescent="0.3">
      <c r="A61" s="8">
        <v>119</v>
      </c>
      <c r="B61" s="7">
        <f>SUM('Total Purchase Likelihood'!D$2:'Total Purchase Likelihood'!D61)</f>
        <v>27.75</v>
      </c>
      <c r="C61" s="7">
        <f>SUM('Total Purchase Likelihood'!C$2:C61)</f>
        <v>15.549999999999999</v>
      </c>
      <c r="E61" s="7">
        <f t="shared" si="0"/>
        <v>124.79999999999988</v>
      </c>
      <c r="F61" s="7">
        <f t="shared" si="1"/>
        <v>131.00000000000006</v>
      </c>
      <c r="G61" s="4">
        <f t="shared" si="2"/>
        <v>0.42211221122112202</v>
      </c>
      <c r="J61" s="8">
        <v>119</v>
      </c>
      <c r="K61" s="4">
        <v>0.42211221122112202</v>
      </c>
    </row>
    <row r="62" spans="1:11" x14ac:dyDescent="0.3">
      <c r="A62" s="8">
        <v>120</v>
      </c>
      <c r="B62" s="7">
        <f>SUM('Total Purchase Likelihood'!D$2:'Total Purchase Likelihood'!D62)</f>
        <v>28.7</v>
      </c>
      <c r="C62" s="7">
        <f>SUM('Total Purchase Likelihood'!C$2:C62)</f>
        <v>21.9</v>
      </c>
      <c r="E62" s="7">
        <f t="shared" si="0"/>
        <v>118.44999999999987</v>
      </c>
      <c r="F62" s="7">
        <f t="shared" si="1"/>
        <v>130.05000000000007</v>
      </c>
      <c r="G62" s="4">
        <f t="shared" si="2"/>
        <v>0.41006600660065995</v>
      </c>
      <c r="J62" s="8">
        <v>120</v>
      </c>
      <c r="K62" s="4">
        <v>0.41006600660065995</v>
      </c>
    </row>
    <row r="63" spans="1:11" x14ac:dyDescent="0.3">
      <c r="A63" s="8">
        <v>125</v>
      </c>
      <c r="B63" s="7">
        <f>SUM('Total Purchase Likelihood'!D$2:'Total Purchase Likelihood'!D63)</f>
        <v>29.45</v>
      </c>
      <c r="C63" s="7">
        <f>SUM('Total Purchase Likelihood'!C$2:C63)</f>
        <v>22.65</v>
      </c>
      <c r="E63" s="7">
        <f t="shared" si="0"/>
        <v>117.69999999999987</v>
      </c>
      <c r="F63" s="7">
        <f t="shared" si="1"/>
        <v>129.30000000000007</v>
      </c>
      <c r="G63" s="4">
        <f t="shared" si="2"/>
        <v>0.40759075907590747</v>
      </c>
      <c r="J63" s="8">
        <v>125</v>
      </c>
      <c r="K63" s="4">
        <v>0.40759075907590747</v>
      </c>
    </row>
    <row r="64" spans="1:11" x14ac:dyDescent="0.3">
      <c r="A64" s="8">
        <v>126</v>
      </c>
      <c r="B64" s="7">
        <f>SUM('Total Purchase Likelihood'!D$2:'Total Purchase Likelihood'!D64)</f>
        <v>29.45</v>
      </c>
      <c r="C64" s="7">
        <f>SUM('Total Purchase Likelihood'!C$2:C64)</f>
        <v>22.65</v>
      </c>
      <c r="E64" s="7">
        <f t="shared" si="0"/>
        <v>117.69999999999987</v>
      </c>
      <c r="F64" s="7">
        <f t="shared" si="1"/>
        <v>129.30000000000007</v>
      </c>
      <c r="G64" s="4">
        <f t="shared" si="2"/>
        <v>0.40759075907590747</v>
      </c>
      <c r="J64" s="8">
        <v>126</v>
      </c>
      <c r="K64" s="4">
        <v>0.40759075907590747</v>
      </c>
    </row>
    <row r="65" spans="1:11" x14ac:dyDescent="0.3">
      <c r="A65" s="8">
        <v>127</v>
      </c>
      <c r="B65" s="7">
        <f>SUM('Total Purchase Likelihood'!D$2:'Total Purchase Likelihood'!D65)</f>
        <v>29.45</v>
      </c>
      <c r="C65" s="7">
        <f>SUM('Total Purchase Likelihood'!C$2:C65)</f>
        <v>23.4</v>
      </c>
      <c r="E65" s="7">
        <f t="shared" si="0"/>
        <v>116.94999999999987</v>
      </c>
      <c r="F65" s="7">
        <f t="shared" si="1"/>
        <v>129.30000000000007</v>
      </c>
      <c r="G65" s="4">
        <f t="shared" si="2"/>
        <v>0.40635313531353123</v>
      </c>
      <c r="J65" s="8">
        <v>127</v>
      </c>
      <c r="K65" s="4">
        <v>0.40635313531353123</v>
      </c>
    </row>
    <row r="66" spans="1:11" x14ac:dyDescent="0.3">
      <c r="A66" s="8">
        <v>128</v>
      </c>
      <c r="B66" s="7">
        <f>SUM('Total Purchase Likelihood'!D$2:'Total Purchase Likelihood'!D66)</f>
        <v>29.45</v>
      </c>
      <c r="C66" s="7">
        <f>SUM('Total Purchase Likelihood'!C$2:C66)</f>
        <v>23.4</v>
      </c>
      <c r="E66" s="7">
        <f t="shared" si="0"/>
        <v>116.94999999999987</v>
      </c>
      <c r="F66" s="7">
        <f t="shared" si="1"/>
        <v>129.30000000000007</v>
      </c>
      <c r="G66" s="4">
        <f t="shared" si="2"/>
        <v>0.40635313531353123</v>
      </c>
      <c r="J66" s="8">
        <v>128</v>
      </c>
      <c r="K66" s="4">
        <v>0.40635313531353123</v>
      </c>
    </row>
    <row r="67" spans="1:11" x14ac:dyDescent="0.3">
      <c r="A67" s="8">
        <v>129</v>
      </c>
      <c r="B67" s="7">
        <f>SUM('Total Purchase Likelihood'!D$2:'Total Purchase Likelihood'!D67)</f>
        <v>29.45</v>
      </c>
      <c r="C67" s="7">
        <f>SUM('Total Purchase Likelihood'!C$2:C67)</f>
        <v>23.5</v>
      </c>
      <c r="E67" s="7">
        <f t="shared" ref="E67:E130" si="3">MAX(C:C)-C67</f>
        <v>116.84999999999988</v>
      </c>
      <c r="F67" s="7">
        <f t="shared" ref="F67:F130" si="4">MAX(B:B)-B67</f>
        <v>129.30000000000007</v>
      </c>
      <c r="G67" s="4">
        <f t="shared" ref="G67:G130" si="5">SUM(E67:F67)/606</f>
        <v>0.4061881188118811</v>
      </c>
      <c r="J67" s="8">
        <v>129</v>
      </c>
      <c r="K67" s="4">
        <v>0.4061881188118811</v>
      </c>
    </row>
    <row r="68" spans="1:11" x14ac:dyDescent="0.3">
      <c r="A68" s="8">
        <v>130</v>
      </c>
      <c r="B68" s="7">
        <f>SUM('Total Purchase Likelihood'!D$2:'Total Purchase Likelihood'!D68)</f>
        <v>31.05</v>
      </c>
      <c r="C68" s="7">
        <f>SUM('Total Purchase Likelihood'!C$2:C68)</f>
        <v>24.9</v>
      </c>
      <c r="E68" s="7">
        <f t="shared" si="3"/>
        <v>115.44999999999987</v>
      </c>
      <c r="F68" s="7">
        <f t="shared" si="4"/>
        <v>127.70000000000006</v>
      </c>
      <c r="G68" s="4">
        <f t="shared" si="5"/>
        <v>0.40123762376237609</v>
      </c>
      <c r="J68" s="8">
        <v>130</v>
      </c>
      <c r="K68" s="4">
        <v>0.40123762376237609</v>
      </c>
    </row>
    <row r="69" spans="1:11" x14ac:dyDescent="0.3">
      <c r="A69" s="8">
        <v>133</v>
      </c>
      <c r="B69" s="7">
        <f>SUM('Total Purchase Likelihood'!D$2:'Total Purchase Likelihood'!D69)</f>
        <v>31.05</v>
      </c>
      <c r="C69" s="7">
        <f>SUM('Total Purchase Likelihood'!C$2:C69)</f>
        <v>24.9</v>
      </c>
      <c r="E69" s="7">
        <f t="shared" si="3"/>
        <v>115.44999999999987</v>
      </c>
      <c r="F69" s="7">
        <f t="shared" si="4"/>
        <v>127.70000000000006</v>
      </c>
      <c r="G69" s="4">
        <f t="shared" si="5"/>
        <v>0.40123762376237609</v>
      </c>
      <c r="J69" s="8">
        <v>133</v>
      </c>
      <c r="K69" s="4">
        <v>0.40123762376237609</v>
      </c>
    </row>
    <row r="70" spans="1:11" x14ac:dyDescent="0.3">
      <c r="A70" s="8">
        <v>135</v>
      </c>
      <c r="B70" s="7">
        <f>SUM('Total Purchase Likelihood'!D$2:'Total Purchase Likelihood'!D70)</f>
        <v>31.05</v>
      </c>
      <c r="C70" s="7">
        <f>SUM('Total Purchase Likelihood'!C$2:C70)</f>
        <v>24.9</v>
      </c>
      <c r="E70" s="7">
        <f t="shared" si="3"/>
        <v>115.44999999999987</v>
      </c>
      <c r="F70" s="7">
        <f t="shared" si="4"/>
        <v>127.70000000000006</v>
      </c>
      <c r="G70" s="4">
        <f t="shared" si="5"/>
        <v>0.40123762376237609</v>
      </c>
      <c r="J70" s="8">
        <v>135</v>
      </c>
      <c r="K70" s="4">
        <v>0.40123762376237609</v>
      </c>
    </row>
    <row r="71" spans="1:11" x14ac:dyDescent="0.3">
      <c r="A71" s="8">
        <v>138</v>
      </c>
      <c r="B71" s="7">
        <f>SUM('Total Purchase Likelihood'!D$2:'Total Purchase Likelihood'!D71)</f>
        <v>31.05</v>
      </c>
      <c r="C71" s="7">
        <f>SUM('Total Purchase Likelihood'!C$2:C71)</f>
        <v>25</v>
      </c>
      <c r="E71" s="7">
        <f t="shared" si="3"/>
        <v>115.34999999999988</v>
      </c>
      <c r="F71" s="7">
        <f t="shared" si="4"/>
        <v>127.70000000000006</v>
      </c>
      <c r="G71" s="4">
        <f t="shared" si="5"/>
        <v>0.40107260726072602</v>
      </c>
      <c r="J71" s="8">
        <v>138</v>
      </c>
      <c r="K71" s="4">
        <v>0.40107260726072602</v>
      </c>
    </row>
    <row r="72" spans="1:11" x14ac:dyDescent="0.3">
      <c r="A72" s="8">
        <v>139</v>
      </c>
      <c r="B72" s="7">
        <f>SUM('Total Purchase Likelihood'!D$2:'Total Purchase Likelihood'!D72)</f>
        <v>31.05</v>
      </c>
      <c r="C72" s="7">
        <f>SUM('Total Purchase Likelihood'!C$2:C72)</f>
        <v>25</v>
      </c>
      <c r="E72" s="7">
        <f t="shared" si="3"/>
        <v>115.34999999999988</v>
      </c>
      <c r="F72" s="7">
        <f t="shared" si="4"/>
        <v>127.70000000000006</v>
      </c>
      <c r="G72" s="4">
        <f t="shared" si="5"/>
        <v>0.40107260726072602</v>
      </c>
      <c r="J72" s="8">
        <v>139</v>
      </c>
      <c r="K72" s="4">
        <v>0.40107260726072602</v>
      </c>
    </row>
    <row r="73" spans="1:11" x14ac:dyDescent="0.3">
      <c r="A73" s="8">
        <v>140</v>
      </c>
      <c r="B73" s="7">
        <f>SUM('Total Purchase Likelihood'!D$2:'Total Purchase Likelihood'!D73)</f>
        <v>32.5</v>
      </c>
      <c r="C73" s="7">
        <f>SUM('Total Purchase Likelihood'!C$2:C73)</f>
        <v>26.5</v>
      </c>
      <c r="E73" s="7">
        <f t="shared" si="3"/>
        <v>113.84999999999988</v>
      </c>
      <c r="F73" s="7">
        <f t="shared" si="4"/>
        <v>126.25000000000006</v>
      </c>
      <c r="G73" s="4">
        <f t="shared" si="5"/>
        <v>0.39620462046204608</v>
      </c>
      <c r="J73" s="8">
        <v>140</v>
      </c>
      <c r="K73" s="4">
        <v>0.39620462046204608</v>
      </c>
    </row>
    <row r="74" spans="1:11" x14ac:dyDescent="0.3">
      <c r="A74" s="8">
        <v>142</v>
      </c>
      <c r="B74" s="7">
        <f>SUM('Total Purchase Likelihood'!D$2:'Total Purchase Likelihood'!D74)</f>
        <v>32.5</v>
      </c>
      <c r="C74" s="7">
        <f>SUM('Total Purchase Likelihood'!C$2:C74)</f>
        <v>26.5</v>
      </c>
      <c r="E74" s="7">
        <f t="shared" si="3"/>
        <v>113.84999999999988</v>
      </c>
      <c r="F74" s="7">
        <f t="shared" si="4"/>
        <v>126.25000000000006</v>
      </c>
      <c r="G74" s="4">
        <f t="shared" si="5"/>
        <v>0.39620462046204608</v>
      </c>
      <c r="J74" s="8">
        <v>142</v>
      </c>
      <c r="K74" s="4">
        <v>0.39620462046204608</v>
      </c>
    </row>
    <row r="75" spans="1:11" x14ac:dyDescent="0.3">
      <c r="A75" s="8">
        <v>145</v>
      </c>
      <c r="B75" s="7">
        <f>SUM('Total Purchase Likelihood'!D$2:'Total Purchase Likelihood'!D75)</f>
        <v>32.5</v>
      </c>
      <c r="C75" s="7">
        <f>SUM('Total Purchase Likelihood'!C$2:C75)</f>
        <v>26.5</v>
      </c>
      <c r="E75" s="7">
        <f t="shared" si="3"/>
        <v>113.84999999999988</v>
      </c>
      <c r="F75" s="7">
        <f t="shared" si="4"/>
        <v>126.25000000000006</v>
      </c>
      <c r="G75" s="4">
        <f t="shared" si="5"/>
        <v>0.39620462046204608</v>
      </c>
      <c r="J75" s="8">
        <v>145</v>
      </c>
      <c r="K75" s="4">
        <v>0.39620462046204608</v>
      </c>
    </row>
    <row r="76" spans="1:11" x14ac:dyDescent="0.3">
      <c r="A76" s="8">
        <v>146</v>
      </c>
      <c r="B76" s="7">
        <f>SUM('Total Purchase Likelihood'!D$2:'Total Purchase Likelihood'!D76)</f>
        <v>32.5</v>
      </c>
      <c r="C76" s="7">
        <f>SUM('Total Purchase Likelihood'!C$2:C76)</f>
        <v>27.25</v>
      </c>
      <c r="E76" s="7">
        <f t="shared" si="3"/>
        <v>113.09999999999988</v>
      </c>
      <c r="F76" s="7">
        <f t="shared" si="4"/>
        <v>126.25000000000006</v>
      </c>
      <c r="G76" s="4">
        <f t="shared" si="5"/>
        <v>0.39496699669966984</v>
      </c>
      <c r="J76" s="8">
        <v>146</v>
      </c>
      <c r="K76" s="4">
        <v>0.39496699669966984</v>
      </c>
    </row>
    <row r="77" spans="1:11" x14ac:dyDescent="0.3">
      <c r="A77" s="8">
        <v>148</v>
      </c>
      <c r="B77" s="7">
        <f>SUM('Total Purchase Likelihood'!D$2:'Total Purchase Likelihood'!D77)</f>
        <v>32.5</v>
      </c>
      <c r="C77" s="7">
        <f>SUM('Total Purchase Likelihood'!C$2:C77)</f>
        <v>27.35</v>
      </c>
      <c r="E77" s="7">
        <f t="shared" si="3"/>
        <v>112.99999999999989</v>
      </c>
      <c r="F77" s="7">
        <f t="shared" si="4"/>
        <v>126.25000000000006</v>
      </c>
      <c r="G77" s="4">
        <f t="shared" si="5"/>
        <v>0.39480198019801971</v>
      </c>
      <c r="J77" s="8">
        <v>148</v>
      </c>
      <c r="K77" s="4">
        <v>0.39480198019801971</v>
      </c>
    </row>
    <row r="78" spans="1:11" x14ac:dyDescent="0.3">
      <c r="A78" s="8">
        <v>149</v>
      </c>
      <c r="B78" s="7">
        <f>SUM('Total Purchase Likelihood'!D$2:'Total Purchase Likelihood'!D78)</f>
        <v>32.5</v>
      </c>
      <c r="C78" s="7">
        <f>SUM('Total Purchase Likelihood'!C$2:C78)</f>
        <v>27.55</v>
      </c>
      <c r="E78" s="7">
        <f t="shared" si="3"/>
        <v>112.79999999999988</v>
      </c>
      <c r="F78" s="7">
        <f t="shared" si="4"/>
        <v>126.25000000000006</v>
      </c>
      <c r="G78" s="4">
        <f t="shared" si="5"/>
        <v>0.3944719471947194</v>
      </c>
      <c r="J78" s="8">
        <v>149</v>
      </c>
      <c r="K78" s="4">
        <v>0.3944719471947194</v>
      </c>
    </row>
    <row r="79" spans="1:11" x14ac:dyDescent="0.3">
      <c r="A79" s="8">
        <v>150</v>
      </c>
      <c r="B79" s="7">
        <f>SUM('Total Purchase Likelihood'!D$2:'Total Purchase Likelihood'!D79)</f>
        <v>54.599999999999994</v>
      </c>
      <c r="C79" s="7">
        <f>SUM('Total Purchase Likelihood'!C$2:C79)</f>
        <v>34.700000000000003</v>
      </c>
      <c r="E79" s="7">
        <f t="shared" si="3"/>
        <v>105.64999999999988</v>
      </c>
      <c r="F79" s="7">
        <f t="shared" si="4"/>
        <v>104.15000000000006</v>
      </c>
      <c r="G79" s="4">
        <f t="shared" si="5"/>
        <v>0.34620462046204614</v>
      </c>
      <c r="J79" s="8">
        <v>150</v>
      </c>
      <c r="K79" s="4">
        <v>0.34620462046204614</v>
      </c>
    </row>
    <row r="80" spans="1:11" x14ac:dyDescent="0.3">
      <c r="A80" s="8">
        <v>154</v>
      </c>
      <c r="B80" s="7">
        <f>SUM('Total Purchase Likelihood'!D$2:'Total Purchase Likelihood'!D80)</f>
        <v>54.749999999999993</v>
      </c>
      <c r="C80" s="7">
        <f>SUM('Total Purchase Likelihood'!C$2:C80)</f>
        <v>34.700000000000003</v>
      </c>
      <c r="E80" s="7">
        <f t="shared" si="3"/>
        <v>105.64999999999988</v>
      </c>
      <c r="F80" s="7">
        <f t="shared" si="4"/>
        <v>104.00000000000006</v>
      </c>
      <c r="G80" s="4">
        <f t="shared" si="5"/>
        <v>0.34595709570957084</v>
      </c>
      <c r="J80" s="8">
        <v>154</v>
      </c>
      <c r="K80" s="4">
        <v>0.34595709570957084</v>
      </c>
    </row>
    <row r="81" spans="1:11" x14ac:dyDescent="0.3">
      <c r="A81" s="8">
        <v>155</v>
      </c>
      <c r="B81" s="7">
        <f>SUM('Total Purchase Likelihood'!D$2:'Total Purchase Likelihood'!D81)</f>
        <v>54.749999999999993</v>
      </c>
      <c r="C81" s="7">
        <f>SUM('Total Purchase Likelihood'!C$2:C81)</f>
        <v>35</v>
      </c>
      <c r="E81" s="7">
        <f t="shared" si="3"/>
        <v>105.34999999999988</v>
      </c>
      <c r="F81" s="7">
        <f t="shared" si="4"/>
        <v>104.00000000000006</v>
      </c>
      <c r="G81" s="4">
        <f t="shared" si="5"/>
        <v>0.34546204620462034</v>
      </c>
      <c r="J81" s="8">
        <v>155</v>
      </c>
      <c r="K81" s="4">
        <v>0.34546204620462034</v>
      </c>
    </row>
    <row r="82" spans="1:11" x14ac:dyDescent="0.3">
      <c r="A82" s="8">
        <v>159</v>
      </c>
      <c r="B82" s="7">
        <f>SUM('Total Purchase Likelihood'!D$2:'Total Purchase Likelihood'!D82)</f>
        <v>54.749999999999993</v>
      </c>
      <c r="C82" s="7">
        <f>SUM('Total Purchase Likelihood'!C$2:C82)</f>
        <v>35.25</v>
      </c>
      <c r="E82" s="7">
        <f t="shared" si="3"/>
        <v>105.09999999999988</v>
      </c>
      <c r="F82" s="7">
        <f t="shared" si="4"/>
        <v>104.00000000000006</v>
      </c>
      <c r="G82" s="4">
        <f t="shared" si="5"/>
        <v>0.34504950495049497</v>
      </c>
      <c r="J82" s="8">
        <v>159</v>
      </c>
      <c r="K82" s="4">
        <v>0.34504950495049497</v>
      </c>
    </row>
    <row r="83" spans="1:11" x14ac:dyDescent="0.3">
      <c r="A83" s="8">
        <v>160</v>
      </c>
      <c r="B83" s="7">
        <f>SUM('Total Purchase Likelihood'!D$2:'Total Purchase Likelihood'!D83)</f>
        <v>56.949999999999996</v>
      </c>
      <c r="C83" s="7">
        <f>SUM('Total Purchase Likelihood'!C$2:C83)</f>
        <v>37.15</v>
      </c>
      <c r="E83" s="7">
        <f t="shared" si="3"/>
        <v>103.19999999999987</v>
      </c>
      <c r="F83" s="7">
        <f t="shared" si="4"/>
        <v>101.80000000000007</v>
      </c>
      <c r="G83" s="4">
        <f t="shared" si="5"/>
        <v>0.33828382838283821</v>
      </c>
      <c r="J83" s="8">
        <v>160</v>
      </c>
      <c r="K83" s="4">
        <v>0.33828382838283821</v>
      </c>
    </row>
    <row r="84" spans="1:11" x14ac:dyDescent="0.3">
      <c r="A84" s="8">
        <v>165</v>
      </c>
      <c r="B84" s="7">
        <f>SUM('Total Purchase Likelihood'!D$2:'Total Purchase Likelihood'!D84)</f>
        <v>56.949999999999996</v>
      </c>
      <c r="C84" s="7">
        <f>SUM('Total Purchase Likelihood'!C$2:C84)</f>
        <v>37.4</v>
      </c>
      <c r="E84" s="7">
        <f t="shared" si="3"/>
        <v>102.94999999999987</v>
      </c>
      <c r="F84" s="7">
        <f t="shared" si="4"/>
        <v>101.80000000000007</v>
      </c>
      <c r="G84" s="4">
        <f t="shared" si="5"/>
        <v>0.33787128712871278</v>
      </c>
      <c r="J84" s="8">
        <v>165</v>
      </c>
      <c r="K84" s="4">
        <v>0.33787128712871278</v>
      </c>
    </row>
    <row r="85" spans="1:11" x14ac:dyDescent="0.3">
      <c r="A85" s="8">
        <v>170</v>
      </c>
      <c r="B85" s="7">
        <f>SUM('Total Purchase Likelihood'!D$2:'Total Purchase Likelihood'!D85)</f>
        <v>57.199999999999996</v>
      </c>
      <c r="C85" s="7">
        <f>SUM('Total Purchase Likelihood'!C$2:C85)</f>
        <v>38.799999999999997</v>
      </c>
      <c r="E85" s="7">
        <f t="shared" si="3"/>
        <v>101.54999999999988</v>
      </c>
      <c r="F85" s="7">
        <f t="shared" si="4"/>
        <v>101.55000000000007</v>
      </c>
      <c r="G85" s="4">
        <f t="shared" si="5"/>
        <v>0.33514851485148511</v>
      </c>
      <c r="J85" s="8">
        <v>170</v>
      </c>
      <c r="K85" s="4">
        <v>0.33514851485148511</v>
      </c>
    </row>
    <row r="86" spans="1:11" x14ac:dyDescent="0.3">
      <c r="A86" s="8">
        <v>171</v>
      </c>
      <c r="B86" s="7">
        <f>SUM('Total Purchase Likelihood'!D$2:'Total Purchase Likelihood'!D86)</f>
        <v>57.849999999999994</v>
      </c>
      <c r="C86" s="7">
        <f>SUM('Total Purchase Likelihood'!C$2:C86)</f>
        <v>38.799999999999997</v>
      </c>
      <c r="E86" s="7">
        <f t="shared" si="3"/>
        <v>101.54999999999988</v>
      </c>
      <c r="F86" s="7">
        <f t="shared" si="4"/>
        <v>100.90000000000006</v>
      </c>
      <c r="G86" s="4">
        <f t="shared" si="5"/>
        <v>0.33407590759075895</v>
      </c>
      <c r="J86" s="8">
        <v>171</v>
      </c>
      <c r="K86" s="4">
        <v>0.33407590759075895</v>
      </c>
    </row>
    <row r="87" spans="1:11" x14ac:dyDescent="0.3">
      <c r="A87" s="8">
        <v>174</v>
      </c>
      <c r="B87" s="7">
        <f>SUM('Total Purchase Likelihood'!D$2:'Total Purchase Likelihood'!D87)</f>
        <v>57.849999999999994</v>
      </c>
      <c r="C87" s="7">
        <f>SUM('Total Purchase Likelihood'!C$2:C87)</f>
        <v>39.049999999999997</v>
      </c>
      <c r="E87" s="7">
        <f t="shared" si="3"/>
        <v>101.29999999999988</v>
      </c>
      <c r="F87" s="7">
        <f t="shared" si="4"/>
        <v>100.90000000000006</v>
      </c>
      <c r="G87" s="4">
        <f t="shared" si="5"/>
        <v>0.33366336633663357</v>
      </c>
      <c r="J87" s="8">
        <v>174</v>
      </c>
      <c r="K87" s="4">
        <v>0.33366336633663357</v>
      </c>
    </row>
    <row r="88" spans="1:11" x14ac:dyDescent="0.3">
      <c r="A88" s="8">
        <v>175</v>
      </c>
      <c r="B88" s="7">
        <f>SUM('Total Purchase Likelihood'!D$2:'Total Purchase Likelihood'!D88)</f>
        <v>57.849999999999994</v>
      </c>
      <c r="C88" s="7">
        <f>SUM('Total Purchase Likelihood'!C$2:C88)</f>
        <v>39.15</v>
      </c>
      <c r="E88" s="7">
        <f t="shared" si="3"/>
        <v>101.19999999999987</v>
      </c>
      <c r="F88" s="7">
        <f t="shared" si="4"/>
        <v>100.90000000000006</v>
      </c>
      <c r="G88" s="4">
        <f t="shared" si="5"/>
        <v>0.33349834983498339</v>
      </c>
      <c r="J88" s="8">
        <v>175</v>
      </c>
      <c r="K88" s="4">
        <v>0.33349834983498339</v>
      </c>
    </row>
    <row r="89" spans="1:11" x14ac:dyDescent="0.3">
      <c r="A89" s="8">
        <v>180</v>
      </c>
      <c r="B89" s="7">
        <f>SUM('Total Purchase Likelihood'!D$2:'Total Purchase Likelihood'!D89)</f>
        <v>61.999999999999993</v>
      </c>
      <c r="C89" s="7">
        <f>SUM('Total Purchase Likelihood'!C$2:C89)</f>
        <v>42.35</v>
      </c>
      <c r="E89" s="7">
        <f t="shared" si="3"/>
        <v>97.999999999999886</v>
      </c>
      <c r="F89" s="7">
        <f t="shared" si="4"/>
        <v>96.750000000000057</v>
      </c>
      <c r="G89" s="4">
        <f t="shared" si="5"/>
        <v>0.3213696369636963</v>
      </c>
      <c r="J89" s="8">
        <v>180</v>
      </c>
      <c r="K89" s="4">
        <v>0.3213696369636963</v>
      </c>
    </row>
    <row r="90" spans="1:11" x14ac:dyDescent="0.3">
      <c r="A90" s="8">
        <v>185</v>
      </c>
      <c r="B90" s="7">
        <f>SUM('Total Purchase Likelihood'!D$2:'Total Purchase Likelihood'!D90)</f>
        <v>61.999999999999993</v>
      </c>
      <c r="C90" s="7">
        <f>SUM('Total Purchase Likelihood'!C$2:C90)</f>
        <v>42.35</v>
      </c>
      <c r="E90" s="7">
        <f t="shared" si="3"/>
        <v>97.999999999999886</v>
      </c>
      <c r="F90" s="7">
        <f t="shared" si="4"/>
        <v>96.750000000000057</v>
      </c>
      <c r="G90" s="4">
        <f t="shared" si="5"/>
        <v>0.3213696369636963</v>
      </c>
      <c r="J90" s="8">
        <v>185</v>
      </c>
      <c r="K90" s="4">
        <v>0.3213696369636963</v>
      </c>
    </row>
    <row r="91" spans="1:11" x14ac:dyDescent="0.3">
      <c r="A91" s="8">
        <v>188</v>
      </c>
      <c r="B91" s="7">
        <f>SUM('Total Purchase Likelihood'!D$2:'Total Purchase Likelihood'!D91)</f>
        <v>62.099999999999994</v>
      </c>
      <c r="C91" s="7">
        <f>SUM('Total Purchase Likelihood'!C$2:C91)</f>
        <v>42.35</v>
      </c>
      <c r="E91" s="7">
        <f t="shared" si="3"/>
        <v>97.999999999999886</v>
      </c>
      <c r="F91" s="7">
        <f t="shared" si="4"/>
        <v>96.650000000000063</v>
      </c>
      <c r="G91" s="4">
        <f t="shared" si="5"/>
        <v>0.32120462046204612</v>
      </c>
      <c r="J91" s="8">
        <v>188</v>
      </c>
      <c r="K91" s="4">
        <v>0.32120462046204612</v>
      </c>
    </row>
    <row r="92" spans="1:11" x14ac:dyDescent="0.3">
      <c r="A92" s="8">
        <v>189</v>
      </c>
      <c r="B92" s="7">
        <f>SUM('Total Purchase Likelihood'!D$2:'Total Purchase Likelihood'!D92)</f>
        <v>62.099999999999994</v>
      </c>
      <c r="C92" s="7">
        <f>SUM('Total Purchase Likelihood'!C$2:C92)</f>
        <v>42.35</v>
      </c>
      <c r="E92" s="7">
        <f t="shared" si="3"/>
        <v>97.999999999999886</v>
      </c>
      <c r="F92" s="7">
        <f t="shared" si="4"/>
        <v>96.650000000000063</v>
      </c>
      <c r="G92" s="4">
        <f t="shared" si="5"/>
        <v>0.32120462046204612</v>
      </c>
      <c r="J92" s="8">
        <v>189</v>
      </c>
      <c r="K92" s="4">
        <v>0.32120462046204612</v>
      </c>
    </row>
    <row r="93" spans="1:11" x14ac:dyDescent="0.3">
      <c r="A93" s="8">
        <v>190</v>
      </c>
      <c r="B93" s="7">
        <f>SUM('Total Purchase Likelihood'!D$2:'Total Purchase Likelihood'!D93)</f>
        <v>63.099999999999994</v>
      </c>
      <c r="C93" s="7">
        <f>SUM('Total Purchase Likelihood'!C$2:C93)</f>
        <v>45.2</v>
      </c>
      <c r="E93" s="7">
        <f t="shared" si="3"/>
        <v>95.149999999999878</v>
      </c>
      <c r="F93" s="7">
        <f t="shared" si="4"/>
        <v>95.650000000000063</v>
      </c>
      <c r="G93" s="4">
        <f t="shared" si="5"/>
        <v>0.3148514851485148</v>
      </c>
      <c r="J93" s="8">
        <v>190</v>
      </c>
      <c r="K93" s="4">
        <v>0.3148514851485148</v>
      </c>
    </row>
    <row r="94" spans="1:11" x14ac:dyDescent="0.3">
      <c r="A94" s="8">
        <v>194</v>
      </c>
      <c r="B94" s="7">
        <f>SUM('Total Purchase Likelihood'!D$2:'Total Purchase Likelihood'!D94)</f>
        <v>63.099999999999994</v>
      </c>
      <c r="C94" s="7">
        <f>SUM('Total Purchase Likelihood'!C$2:C94)</f>
        <v>45.2</v>
      </c>
      <c r="E94" s="7">
        <f t="shared" si="3"/>
        <v>95.149999999999878</v>
      </c>
      <c r="F94" s="7">
        <f t="shared" si="4"/>
        <v>95.650000000000063</v>
      </c>
      <c r="G94" s="4">
        <f t="shared" si="5"/>
        <v>0.3148514851485148</v>
      </c>
      <c r="J94" s="8">
        <v>194</v>
      </c>
      <c r="K94" s="4">
        <v>0.3148514851485148</v>
      </c>
    </row>
    <row r="95" spans="1:11" x14ac:dyDescent="0.3">
      <c r="A95" s="8">
        <v>195</v>
      </c>
      <c r="B95" s="7">
        <f>SUM('Total Purchase Likelihood'!D$2:'Total Purchase Likelihood'!D95)</f>
        <v>63.099999999999994</v>
      </c>
      <c r="C95" s="7">
        <f>SUM('Total Purchase Likelihood'!C$2:C95)</f>
        <v>45.2</v>
      </c>
      <c r="E95" s="7">
        <f t="shared" si="3"/>
        <v>95.149999999999878</v>
      </c>
      <c r="F95" s="7">
        <f t="shared" si="4"/>
        <v>95.650000000000063</v>
      </c>
      <c r="G95" s="4">
        <f t="shared" si="5"/>
        <v>0.3148514851485148</v>
      </c>
      <c r="J95" s="8">
        <v>195</v>
      </c>
      <c r="K95" s="4">
        <v>0.3148514851485148</v>
      </c>
    </row>
    <row r="96" spans="1:11" x14ac:dyDescent="0.3">
      <c r="A96" s="8">
        <v>197</v>
      </c>
      <c r="B96" s="7">
        <f>SUM('Total Purchase Likelihood'!D$2:'Total Purchase Likelihood'!D96)</f>
        <v>63.099999999999994</v>
      </c>
      <c r="C96" s="7">
        <f>SUM('Total Purchase Likelihood'!C$2:C96)</f>
        <v>45.2</v>
      </c>
      <c r="E96" s="7">
        <f t="shared" si="3"/>
        <v>95.149999999999878</v>
      </c>
      <c r="F96" s="7">
        <f t="shared" si="4"/>
        <v>95.650000000000063</v>
      </c>
      <c r="G96" s="4">
        <f t="shared" si="5"/>
        <v>0.3148514851485148</v>
      </c>
      <c r="J96" s="8">
        <v>197</v>
      </c>
      <c r="K96" s="4">
        <v>0.3148514851485148</v>
      </c>
    </row>
    <row r="97" spans="1:11" x14ac:dyDescent="0.3">
      <c r="A97" s="8">
        <v>198</v>
      </c>
      <c r="B97" s="7">
        <f>SUM('Total Purchase Likelihood'!D$2:'Total Purchase Likelihood'!D97)</f>
        <v>63.099999999999994</v>
      </c>
      <c r="C97" s="7">
        <f>SUM('Total Purchase Likelihood'!C$2:C97)</f>
        <v>45.7</v>
      </c>
      <c r="E97" s="7">
        <f t="shared" si="3"/>
        <v>94.649999999999878</v>
      </c>
      <c r="F97" s="7">
        <f t="shared" si="4"/>
        <v>95.650000000000063</v>
      </c>
      <c r="G97" s="4">
        <f t="shared" si="5"/>
        <v>0.31402640264026394</v>
      </c>
      <c r="J97" s="8">
        <v>198</v>
      </c>
      <c r="K97" s="4">
        <v>0.31402640264026394</v>
      </c>
    </row>
    <row r="98" spans="1:11" x14ac:dyDescent="0.3">
      <c r="A98" s="8">
        <v>199</v>
      </c>
      <c r="B98" s="7">
        <f>SUM('Total Purchase Likelihood'!D$2:'Total Purchase Likelihood'!D98)</f>
        <v>66.599999999999994</v>
      </c>
      <c r="C98" s="7">
        <f>SUM('Total Purchase Likelihood'!C$2:C98)</f>
        <v>45.800000000000004</v>
      </c>
      <c r="E98" s="7">
        <f t="shared" si="3"/>
        <v>94.549999999999869</v>
      </c>
      <c r="F98" s="7">
        <f t="shared" si="4"/>
        <v>92.150000000000063</v>
      </c>
      <c r="G98" s="4">
        <f t="shared" si="5"/>
        <v>0.30808580858085799</v>
      </c>
      <c r="J98" s="8">
        <v>199</v>
      </c>
      <c r="K98" s="4">
        <v>0.30808580858085799</v>
      </c>
    </row>
    <row r="99" spans="1:11" x14ac:dyDescent="0.3">
      <c r="A99" s="8">
        <v>200</v>
      </c>
      <c r="B99" s="7">
        <f>SUM('Total Purchase Likelihood'!D$2:'Total Purchase Likelihood'!D99)</f>
        <v>93.299999999999983</v>
      </c>
      <c r="C99" s="7">
        <f>SUM('Total Purchase Likelihood'!C$2:C99)</f>
        <v>59.1</v>
      </c>
      <c r="E99" s="7">
        <f t="shared" si="3"/>
        <v>81.249999999999886</v>
      </c>
      <c r="F99" s="7">
        <f t="shared" si="4"/>
        <v>65.450000000000074</v>
      </c>
      <c r="G99" s="4">
        <f t="shared" si="5"/>
        <v>0.24207920792079202</v>
      </c>
      <c r="J99" s="8">
        <v>200</v>
      </c>
      <c r="K99" s="4">
        <v>0.24207920792079202</v>
      </c>
    </row>
    <row r="100" spans="1:11" x14ac:dyDescent="0.3">
      <c r="A100" s="8">
        <v>205</v>
      </c>
      <c r="B100" s="7">
        <f>SUM('Total Purchase Likelihood'!D$2:'Total Purchase Likelihood'!D100)</f>
        <v>93.299999999999983</v>
      </c>
      <c r="C100" s="7">
        <f>SUM('Total Purchase Likelihood'!C$2:C100)</f>
        <v>59.1</v>
      </c>
      <c r="E100" s="7">
        <f t="shared" si="3"/>
        <v>81.249999999999886</v>
      </c>
      <c r="F100" s="7">
        <f t="shared" si="4"/>
        <v>65.450000000000074</v>
      </c>
      <c r="G100" s="4">
        <f t="shared" si="5"/>
        <v>0.24207920792079202</v>
      </c>
      <c r="J100" s="8">
        <v>205</v>
      </c>
      <c r="K100" s="4">
        <v>0.24207920792079202</v>
      </c>
    </row>
    <row r="101" spans="1:11" x14ac:dyDescent="0.3">
      <c r="A101" s="8">
        <v>209</v>
      </c>
      <c r="B101" s="7">
        <f>SUM('Total Purchase Likelihood'!D$2:'Total Purchase Likelihood'!D101)</f>
        <v>93.299999999999983</v>
      </c>
      <c r="C101" s="7">
        <f>SUM('Total Purchase Likelihood'!C$2:C101)</f>
        <v>59.1</v>
      </c>
      <c r="E101" s="7">
        <f t="shared" si="3"/>
        <v>81.249999999999886</v>
      </c>
      <c r="F101" s="7">
        <f t="shared" si="4"/>
        <v>65.450000000000074</v>
      </c>
      <c r="G101" s="4">
        <f t="shared" si="5"/>
        <v>0.24207920792079202</v>
      </c>
      <c r="J101" s="8">
        <v>209</v>
      </c>
      <c r="K101" s="4">
        <v>0.24207920792079202</v>
      </c>
    </row>
    <row r="102" spans="1:11" x14ac:dyDescent="0.3">
      <c r="A102" s="8">
        <v>210</v>
      </c>
      <c r="B102" s="7">
        <f>SUM('Total Purchase Likelihood'!D$2:'Total Purchase Likelihood'!D102)</f>
        <v>94.649999999999977</v>
      </c>
      <c r="C102" s="7">
        <f>SUM('Total Purchase Likelihood'!C$2:C102)</f>
        <v>59.35</v>
      </c>
      <c r="E102" s="7">
        <f t="shared" si="3"/>
        <v>80.999999999999886</v>
      </c>
      <c r="F102" s="7">
        <f t="shared" si="4"/>
        <v>64.10000000000008</v>
      </c>
      <c r="G102" s="4">
        <f t="shared" si="5"/>
        <v>0.23943894389438938</v>
      </c>
      <c r="J102" s="8">
        <v>210</v>
      </c>
      <c r="K102" s="4">
        <v>0.23943894389438938</v>
      </c>
    </row>
    <row r="103" spans="1:11" x14ac:dyDescent="0.3">
      <c r="A103" s="8">
        <v>215</v>
      </c>
      <c r="B103" s="7">
        <f>SUM('Total Purchase Likelihood'!D$2:'Total Purchase Likelihood'!D103)</f>
        <v>94.799999999999983</v>
      </c>
      <c r="C103" s="7">
        <f>SUM('Total Purchase Likelihood'!C$2:C103)</f>
        <v>59.35</v>
      </c>
      <c r="E103" s="7">
        <f t="shared" si="3"/>
        <v>80.999999999999886</v>
      </c>
      <c r="F103" s="7">
        <f t="shared" si="4"/>
        <v>63.950000000000074</v>
      </c>
      <c r="G103" s="4">
        <f t="shared" si="5"/>
        <v>0.23919141914191414</v>
      </c>
      <c r="J103" s="8">
        <v>215</v>
      </c>
      <c r="K103" s="4">
        <v>0.23919141914191414</v>
      </c>
    </row>
    <row r="104" spans="1:11" x14ac:dyDescent="0.3">
      <c r="A104" s="8">
        <v>219</v>
      </c>
      <c r="B104" s="7">
        <f>SUM('Total Purchase Likelihood'!D$2:'Total Purchase Likelihood'!D104)</f>
        <v>95.449999999999989</v>
      </c>
      <c r="C104" s="7">
        <f>SUM('Total Purchase Likelihood'!C$2:C104)</f>
        <v>59.35</v>
      </c>
      <c r="E104" s="7">
        <f t="shared" si="3"/>
        <v>80.999999999999886</v>
      </c>
      <c r="F104" s="7">
        <f t="shared" si="4"/>
        <v>63.300000000000068</v>
      </c>
      <c r="G104" s="4">
        <f t="shared" si="5"/>
        <v>0.23811881188118805</v>
      </c>
      <c r="J104" s="8">
        <v>219</v>
      </c>
      <c r="K104" s="4">
        <v>0.23811881188118805</v>
      </c>
    </row>
    <row r="105" spans="1:11" x14ac:dyDescent="0.3">
      <c r="A105" s="8">
        <v>220</v>
      </c>
      <c r="B105" s="7">
        <f>SUM('Total Purchase Likelihood'!D$2:'Total Purchase Likelihood'!D105)</f>
        <v>96.6</v>
      </c>
      <c r="C105" s="7">
        <f>SUM('Total Purchase Likelihood'!C$2:C105)</f>
        <v>61.4</v>
      </c>
      <c r="E105" s="7">
        <f t="shared" si="3"/>
        <v>78.949999999999875</v>
      </c>
      <c r="F105" s="7">
        <f t="shared" si="4"/>
        <v>62.150000000000063</v>
      </c>
      <c r="G105" s="4">
        <f t="shared" si="5"/>
        <v>0.23283828382838273</v>
      </c>
      <c r="J105" s="8">
        <v>220</v>
      </c>
      <c r="K105" s="4">
        <v>0.23283828382838273</v>
      </c>
    </row>
    <row r="106" spans="1:11" x14ac:dyDescent="0.3">
      <c r="A106" s="8">
        <v>221</v>
      </c>
      <c r="B106" s="7">
        <f>SUM('Total Purchase Likelihood'!D$2:'Total Purchase Likelihood'!D106)</f>
        <v>96.85</v>
      </c>
      <c r="C106" s="7">
        <f>SUM('Total Purchase Likelihood'!C$2:C106)</f>
        <v>61.4</v>
      </c>
      <c r="E106" s="7">
        <f t="shared" si="3"/>
        <v>78.949999999999875</v>
      </c>
      <c r="F106" s="7">
        <f t="shared" si="4"/>
        <v>61.900000000000063</v>
      </c>
      <c r="G106" s="4">
        <f t="shared" si="5"/>
        <v>0.23242574257425733</v>
      </c>
      <c r="J106" s="8">
        <v>221</v>
      </c>
      <c r="K106" s="4">
        <v>0.23242574257425733</v>
      </c>
    </row>
    <row r="107" spans="1:11" x14ac:dyDescent="0.3">
      <c r="A107" s="8">
        <v>225</v>
      </c>
      <c r="B107" s="7">
        <f>SUM('Total Purchase Likelihood'!D$2:'Total Purchase Likelihood'!D107)</f>
        <v>96.85</v>
      </c>
      <c r="C107" s="7">
        <f>SUM('Total Purchase Likelihood'!C$2:C107)</f>
        <v>61.4</v>
      </c>
      <c r="E107" s="7">
        <f t="shared" si="3"/>
        <v>78.949999999999875</v>
      </c>
      <c r="F107" s="7">
        <f t="shared" si="4"/>
        <v>61.900000000000063</v>
      </c>
      <c r="G107" s="4">
        <f t="shared" si="5"/>
        <v>0.23242574257425733</v>
      </c>
      <c r="J107" s="8">
        <v>225</v>
      </c>
      <c r="K107" s="4">
        <v>0.23242574257425733</v>
      </c>
    </row>
    <row r="108" spans="1:11" x14ac:dyDescent="0.3">
      <c r="A108" s="8">
        <v>229</v>
      </c>
      <c r="B108" s="7">
        <f>SUM('Total Purchase Likelihood'!D$2:'Total Purchase Likelihood'!D108)</f>
        <v>96.85</v>
      </c>
      <c r="C108" s="7">
        <f>SUM('Total Purchase Likelihood'!C$2:C108)</f>
        <v>61.5</v>
      </c>
      <c r="E108" s="7">
        <f t="shared" si="3"/>
        <v>78.849999999999881</v>
      </c>
      <c r="F108" s="7">
        <f t="shared" si="4"/>
        <v>61.900000000000063</v>
      </c>
      <c r="G108" s="4">
        <f t="shared" si="5"/>
        <v>0.23226072607260717</v>
      </c>
      <c r="J108" s="8">
        <v>229</v>
      </c>
      <c r="K108" s="4">
        <v>0.23226072607260717</v>
      </c>
    </row>
    <row r="109" spans="1:11" x14ac:dyDescent="0.3">
      <c r="A109" s="8">
        <v>230</v>
      </c>
      <c r="B109" s="7">
        <f>SUM('Total Purchase Likelihood'!D$2:'Total Purchase Likelihood'!D109)</f>
        <v>97.5</v>
      </c>
      <c r="C109" s="7">
        <f>SUM('Total Purchase Likelihood'!C$2:C109)</f>
        <v>63.2</v>
      </c>
      <c r="E109" s="7">
        <f t="shared" si="3"/>
        <v>77.149999999999878</v>
      </c>
      <c r="F109" s="7">
        <f t="shared" si="4"/>
        <v>61.250000000000057</v>
      </c>
      <c r="G109" s="4">
        <f t="shared" si="5"/>
        <v>0.22838283828382824</v>
      </c>
      <c r="J109" s="8">
        <v>230</v>
      </c>
      <c r="K109" s="4">
        <v>0.22838283828382824</v>
      </c>
    </row>
    <row r="110" spans="1:11" x14ac:dyDescent="0.3">
      <c r="A110" s="8">
        <v>237</v>
      </c>
      <c r="B110" s="7">
        <f>SUM('Total Purchase Likelihood'!D$2:'Total Purchase Likelihood'!D110)</f>
        <v>97.5</v>
      </c>
      <c r="C110" s="7">
        <f>SUM('Total Purchase Likelihood'!C$2:C110)</f>
        <v>63.2</v>
      </c>
      <c r="E110" s="7">
        <f t="shared" si="3"/>
        <v>77.149999999999878</v>
      </c>
      <c r="F110" s="7">
        <f t="shared" si="4"/>
        <v>61.250000000000057</v>
      </c>
      <c r="G110" s="4">
        <f t="shared" si="5"/>
        <v>0.22838283828382824</v>
      </c>
      <c r="J110" s="8">
        <v>237</v>
      </c>
      <c r="K110" s="4">
        <v>0.22838283828382824</v>
      </c>
    </row>
    <row r="111" spans="1:11" x14ac:dyDescent="0.3">
      <c r="A111" s="8">
        <v>238</v>
      </c>
      <c r="B111" s="7">
        <f>SUM('Total Purchase Likelihood'!D$2:'Total Purchase Likelihood'!D111)</f>
        <v>97.5</v>
      </c>
      <c r="C111" s="7">
        <f>SUM('Total Purchase Likelihood'!C$2:C111)</f>
        <v>63.2</v>
      </c>
      <c r="E111" s="7">
        <f t="shared" si="3"/>
        <v>77.149999999999878</v>
      </c>
      <c r="F111" s="7">
        <f t="shared" si="4"/>
        <v>61.250000000000057</v>
      </c>
      <c r="G111" s="4">
        <f t="shared" si="5"/>
        <v>0.22838283828382824</v>
      </c>
      <c r="J111" s="8">
        <v>238</v>
      </c>
      <c r="K111" s="4">
        <v>0.22838283828382824</v>
      </c>
    </row>
    <row r="112" spans="1:11" x14ac:dyDescent="0.3">
      <c r="A112" s="8">
        <v>239</v>
      </c>
      <c r="B112" s="7">
        <f>SUM('Total Purchase Likelihood'!D$2:'Total Purchase Likelihood'!D112)</f>
        <v>97.5</v>
      </c>
      <c r="C112" s="7">
        <f>SUM('Total Purchase Likelihood'!C$2:C112)</f>
        <v>63.45</v>
      </c>
      <c r="E112" s="7">
        <f t="shared" si="3"/>
        <v>76.899999999999878</v>
      </c>
      <c r="F112" s="7">
        <f t="shared" si="4"/>
        <v>61.250000000000057</v>
      </c>
      <c r="G112" s="4">
        <f t="shared" si="5"/>
        <v>0.22797029702970284</v>
      </c>
      <c r="J112" s="8">
        <v>239</v>
      </c>
      <c r="K112" s="4">
        <v>0.22797029702970284</v>
      </c>
    </row>
    <row r="113" spans="1:11" x14ac:dyDescent="0.3">
      <c r="A113" s="8">
        <v>240</v>
      </c>
      <c r="B113" s="7">
        <f>SUM('Total Purchase Likelihood'!D$2:'Total Purchase Likelihood'!D113)</f>
        <v>98.65</v>
      </c>
      <c r="C113" s="7">
        <f>SUM('Total Purchase Likelihood'!C$2:C113)</f>
        <v>64.7</v>
      </c>
      <c r="E113" s="7">
        <f t="shared" si="3"/>
        <v>75.649999999999878</v>
      </c>
      <c r="F113" s="7">
        <f t="shared" si="4"/>
        <v>60.100000000000051</v>
      </c>
      <c r="G113" s="4">
        <f t="shared" si="5"/>
        <v>0.2240099009900989</v>
      </c>
      <c r="J113" s="8">
        <v>240</v>
      </c>
      <c r="K113" s="4">
        <v>0.2240099009900989</v>
      </c>
    </row>
    <row r="114" spans="1:11" x14ac:dyDescent="0.3">
      <c r="A114" s="8">
        <v>244</v>
      </c>
      <c r="B114" s="7">
        <f>SUM('Total Purchase Likelihood'!D$2:'Total Purchase Likelihood'!D114)</f>
        <v>98.65</v>
      </c>
      <c r="C114" s="7">
        <f>SUM('Total Purchase Likelihood'!C$2:C114)</f>
        <v>64.7</v>
      </c>
      <c r="E114" s="7">
        <f t="shared" si="3"/>
        <v>75.649999999999878</v>
      </c>
      <c r="F114" s="7">
        <f t="shared" si="4"/>
        <v>60.100000000000051</v>
      </c>
      <c r="G114" s="4">
        <f t="shared" si="5"/>
        <v>0.2240099009900989</v>
      </c>
      <c r="J114" s="8">
        <v>244</v>
      </c>
      <c r="K114" s="4">
        <v>0.2240099009900989</v>
      </c>
    </row>
    <row r="115" spans="1:11" x14ac:dyDescent="0.3">
      <c r="A115" s="8">
        <v>245</v>
      </c>
      <c r="B115" s="7">
        <f>SUM('Total Purchase Likelihood'!D$2:'Total Purchase Likelihood'!D115)</f>
        <v>98.65</v>
      </c>
      <c r="C115" s="7">
        <f>SUM('Total Purchase Likelihood'!C$2:C115)</f>
        <v>64.7</v>
      </c>
      <c r="E115" s="7">
        <f t="shared" si="3"/>
        <v>75.649999999999878</v>
      </c>
      <c r="F115" s="7">
        <f t="shared" si="4"/>
        <v>60.100000000000051</v>
      </c>
      <c r="G115" s="4">
        <f t="shared" si="5"/>
        <v>0.2240099009900989</v>
      </c>
      <c r="J115" s="8">
        <v>245</v>
      </c>
      <c r="K115" s="4">
        <v>0.2240099009900989</v>
      </c>
    </row>
    <row r="116" spans="1:11" x14ac:dyDescent="0.3">
      <c r="A116" s="8">
        <v>246</v>
      </c>
      <c r="B116" s="7">
        <f>SUM('Total Purchase Likelihood'!D$2:'Total Purchase Likelihood'!D116)</f>
        <v>98.65</v>
      </c>
      <c r="C116" s="7">
        <f>SUM('Total Purchase Likelihood'!C$2:C116)</f>
        <v>64.95</v>
      </c>
      <c r="E116" s="7">
        <f t="shared" si="3"/>
        <v>75.399999999999878</v>
      </c>
      <c r="F116" s="7">
        <f t="shared" si="4"/>
        <v>60.100000000000051</v>
      </c>
      <c r="G116" s="4">
        <f t="shared" si="5"/>
        <v>0.2235973597359735</v>
      </c>
      <c r="J116" s="8">
        <v>246</v>
      </c>
      <c r="K116" s="4">
        <v>0.2235973597359735</v>
      </c>
    </row>
    <row r="117" spans="1:11" x14ac:dyDescent="0.3">
      <c r="A117" s="8">
        <v>247</v>
      </c>
      <c r="B117" s="7">
        <f>SUM('Total Purchase Likelihood'!D$2:'Total Purchase Likelihood'!D117)</f>
        <v>98.65</v>
      </c>
      <c r="C117" s="7">
        <f>SUM('Total Purchase Likelihood'!C$2:C117)</f>
        <v>64.95</v>
      </c>
      <c r="E117" s="7">
        <f t="shared" si="3"/>
        <v>75.399999999999878</v>
      </c>
      <c r="F117" s="7">
        <f t="shared" si="4"/>
        <v>60.100000000000051</v>
      </c>
      <c r="G117" s="4">
        <f t="shared" si="5"/>
        <v>0.2235973597359735</v>
      </c>
      <c r="J117" s="8">
        <v>247</v>
      </c>
      <c r="K117" s="4">
        <v>0.2235973597359735</v>
      </c>
    </row>
    <row r="118" spans="1:11" x14ac:dyDescent="0.3">
      <c r="A118" s="8">
        <v>249</v>
      </c>
      <c r="B118" s="7">
        <f>SUM('Total Purchase Likelihood'!D$2:'Total Purchase Likelihood'!D118)</f>
        <v>99.4</v>
      </c>
      <c r="C118" s="7">
        <f>SUM('Total Purchase Likelihood'!C$2:C118)</f>
        <v>67.150000000000006</v>
      </c>
      <c r="E118" s="7">
        <f t="shared" si="3"/>
        <v>73.199999999999875</v>
      </c>
      <c r="F118" s="7">
        <f t="shared" si="4"/>
        <v>59.350000000000051</v>
      </c>
      <c r="G118" s="4">
        <f t="shared" si="5"/>
        <v>0.21872937293729361</v>
      </c>
      <c r="J118" s="8">
        <v>249</v>
      </c>
      <c r="K118" s="4">
        <v>0.21872937293729361</v>
      </c>
    </row>
    <row r="119" spans="1:11" x14ac:dyDescent="0.3">
      <c r="A119" s="8">
        <v>250</v>
      </c>
      <c r="B119" s="7">
        <f>SUM('Total Purchase Likelihood'!D$2:'Total Purchase Likelihood'!D119)</f>
        <v>117</v>
      </c>
      <c r="C119" s="7">
        <f>SUM('Total Purchase Likelihood'!C$2:C119)</f>
        <v>80</v>
      </c>
      <c r="E119" s="7">
        <f t="shared" si="3"/>
        <v>60.349999999999881</v>
      </c>
      <c r="F119" s="7">
        <f t="shared" si="4"/>
        <v>41.750000000000057</v>
      </c>
      <c r="G119" s="4">
        <f t="shared" si="5"/>
        <v>0.16848184818481837</v>
      </c>
      <c r="J119" s="8">
        <v>250</v>
      </c>
      <c r="K119" s="4">
        <v>0.16848184818481837</v>
      </c>
    </row>
    <row r="120" spans="1:11" x14ac:dyDescent="0.3">
      <c r="A120" s="8">
        <v>255</v>
      </c>
      <c r="B120" s="7">
        <f>SUM('Total Purchase Likelihood'!D$2:'Total Purchase Likelihood'!D120)</f>
        <v>117</v>
      </c>
      <c r="C120" s="7">
        <f>SUM('Total Purchase Likelihood'!C$2:C120)</f>
        <v>80.599999999999994</v>
      </c>
      <c r="E120" s="7">
        <f t="shared" si="3"/>
        <v>59.749999999999886</v>
      </c>
      <c r="F120" s="7">
        <f t="shared" si="4"/>
        <v>41.750000000000057</v>
      </c>
      <c r="G120" s="4">
        <f t="shared" si="5"/>
        <v>0.16749174917491741</v>
      </c>
      <c r="J120" s="8">
        <v>255</v>
      </c>
      <c r="K120" s="4">
        <v>0.16749174917491741</v>
      </c>
    </row>
    <row r="121" spans="1:11" x14ac:dyDescent="0.3">
      <c r="A121" s="8">
        <v>259</v>
      </c>
      <c r="B121" s="7">
        <f>SUM('Total Purchase Likelihood'!D$2:'Total Purchase Likelihood'!D121)</f>
        <v>117</v>
      </c>
      <c r="C121" s="7">
        <f>SUM('Total Purchase Likelihood'!C$2:C121)</f>
        <v>80.599999999999994</v>
      </c>
      <c r="E121" s="7">
        <f t="shared" si="3"/>
        <v>59.749999999999886</v>
      </c>
      <c r="F121" s="7">
        <f t="shared" si="4"/>
        <v>41.750000000000057</v>
      </c>
      <c r="G121" s="4">
        <f t="shared" si="5"/>
        <v>0.16749174917491741</v>
      </c>
      <c r="J121" s="8">
        <v>259</v>
      </c>
      <c r="K121" s="4">
        <v>0.16749174917491741</v>
      </c>
    </row>
    <row r="122" spans="1:11" x14ac:dyDescent="0.3">
      <c r="A122" s="8">
        <v>260</v>
      </c>
      <c r="B122" s="7">
        <f>SUM('Total Purchase Likelihood'!D$2:'Total Purchase Likelihood'!D122)</f>
        <v>118.5</v>
      </c>
      <c r="C122" s="7">
        <f>SUM('Total Purchase Likelihood'!C$2:C122)</f>
        <v>81.55</v>
      </c>
      <c r="E122" s="7">
        <f t="shared" si="3"/>
        <v>58.799999999999883</v>
      </c>
      <c r="F122" s="7">
        <f t="shared" si="4"/>
        <v>40.250000000000057</v>
      </c>
      <c r="G122" s="4">
        <f t="shared" si="5"/>
        <v>0.16344884488448835</v>
      </c>
      <c r="J122" s="8">
        <v>260</v>
      </c>
      <c r="K122" s="4">
        <v>0.16344884488448835</v>
      </c>
    </row>
    <row r="123" spans="1:11" x14ac:dyDescent="0.3">
      <c r="A123" s="8">
        <v>265</v>
      </c>
      <c r="B123" s="7">
        <f>SUM('Total Purchase Likelihood'!D$2:'Total Purchase Likelihood'!D123)</f>
        <v>119.15</v>
      </c>
      <c r="C123" s="7">
        <f>SUM('Total Purchase Likelihood'!C$2:C123)</f>
        <v>81.55</v>
      </c>
      <c r="E123" s="7">
        <f t="shared" si="3"/>
        <v>58.799999999999883</v>
      </c>
      <c r="F123" s="7">
        <f t="shared" si="4"/>
        <v>39.600000000000051</v>
      </c>
      <c r="G123" s="4">
        <f t="shared" si="5"/>
        <v>0.16237623762376227</v>
      </c>
      <c r="J123" s="8">
        <v>265</v>
      </c>
      <c r="K123" s="4">
        <v>0.16237623762376227</v>
      </c>
    </row>
    <row r="124" spans="1:11" x14ac:dyDescent="0.3">
      <c r="A124" s="8">
        <v>269</v>
      </c>
      <c r="B124" s="7">
        <f>SUM('Total Purchase Likelihood'!D$2:'Total Purchase Likelihood'!D124)</f>
        <v>119.15</v>
      </c>
      <c r="C124" s="7">
        <f>SUM('Total Purchase Likelihood'!C$2:C124)</f>
        <v>81.649999999999991</v>
      </c>
      <c r="E124" s="7">
        <f t="shared" si="3"/>
        <v>58.699999999999889</v>
      </c>
      <c r="F124" s="7">
        <f t="shared" si="4"/>
        <v>39.600000000000051</v>
      </c>
      <c r="G124" s="4">
        <f t="shared" si="5"/>
        <v>0.16221122112211211</v>
      </c>
      <c r="J124" s="8">
        <v>269</v>
      </c>
      <c r="K124" s="4">
        <v>0.16221122112211211</v>
      </c>
    </row>
    <row r="125" spans="1:11" x14ac:dyDescent="0.3">
      <c r="A125" s="8">
        <v>270</v>
      </c>
      <c r="B125" s="7">
        <f>SUM('Total Purchase Likelihood'!D$2:'Total Purchase Likelihood'!D125)</f>
        <v>119.30000000000001</v>
      </c>
      <c r="C125" s="7">
        <f>SUM('Total Purchase Likelihood'!C$2:C125)</f>
        <v>82.35</v>
      </c>
      <c r="E125" s="7">
        <f t="shared" si="3"/>
        <v>57.999999999999886</v>
      </c>
      <c r="F125" s="7">
        <f t="shared" si="4"/>
        <v>39.450000000000045</v>
      </c>
      <c r="G125" s="4">
        <f t="shared" si="5"/>
        <v>0.16080858085808569</v>
      </c>
      <c r="J125" s="8">
        <v>270</v>
      </c>
      <c r="K125" s="4">
        <v>0.16080858085808569</v>
      </c>
    </row>
    <row r="126" spans="1:11" x14ac:dyDescent="0.3">
      <c r="A126" s="8">
        <v>273</v>
      </c>
      <c r="B126" s="7">
        <f>SUM('Total Purchase Likelihood'!D$2:'Total Purchase Likelihood'!D126)</f>
        <v>119.30000000000001</v>
      </c>
      <c r="C126" s="7">
        <f>SUM('Total Purchase Likelihood'!C$2:C126)</f>
        <v>83.1</v>
      </c>
      <c r="E126" s="7">
        <f t="shared" si="3"/>
        <v>57.249999999999886</v>
      </c>
      <c r="F126" s="7">
        <f t="shared" si="4"/>
        <v>39.450000000000045</v>
      </c>
      <c r="G126" s="4">
        <f t="shared" si="5"/>
        <v>0.15957095709570945</v>
      </c>
      <c r="J126" s="8">
        <v>273</v>
      </c>
      <c r="K126" s="4">
        <v>0.15957095709570945</v>
      </c>
    </row>
    <row r="127" spans="1:11" x14ac:dyDescent="0.3">
      <c r="A127" s="8">
        <v>275</v>
      </c>
      <c r="B127" s="7">
        <f>SUM('Total Purchase Likelihood'!D$2:'Total Purchase Likelihood'!D127)</f>
        <v>119.30000000000001</v>
      </c>
      <c r="C127" s="7">
        <f>SUM('Total Purchase Likelihood'!C$2:C127)</f>
        <v>83.199999999999989</v>
      </c>
      <c r="E127" s="7">
        <f t="shared" si="3"/>
        <v>57.149999999999892</v>
      </c>
      <c r="F127" s="7">
        <f t="shared" si="4"/>
        <v>39.450000000000045</v>
      </c>
      <c r="G127" s="4">
        <f t="shared" si="5"/>
        <v>0.1594059405940593</v>
      </c>
      <c r="J127" s="8">
        <v>275</v>
      </c>
      <c r="K127" s="4">
        <v>0.1594059405940593</v>
      </c>
    </row>
    <row r="128" spans="1:11" x14ac:dyDescent="0.3">
      <c r="A128" s="8">
        <v>279</v>
      </c>
      <c r="B128" s="7">
        <f>SUM('Total Purchase Likelihood'!D$2:'Total Purchase Likelihood'!D128)</f>
        <v>119.80000000000001</v>
      </c>
      <c r="C128" s="7">
        <f>SUM('Total Purchase Likelihood'!C$2:C128)</f>
        <v>83.199999999999989</v>
      </c>
      <c r="E128" s="7">
        <f t="shared" si="3"/>
        <v>57.149999999999892</v>
      </c>
      <c r="F128" s="7">
        <f t="shared" si="4"/>
        <v>38.950000000000045</v>
      </c>
      <c r="G128" s="4">
        <f t="shared" si="5"/>
        <v>0.15858085808580849</v>
      </c>
      <c r="J128" s="8">
        <v>279</v>
      </c>
      <c r="K128" s="4">
        <v>0.15858085808580849</v>
      </c>
    </row>
    <row r="129" spans="1:11" x14ac:dyDescent="0.3">
      <c r="A129" s="8">
        <v>280</v>
      </c>
      <c r="B129" s="7">
        <f>SUM('Total Purchase Likelihood'!D$2:'Total Purchase Likelihood'!D129)</f>
        <v>122.4</v>
      </c>
      <c r="C129" s="7">
        <f>SUM('Total Purchase Likelihood'!C$2:C129)</f>
        <v>87.149999999999991</v>
      </c>
      <c r="E129" s="7">
        <f t="shared" si="3"/>
        <v>53.199999999999889</v>
      </c>
      <c r="F129" s="7">
        <f t="shared" si="4"/>
        <v>36.350000000000051</v>
      </c>
      <c r="G129" s="4">
        <f t="shared" si="5"/>
        <v>0.14777227722772268</v>
      </c>
      <c r="J129" s="8">
        <v>280</v>
      </c>
      <c r="K129" s="4">
        <v>0.14777227722772268</v>
      </c>
    </row>
    <row r="130" spans="1:11" x14ac:dyDescent="0.3">
      <c r="A130" s="8">
        <v>288</v>
      </c>
      <c r="B130" s="7">
        <f>SUM('Total Purchase Likelihood'!D$2:'Total Purchase Likelihood'!D130)</f>
        <v>122.4</v>
      </c>
      <c r="C130" s="7">
        <f>SUM('Total Purchase Likelihood'!C$2:C130)</f>
        <v>87.149999999999991</v>
      </c>
      <c r="E130" s="7">
        <f t="shared" si="3"/>
        <v>53.199999999999889</v>
      </c>
      <c r="F130" s="7">
        <f t="shared" si="4"/>
        <v>36.350000000000051</v>
      </c>
      <c r="G130" s="4">
        <f t="shared" si="5"/>
        <v>0.14777227722772268</v>
      </c>
      <c r="J130" s="8">
        <v>288</v>
      </c>
      <c r="K130" s="4">
        <v>0.14777227722772268</v>
      </c>
    </row>
    <row r="131" spans="1:11" x14ac:dyDescent="0.3">
      <c r="A131" s="8">
        <v>289</v>
      </c>
      <c r="B131" s="7">
        <f>SUM('Total Purchase Likelihood'!D$2:'Total Purchase Likelihood'!D131)</f>
        <v>122.4</v>
      </c>
      <c r="C131" s="7">
        <f>SUM('Total Purchase Likelihood'!C$2:C131)</f>
        <v>87.149999999999991</v>
      </c>
      <c r="E131" s="7">
        <f t="shared" ref="E131:E191" si="6">MAX(C:C)-C131</f>
        <v>53.199999999999889</v>
      </c>
      <c r="F131" s="7">
        <f t="shared" ref="F131:F191" si="7">MAX(B:B)-B131</f>
        <v>36.350000000000051</v>
      </c>
      <c r="G131" s="4">
        <f t="shared" ref="G131:G191" si="8">SUM(E131:F131)/606</f>
        <v>0.14777227722772268</v>
      </c>
      <c r="J131" s="8">
        <v>289</v>
      </c>
      <c r="K131" s="4">
        <v>0.14777227722772268</v>
      </c>
    </row>
    <row r="132" spans="1:11" x14ac:dyDescent="0.3">
      <c r="A132" s="8">
        <v>290</v>
      </c>
      <c r="B132" s="7">
        <f>SUM('Total Purchase Likelihood'!D$2:'Total Purchase Likelihood'!D132)</f>
        <v>123.30000000000001</v>
      </c>
      <c r="C132" s="7">
        <f>SUM('Total Purchase Likelihood'!C$2:C132)</f>
        <v>88.199999999999989</v>
      </c>
      <c r="E132" s="7">
        <f t="shared" si="6"/>
        <v>52.149999999999892</v>
      </c>
      <c r="F132" s="7">
        <f t="shared" si="7"/>
        <v>35.450000000000045</v>
      </c>
      <c r="G132" s="4">
        <f t="shared" si="8"/>
        <v>0.14455445544554446</v>
      </c>
      <c r="J132" s="8">
        <v>290</v>
      </c>
      <c r="K132" s="4">
        <v>0.14455445544554446</v>
      </c>
    </row>
    <row r="133" spans="1:11" x14ac:dyDescent="0.3">
      <c r="A133" s="8">
        <v>296</v>
      </c>
      <c r="B133" s="7">
        <f>SUM('Total Purchase Likelihood'!D$2:'Total Purchase Likelihood'!D133)</f>
        <v>123.30000000000001</v>
      </c>
      <c r="C133" s="7">
        <f>SUM('Total Purchase Likelihood'!C$2:C133)</f>
        <v>88.199999999999989</v>
      </c>
      <c r="E133" s="7">
        <f t="shared" si="6"/>
        <v>52.149999999999892</v>
      </c>
      <c r="F133" s="7">
        <f t="shared" si="7"/>
        <v>35.450000000000045</v>
      </c>
      <c r="G133" s="4">
        <f t="shared" si="8"/>
        <v>0.14455445544554446</v>
      </c>
      <c r="J133" s="8">
        <v>296</v>
      </c>
      <c r="K133" s="4">
        <v>0.14455445544554446</v>
      </c>
    </row>
    <row r="134" spans="1:11" x14ac:dyDescent="0.3">
      <c r="A134" s="8">
        <v>298</v>
      </c>
      <c r="B134" s="7">
        <f>SUM('Total Purchase Likelihood'!D$2:'Total Purchase Likelihood'!D134)</f>
        <v>123.30000000000001</v>
      </c>
      <c r="C134" s="7">
        <f>SUM('Total Purchase Likelihood'!C$2:C134)</f>
        <v>88.199999999999989</v>
      </c>
      <c r="E134" s="7">
        <f t="shared" si="6"/>
        <v>52.149999999999892</v>
      </c>
      <c r="F134" s="7">
        <f t="shared" si="7"/>
        <v>35.450000000000045</v>
      </c>
      <c r="G134" s="4">
        <f t="shared" si="8"/>
        <v>0.14455445544554446</v>
      </c>
      <c r="J134" s="8">
        <v>298</v>
      </c>
      <c r="K134" s="4">
        <v>0.14455445544554446</v>
      </c>
    </row>
    <row r="135" spans="1:11" x14ac:dyDescent="0.3">
      <c r="A135" s="8">
        <v>299</v>
      </c>
      <c r="B135" s="7">
        <f>SUM('Total Purchase Likelihood'!D$2:'Total Purchase Likelihood'!D135)</f>
        <v>123.95000000000002</v>
      </c>
      <c r="C135" s="7">
        <f>SUM('Total Purchase Likelihood'!C$2:C135)</f>
        <v>89.499999999999986</v>
      </c>
      <c r="E135" s="7">
        <f t="shared" si="6"/>
        <v>50.849999999999895</v>
      </c>
      <c r="F135" s="7">
        <f t="shared" si="7"/>
        <v>34.80000000000004</v>
      </c>
      <c r="G135" s="4">
        <f t="shared" si="8"/>
        <v>0.14133663366336624</v>
      </c>
      <c r="J135" s="8">
        <v>299</v>
      </c>
      <c r="K135" s="4">
        <v>0.14133663366336624</v>
      </c>
    </row>
    <row r="136" spans="1:11" x14ac:dyDescent="0.3">
      <c r="A136" s="8">
        <v>300</v>
      </c>
      <c r="B136" s="7">
        <f>SUM('Total Purchase Likelihood'!D$2:'Total Purchase Likelihood'!D136)</f>
        <v>142.10000000000002</v>
      </c>
      <c r="C136" s="7">
        <f>SUM('Total Purchase Likelihood'!C$2:C136)</f>
        <v>103.19999999999999</v>
      </c>
      <c r="E136" s="7">
        <f t="shared" si="6"/>
        <v>37.149999999999892</v>
      </c>
      <c r="F136" s="7">
        <f t="shared" si="7"/>
        <v>16.650000000000034</v>
      </c>
      <c r="G136" s="4">
        <f t="shared" si="8"/>
        <v>8.8778877887788654E-2</v>
      </c>
      <c r="J136" s="8">
        <v>300</v>
      </c>
      <c r="K136" s="4">
        <v>8.8778877887788654E-2</v>
      </c>
    </row>
    <row r="137" spans="1:11" x14ac:dyDescent="0.3">
      <c r="A137" s="8">
        <v>301</v>
      </c>
      <c r="B137" s="7">
        <f>SUM('Total Purchase Likelihood'!D$2:'Total Purchase Likelihood'!D137)</f>
        <v>142.10000000000002</v>
      </c>
      <c r="C137" s="7">
        <f>SUM('Total Purchase Likelihood'!C$2:C137)</f>
        <v>103.29999999999998</v>
      </c>
      <c r="E137" s="7">
        <f t="shared" si="6"/>
        <v>37.049999999999898</v>
      </c>
      <c r="F137" s="7">
        <f t="shared" si="7"/>
        <v>16.650000000000034</v>
      </c>
      <c r="G137" s="4">
        <f t="shared" si="8"/>
        <v>8.8613861386138498E-2</v>
      </c>
      <c r="J137" s="8">
        <v>301</v>
      </c>
      <c r="K137" s="4">
        <v>8.8613861386138498E-2</v>
      </c>
    </row>
    <row r="138" spans="1:11" x14ac:dyDescent="0.3">
      <c r="A138" s="8">
        <v>305</v>
      </c>
      <c r="B138" s="7">
        <f>SUM('Total Purchase Likelihood'!D$2:'Total Purchase Likelihood'!D138)</f>
        <v>142.10000000000002</v>
      </c>
      <c r="C138" s="7">
        <f>SUM('Total Purchase Likelihood'!C$2:C138)</f>
        <v>103.29999999999998</v>
      </c>
      <c r="E138" s="7">
        <f t="shared" si="6"/>
        <v>37.049999999999898</v>
      </c>
      <c r="F138" s="7">
        <f t="shared" si="7"/>
        <v>16.650000000000034</v>
      </c>
      <c r="G138" s="4">
        <f t="shared" si="8"/>
        <v>8.8613861386138498E-2</v>
      </c>
      <c r="J138" s="8">
        <v>305</v>
      </c>
      <c r="K138" s="4">
        <v>8.8613861386138498E-2</v>
      </c>
    </row>
    <row r="139" spans="1:11" x14ac:dyDescent="0.3">
      <c r="A139" s="8">
        <v>306</v>
      </c>
      <c r="B139" s="7">
        <f>SUM('Total Purchase Likelihood'!D$2:'Total Purchase Likelihood'!D139)</f>
        <v>142.10000000000002</v>
      </c>
      <c r="C139" s="7">
        <f>SUM('Total Purchase Likelihood'!C$2:C139)</f>
        <v>103.39999999999998</v>
      </c>
      <c r="E139" s="7">
        <f t="shared" si="6"/>
        <v>36.949999999999903</v>
      </c>
      <c r="F139" s="7">
        <f t="shared" si="7"/>
        <v>16.650000000000034</v>
      </c>
      <c r="G139" s="4">
        <f t="shared" si="8"/>
        <v>8.8448844884488342E-2</v>
      </c>
      <c r="J139" s="8">
        <v>306</v>
      </c>
      <c r="K139" s="4">
        <v>8.8448844884488342E-2</v>
      </c>
    </row>
    <row r="140" spans="1:11" x14ac:dyDescent="0.3">
      <c r="A140" s="8">
        <v>309</v>
      </c>
      <c r="B140" s="7">
        <f>SUM('Total Purchase Likelihood'!D$2:'Total Purchase Likelihood'!D140)</f>
        <v>142.10000000000002</v>
      </c>
      <c r="C140" s="7">
        <f>SUM('Total Purchase Likelihood'!C$2:C140)</f>
        <v>103.49999999999997</v>
      </c>
      <c r="E140" s="7">
        <f t="shared" si="6"/>
        <v>36.849999999999909</v>
      </c>
      <c r="F140" s="7">
        <f t="shared" si="7"/>
        <v>16.650000000000034</v>
      </c>
      <c r="G140" s="4">
        <f t="shared" si="8"/>
        <v>8.8283828382838186E-2</v>
      </c>
      <c r="J140" s="8">
        <v>309</v>
      </c>
      <c r="K140" s="4">
        <v>8.8283828382838186E-2</v>
      </c>
    </row>
    <row r="141" spans="1:11" x14ac:dyDescent="0.3">
      <c r="A141" s="8">
        <v>310</v>
      </c>
      <c r="B141" s="7">
        <f>SUM('Total Purchase Likelihood'!D$2:'Total Purchase Likelihood'!D141)</f>
        <v>142.10000000000002</v>
      </c>
      <c r="C141" s="7">
        <f>SUM('Total Purchase Likelihood'!C$2:C141)</f>
        <v>103.49999999999997</v>
      </c>
      <c r="E141" s="7">
        <f t="shared" si="6"/>
        <v>36.849999999999909</v>
      </c>
      <c r="F141" s="7">
        <f t="shared" si="7"/>
        <v>16.650000000000034</v>
      </c>
      <c r="G141" s="4">
        <f t="shared" si="8"/>
        <v>8.8283828382838186E-2</v>
      </c>
      <c r="J141" s="8">
        <v>310</v>
      </c>
      <c r="K141" s="4">
        <v>8.8283828382838186E-2</v>
      </c>
    </row>
    <row r="142" spans="1:11" x14ac:dyDescent="0.3">
      <c r="A142" s="8">
        <v>312</v>
      </c>
      <c r="B142" s="7">
        <f>SUM('Total Purchase Likelihood'!D$2:'Total Purchase Likelihood'!D142)</f>
        <v>142.60000000000002</v>
      </c>
      <c r="C142" s="7">
        <f>SUM('Total Purchase Likelihood'!C$2:C142)</f>
        <v>103.49999999999997</v>
      </c>
      <c r="E142" s="7">
        <f t="shared" si="6"/>
        <v>36.849999999999909</v>
      </c>
      <c r="F142" s="7">
        <f t="shared" si="7"/>
        <v>16.150000000000034</v>
      </c>
      <c r="G142" s="4">
        <f t="shared" si="8"/>
        <v>8.7458745874587365E-2</v>
      </c>
      <c r="J142" s="8">
        <v>312</v>
      </c>
      <c r="K142" s="4">
        <v>8.7458745874587365E-2</v>
      </c>
    </row>
    <row r="143" spans="1:11" x14ac:dyDescent="0.3">
      <c r="A143" s="8">
        <v>316</v>
      </c>
      <c r="B143" s="7">
        <f>SUM('Total Purchase Likelihood'!D$2:'Total Purchase Likelihood'!D143)</f>
        <v>142.60000000000002</v>
      </c>
      <c r="C143" s="7">
        <f>SUM('Total Purchase Likelihood'!C$2:C143)</f>
        <v>103.49999999999997</v>
      </c>
      <c r="E143" s="7">
        <f t="shared" si="6"/>
        <v>36.849999999999909</v>
      </c>
      <c r="F143" s="7">
        <f t="shared" si="7"/>
        <v>16.150000000000034</v>
      </c>
      <c r="G143" s="4">
        <f t="shared" si="8"/>
        <v>8.7458745874587365E-2</v>
      </c>
      <c r="J143" s="8">
        <v>316</v>
      </c>
      <c r="K143" s="4">
        <v>8.7458745874587365E-2</v>
      </c>
    </row>
    <row r="144" spans="1:11" x14ac:dyDescent="0.3">
      <c r="A144" s="8">
        <v>320</v>
      </c>
      <c r="B144" s="7">
        <f>SUM('Total Purchase Likelihood'!D$2:'Total Purchase Likelihood'!D144)</f>
        <v>143.85000000000002</v>
      </c>
      <c r="C144" s="7">
        <f>SUM('Total Purchase Likelihood'!C$2:C144)</f>
        <v>104.69999999999997</v>
      </c>
      <c r="E144" s="7">
        <f t="shared" si="6"/>
        <v>35.649999999999906</v>
      </c>
      <c r="F144" s="7">
        <f t="shared" si="7"/>
        <v>14.900000000000034</v>
      </c>
      <c r="G144" s="4">
        <f t="shared" si="8"/>
        <v>8.3415841584158323E-2</v>
      </c>
      <c r="J144" s="8">
        <v>320</v>
      </c>
      <c r="K144" s="4">
        <v>8.3415841584158323E-2</v>
      </c>
    </row>
    <row r="145" spans="1:11" x14ac:dyDescent="0.3">
      <c r="A145" s="8">
        <v>325</v>
      </c>
      <c r="B145" s="7">
        <f>SUM('Total Purchase Likelihood'!D$2:'Total Purchase Likelihood'!D145)</f>
        <v>143.85000000000002</v>
      </c>
      <c r="C145" s="7">
        <f>SUM('Total Purchase Likelihood'!C$2:C145)</f>
        <v>104.94999999999997</v>
      </c>
      <c r="E145" s="7">
        <f t="shared" si="6"/>
        <v>35.399999999999906</v>
      </c>
      <c r="F145" s="7">
        <f t="shared" si="7"/>
        <v>14.900000000000034</v>
      </c>
      <c r="G145" s="4">
        <f t="shared" si="8"/>
        <v>8.3003300330032906E-2</v>
      </c>
      <c r="J145" s="8">
        <v>325</v>
      </c>
      <c r="K145" s="4">
        <v>8.3003300330032906E-2</v>
      </c>
    </row>
    <row r="146" spans="1:11" x14ac:dyDescent="0.3">
      <c r="A146" s="8">
        <v>330</v>
      </c>
      <c r="B146" s="7">
        <f>SUM('Total Purchase Likelihood'!D$2:'Total Purchase Likelihood'!D146)</f>
        <v>143.85000000000002</v>
      </c>
      <c r="C146" s="7">
        <f>SUM('Total Purchase Likelihood'!C$2:C146)</f>
        <v>105.44999999999997</v>
      </c>
      <c r="E146" s="7">
        <f t="shared" si="6"/>
        <v>34.899999999999906</v>
      </c>
      <c r="F146" s="7">
        <f t="shared" si="7"/>
        <v>14.900000000000034</v>
      </c>
      <c r="G146" s="4">
        <f t="shared" si="8"/>
        <v>8.2178217821782085E-2</v>
      </c>
      <c r="J146" s="8">
        <v>330</v>
      </c>
      <c r="K146" s="4">
        <v>8.2178217821782085E-2</v>
      </c>
    </row>
    <row r="147" spans="1:11" x14ac:dyDescent="0.3">
      <c r="A147" s="8">
        <v>340</v>
      </c>
      <c r="B147" s="7">
        <f>SUM('Total Purchase Likelihood'!D$2:'Total Purchase Likelihood'!D147)</f>
        <v>143.85000000000002</v>
      </c>
      <c r="C147" s="7">
        <f>SUM('Total Purchase Likelihood'!C$2:C147)</f>
        <v>105.79999999999997</v>
      </c>
      <c r="E147" s="7">
        <f t="shared" si="6"/>
        <v>34.549999999999912</v>
      </c>
      <c r="F147" s="7">
        <f t="shared" si="7"/>
        <v>14.900000000000034</v>
      </c>
      <c r="G147" s="4">
        <f t="shared" si="8"/>
        <v>8.1600660066006511E-2</v>
      </c>
      <c r="J147" s="8">
        <v>340</v>
      </c>
      <c r="K147" s="4">
        <v>8.1600660066006511E-2</v>
      </c>
    </row>
    <row r="148" spans="1:11" x14ac:dyDescent="0.3">
      <c r="A148" s="8">
        <v>349</v>
      </c>
      <c r="B148" s="7">
        <f>SUM('Total Purchase Likelihood'!D$2:'Total Purchase Likelihood'!D148)</f>
        <v>143.85000000000002</v>
      </c>
      <c r="C148" s="7">
        <f>SUM('Total Purchase Likelihood'!C$2:C148)</f>
        <v>105.79999999999997</v>
      </c>
      <c r="E148" s="7">
        <f t="shared" si="6"/>
        <v>34.549999999999912</v>
      </c>
      <c r="F148" s="7">
        <f t="shared" si="7"/>
        <v>14.900000000000034</v>
      </c>
      <c r="G148" s="4">
        <f t="shared" si="8"/>
        <v>8.1600660066006511E-2</v>
      </c>
      <c r="J148" s="8">
        <v>349</v>
      </c>
      <c r="K148" s="4">
        <v>8.1600660066006511E-2</v>
      </c>
    </row>
    <row r="149" spans="1:11" x14ac:dyDescent="0.3">
      <c r="A149" s="8">
        <v>350</v>
      </c>
      <c r="B149" s="7">
        <f>SUM('Total Purchase Likelihood'!D$2:'Total Purchase Likelihood'!D149)</f>
        <v>148.85000000000002</v>
      </c>
      <c r="C149" s="7">
        <f>SUM('Total Purchase Likelihood'!C$2:C149)</f>
        <v>120.29999999999995</v>
      </c>
      <c r="E149" s="7">
        <f t="shared" si="6"/>
        <v>20.049999999999926</v>
      </c>
      <c r="F149" s="7">
        <f t="shared" si="7"/>
        <v>9.9000000000000341</v>
      </c>
      <c r="G149" s="4">
        <f t="shared" si="8"/>
        <v>4.942244224422436E-2</v>
      </c>
      <c r="J149" s="8">
        <v>350</v>
      </c>
      <c r="K149" s="4">
        <v>4.942244224422436E-2</v>
      </c>
    </row>
    <row r="150" spans="1:11" x14ac:dyDescent="0.3">
      <c r="A150" s="8">
        <v>351</v>
      </c>
      <c r="B150" s="7">
        <f>SUM('Total Purchase Likelihood'!D$2:'Total Purchase Likelihood'!D150)</f>
        <v>148.85000000000002</v>
      </c>
      <c r="C150" s="7">
        <f>SUM('Total Purchase Likelihood'!C$2:C150)</f>
        <v>120.29999999999995</v>
      </c>
      <c r="E150" s="7">
        <f t="shared" si="6"/>
        <v>20.049999999999926</v>
      </c>
      <c r="F150" s="7">
        <f t="shared" si="7"/>
        <v>9.9000000000000341</v>
      </c>
      <c r="G150" s="4">
        <f t="shared" si="8"/>
        <v>4.942244224422436E-2</v>
      </c>
      <c r="J150" s="8">
        <v>351</v>
      </c>
      <c r="K150" s="4">
        <v>4.942244224422436E-2</v>
      </c>
    </row>
    <row r="151" spans="1:11" x14ac:dyDescent="0.3">
      <c r="A151" s="8">
        <v>355</v>
      </c>
      <c r="B151" s="7">
        <f>SUM('Total Purchase Likelihood'!D$2:'Total Purchase Likelihood'!D151)</f>
        <v>148.85000000000002</v>
      </c>
      <c r="C151" s="7">
        <f>SUM('Total Purchase Likelihood'!C$2:C151)</f>
        <v>120.29999999999995</v>
      </c>
      <c r="E151" s="7">
        <f t="shared" si="6"/>
        <v>20.049999999999926</v>
      </c>
      <c r="F151" s="7">
        <f t="shared" si="7"/>
        <v>9.9000000000000341</v>
      </c>
      <c r="G151" s="4">
        <f t="shared" si="8"/>
        <v>4.942244224422436E-2</v>
      </c>
      <c r="J151" s="8">
        <v>355</v>
      </c>
      <c r="K151" s="4">
        <v>4.942244224422436E-2</v>
      </c>
    </row>
    <row r="152" spans="1:11" x14ac:dyDescent="0.3">
      <c r="A152" s="8">
        <v>360</v>
      </c>
      <c r="B152" s="7">
        <f>SUM('Total Purchase Likelihood'!D$2:'Total Purchase Likelihood'!D152)</f>
        <v>149.00000000000003</v>
      </c>
      <c r="C152" s="7">
        <f>SUM('Total Purchase Likelihood'!C$2:C152)</f>
        <v>121.64999999999995</v>
      </c>
      <c r="E152" s="7">
        <f t="shared" si="6"/>
        <v>18.699999999999932</v>
      </c>
      <c r="F152" s="7">
        <f t="shared" si="7"/>
        <v>9.7500000000000284</v>
      </c>
      <c r="G152" s="4">
        <f t="shared" si="8"/>
        <v>4.6947194719471882E-2</v>
      </c>
      <c r="J152" s="8">
        <v>360</v>
      </c>
      <c r="K152" s="4">
        <v>4.6947194719471882E-2</v>
      </c>
    </row>
    <row r="153" spans="1:11" x14ac:dyDescent="0.3">
      <c r="A153" s="8">
        <v>365</v>
      </c>
      <c r="B153" s="7">
        <f>SUM('Total Purchase Likelihood'!D$2:'Total Purchase Likelihood'!D153)</f>
        <v>149.00000000000003</v>
      </c>
      <c r="C153" s="7">
        <f>SUM('Total Purchase Likelihood'!C$2:C153)</f>
        <v>121.74999999999994</v>
      </c>
      <c r="E153" s="7">
        <f t="shared" si="6"/>
        <v>18.599999999999937</v>
      </c>
      <c r="F153" s="7">
        <f t="shared" si="7"/>
        <v>9.7500000000000284</v>
      </c>
      <c r="G153" s="4">
        <f t="shared" si="8"/>
        <v>4.6782178217821727E-2</v>
      </c>
      <c r="J153" s="8">
        <v>365</v>
      </c>
      <c r="K153" s="4">
        <v>4.6782178217821727E-2</v>
      </c>
    </row>
    <row r="154" spans="1:11" x14ac:dyDescent="0.3">
      <c r="A154" s="8">
        <v>369</v>
      </c>
      <c r="B154" s="7">
        <f>SUM('Total Purchase Likelihood'!D$2:'Total Purchase Likelihood'!D154)</f>
        <v>149.00000000000003</v>
      </c>
      <c r="C154" s="7">
        <f>SUM('Total Purchase Likelihood'!C$2:C154)</f>
        <v>121.99999999999994</v>
      </c>
      <c r="E154" s="7">
        <f t="shared" si="6"/>
        <v>18.349999999999937</v>
      </c>
      <c r="F154" s="7">
        <f t="shared" si="7"/>
        <v>9.7500000000000284</v>
      </c>
      <c r="G154" s="4">
        <f t="shared" si="8"/>
        <v>4.6369636963696316E-2</v>
      </c>
      <c r="J154" s="8">
        <v>369</v>
      </c>
      <c r="K154" s="4">
        <v>4.6369636963696316E-2</v>
      </c>
    </row>
    <row r="155" spans="1:11" x14ac:dyDescent="0.3">
      <c r="A155" s="8">
        <v>370</v>
      </c>
      <c r="B155" s="7">
        <f>SUM('Total Purchase Likelihood'!D$2:'Total Purchase Likelihood'!D155)</f>
        <v>149.65000000000003</v>
      </c>
      <c r="C155" s="7">
        <f>SUM('Total Purchase Likelihood'!C$2:C155)</f>
        <v>122.09999999999994</v>
      </c>
      <c r="E155" s="7">
        <f t="shared" si="6"/>
        <v>18.249999999999943</v>
      </c>
      <c r="F155" s="7">
        <f t="shared" si="7"/>
        <v>9.1000000000000227</v>
      </c>
      <c r="G155" s="4">
        <f t="shared" si="8"/>
        <v>4.5132013201320077E-2</v>
      </c>
      <c r="J155" s="8">
        <v>370</v>
      </c>
      <c r="K155" s="4">
        <v>4.5132013201320077E-2</v>
      </c>
    </row>
    <row r="156" spans="1:11" x14ac:dyDescent="0.3">
      <c r="A156" s="8">
        <v>375</v>
      </c>
      <c r="B156" s="7">
        <f>SUM('Total Purchase Likelihood'!D$2:'Total Purchase Likelihood'!D156)</f>
        <v>149.65000000000003</v>
      </c>
      <c r="C156" s="7">
        <f>SUM('Total Purchase Likelihood'!C$2:C156)</f>
        <v>122.34999999999994</v>
      </c>
      <c r="E156" s="7">
        <f t="shared" si="6"/>
        <v>17.999999999999943</v>
      </c>
      <c r="F156" s="7">
        <f t="shared" si="7"/>
        <v>9.1000000000000227</v>
      </c>
      <c r="G156" s="4">
        <f t="shared" si="8"/>
        <v>4.471947194719466E-2</v>
      </c>
      <c r="J156" s="8">
        <v>375</v>
      </c>
      <c r="K156" s="4">
        <v>4.471947194719466E-2</v>
      </c>
    </row>
    <row r="157" spans="1:11" x14ac:dyDescent="0.3">
      <c r="A157" s="8">
        <v>380</v>
      </c>
      <c r="B157" s="7">
        <f>SUM('Total Purchase Likelihood'!D$2:'Total Purchase Likelihood'!D157)</f>
        <v>149.65000000000003</v>
      </c>
      <c r="C157" s="7">
        <f>SUM('Total Purchase Likelihood'!C$2:C157)</f>
        <v>125.69999999999993</v>
      </c>
      <c r="E157" s="7">
        <f t="shared" si="6"/>
        <v>14.649999999999949</v>
      </c>
      <c r="F157" s="7">
        <f t="shared" si="7"/>
        <v>9.1000000000000227</v>
      </c>
      <c r="G157" s="4">
        <f t="shared" si="8"/>
        <v>3.9191419141914145E-2</v>
      </c>
      <c r="J157" s="8">
        <v>380</v>
      </c>
      <c r="K157" s="4">
        <v>3.9191419141914145E-2</v>
      </c>
    </row>
    <row r="158" spans="1:11" x14ac:dyDescent="0.3">
      <c r="A158" s="8">
        <v>390</v>
      </c>
      <c r="B158" s="7">
        <f>SUM('Total Purchase Likelihood'!D$2:'Total Purchase Likelihood'!D158)</f>
        <v>149.65000000000003</v>
      </c>
      <c r="C158" s="7">
        <f>SUM('Total Purchase Likelihood'!C$2:C158)</f>
        <v>126.44999999999993</v>
      </c>
      <c r="E158" s="7">
        <f t="shared" si="6"/>
        <v>13.899999999999949</v>
      </c>
      <c r="F158" s="7">
        <f t="shared" si="7"/>
        <v>9.1000000000000227</v>
      </c>
      <c r="G158" s="4">
        <f t="shared" si="8"/>
        <v>3.7953795379537907E-2</v>
      </c>
      <c r="J158" s="8">
        <v>390</v>
      </c>
      <c r="K158" s="4">
        <v>3.7953795379537907E-2</v>
      </c>
    </row>
    <row r="159" spans="1:11" x14ac:dyDescent="0.3">
      <c r="A159" s="8">
        <v>398</v>
      </c>
      <c r="B159" s="7">
        <f>SUM('Total Purchase Likelihood'!D$2:'Total Purchase Likelihood'!D159)</f>
        <v>149.65000000000003</v>
      </c>
      <c r="C159" s="7">
        <f>SUM('Total Purchase Likelihood'!C$2:C159)</f>
        <v>127.19999999999993</v>
      </c>
      <c r="E159" s="7">
        <f t="shared" si="6"/>
        <v>13.149999999999949</v>
      </c>
      <c r="F159" s="7">
        <f t="shared" si="7"/>
        <v>9.1000000000000227</v>
      </c>
      <c r="G159" s="4">
        <f t="shared" si="8"/>
        <v>3.6716171617161668E-2</v>
      </c>
      <c r="J159" s="8">
        <v>398</v>
      </c>
      <c r="K159" s="4">
        <v>3.6716171617161668E-2</v>
      </c>
    </row>
    <row r="160" spans="1:11" x14ac:dyDescent="0.3">
      <c r="A160" s="8">
        <v>399</v>
      </c>
      <c r="B160" s="7">
        <f>SUM('Total Purchase Likelihood'!D$2:'Total Purchase Likelihood'!D160)</f>
        <v>150.25000000000003</v>
      </c>
      <c r="C160" s="7">
        <f>SUM('Total Purchase Likelihood'!C$2:C160)</f>
        <v>127.29999999999993</v>
      </c>
      <c r="E160" s="7">
        <f t="shared" si="6"/>
        <v>13.049999999999955</v>
      </c>
      <c r="F160" s="7">
        <f t="shared" si="7"/>
        <v>8.5000000000000284</v>
      </c>
      <c r="G160" s="4">
        <f t="shared" si="8"/>
        <v>3.5561056105610535E-2</v>
      </c>
      <c r="J160" s="8">
        <v>399</v>
      </c>
      <c r="K160" s="4">
        <v>3.5561056105610535E-2</v>
      </c>
    </row>
    <row r="161" spans="1:11" x14ac:dyDescent="0.3">
      <c r="A161" s="8">
        <v>400</v>
      </c>
      <c r="B161" s="7">
        <f>SUM('Total Purchase Likelihood'!D$2:'Total Purchase Likelihood'!D161)</f>
        <v>154.65000000000003</v>
      </c>
      <c r="C161" s="7">
        <f>SUM('Total Purchase Likelihood'!C$2:C161)</f>
        <v>130.54999999999993</v>
      </c>
      <c r="E161" s="7">
        <f t="shared" si="6"/>
        <v>9.7999999999999545</v>
      </c>
      <c r="F161" s="7">
        <f t="shared" si="7"/>
        <v>4.1000000000000227</v>
      </c>
      <c r="G161" s="4">
        <f t="shared" si="8"/>
        <v>2.29372937293729E-2</v>
      </c>
      <c r="J161" s="8">
        <v>400</v>
      </c>
      <c r="K161" s="4">
        <v>2.29372937293729E-2</v>
      </c>
    </row>
    <row r="162" spans="1:11" x14ac:dyDescent="0.3">
      <c r="A162" s="8">
        <v>410</v>
      </c>
      <c r="B162" s="7">
        <f>SUM('Total Purchase Likelihood'!D$2:'Total Purchase Likelihood'!D162)</f>
        <v>154.65000000000003</v>
      </c>
      <c r="C162" s="7">
        <f>SUM('Total Purchase Likelihood'!C$2:C162)</f>
        <v>130.54999999999993</v>
      </c>
      <c r="E162" s="7">
        <f t="shared" si="6"/>
        <v>9.7999999999999545</v>
      </c>
      <c r="F162" s="7">
        <f t="shared" si="7"/>
        <v>4.1000000000000227</v>
      </c>
      <c r="G162" s="4">
        <f t="shared" si="8"/>
        <v>2.29372937293729E-2</v>
      </c>
      <c r="J162" s="8">
        <v>410</v>
      </c>
      <c r="K162" s="4">
        <v>2.29372937293729E-2</v>
      </c>
    </row>
    <row r="163" spans="1:11" x14ac:dyDescent="0.3">
      <c r="A163" s="8">
        <v>415</v>
      </c>
      <c r="B163" s="7">
        <f>SUM('Total Purchase Likelihood'!D$2:'Total Purchase Likelihood'!D163)</f>
        <v>154.65000000000003</v>
      </c>
      <c r="C163" s="7">
        <f>SUM('Total Purchase Likelihood'!C$2:C163)</f>
        <v>130.64999999999992</v>
      </c>
      <c r="E163" s="7">
        <f t="shared" si="6"/>
        <v>9.6999999999999602</v>
      </c>
      <c r="F163" s="7">
        <f t="shared" si="7"/>
        <v>4.1000000000000227</v>
      </c>
      <c r="G163" s="4">
        <f t="shared" si="8"/>
        <v>2.2772277227722744E-2</v>
      </c>
      <c r="J163" s="8">
        <v>415</v>
      </c>
      <c r="K163" s="4">
        <v>2.2772277227722744E-2</v>
      </c>
    </row>
    <row r="164" spans="1:11" x14ac:dyDescent="0.3">
      <c r="A164" s="8">
        <v>420</v>
      </c>
      <c r="B164" s="7">
        <f>SUM('Total Purchase Likelihood'!D$2:'Total Purchase Likelihood'!D164)</f>
        <v>154.65000000000003</v>
      </c>
      <c r="C164" s="7">
        <f>SUM('Total Purchase Likelihood'!C$2:C164)</f>
        <v>130.89999999999992</v>
      </c>
      <c r="E164" s="7">
        <f t="shared" si="6"/>
        <v>9.4499999999999602</v>
      </c>
      <c r="F164" s="7">
        <f t="shared" si="7"/>
        <v>4.1000000000000227</v>
      </c>
      <c r="G164" s="4">
        <f t="shared" si="8"/>
        <v>2.235973597359733E-2</v>
      </c>
      <c r="J164" s="8">
        <v>420</v>
      </c>
      <c r="K164" s="4">
        <v>2.235973597359733E-2</v>
      </c>
    </row>
    <row r="165" spans="1:11" x14ac:dyDescent="0.3">
      <c r="A165" s="8">
        <v>425</v>
      </c>
      <c r="B165" s="7">
        <f>SUM('Total Purchase Likelihood'!D$2:'Total Purchase Likelihood'!D165)</f>
        <v>154.65000000000003</v>
      </c>
      <c r="C165" s="7">
        <f>SUM('Total Purchase Likelihood'!C$2:C165)</f>
        <v>130.89999999999992</v>
      </c>
      <c r="E165" s="7">
        <f t="shared" si="6"/>
        <v>9.4499999999999602</v>
      </c>
      <c r="F165" s="7">
        <f t="shared" si="7"/>
        <v>4.1000000000000227</v>
      </c>
      <c r="G165" s="4">
        <f t="shared" si="8"/>
        <v>2.235973597359733E-2</v>
      </c>
      <c r="J165" s="8">
        <v>425</v>
      </c>
      <c r="K165" s="4">
        <v>2.235973597359733E-2</v>
      </c>
    </row>
    <row r="166" spans="1:11" x14ac:dyDescent="0.3">
      <c r="A166" s="8">
        <v>430</v>
      </c>
      <c r="B166" s="7">
        <f>SUM('Total Purchase Likelihood'!D$2:'Total Purchase Likelihood'!D166)</f>
        <v>155.15000000000003</v>
      </c>
      <c r="C166" s="7">
        <f>SUM('Total Purchase Likelihood'!C$2:C166)</f>
        <v>131.24999999999991</v>
      </c>
      <c r="E166" s="7">
        <f t="shared" si="6"/>
        <v>9.0999999999999659</v>
      </c>
      <c r="F166" s="7">
        <f t="shared" si="7"/>
        <v>3.6000000000000227</v>
      </c>
      <c r="G166" s="4">
        <f t="shared" si="8"/>
        <v>2.0957095709570939E-2</v>
      </c>
      <c r="J166" s="8">
        <v>430</v>
      </c>
      <c r="K166" s="4">
        <v>2.0957095709570939E-2</v>
      </c>
    </row>
    <row r="167" spans="1:11" x14ac:dyDescent="0.3">
      <c r="A167" s="8">
        <v>440</v>
      </c>
      <c r="B167" s="7">
        <f>SUM('Total Purchase Likelihood'!D$2:'Total Purchase Likelihood'!D167)</f>
        <v>155.15000000000003</v>
      </c>
      <c r="C167" s="7">
        <f>SUM('Total Purchase Likelihood'!C$2:C167)</f>
        <v>131.74999999999991</v>
      </c>
      <c r="E167" s="7">
        <f t="shared" si="6"/>
        <v>8.5999999999999659</v>
      </c>
      <c r="F167" s="7">
        <f t="shared" si="7"/>
        <v>3.6000000000000227</v>
      </c>
      <c r="G167" s="4">
        <f t="shared" si="8"/>
        <v>2.0132013201320114E-2</v>
      </c>
      <c r="J167" s="8">
        <v>440</v>
      </c>
      <c r="K167" s="4">
        <v>2.0132013201320114E-2</v>
      </c>
    </row>
    <row r="168" spans="1:11" x14ac:dyDescent="0.3">
      <c r="A168" s="8">
        <v>449</v>
      </c>
      <c r="B168" s="7">
        <f>SUM('Total Purchase Likelihood'!D$2:'Total Purchase Likelihood'!D168)</f>
        <v>155.15000000000003</v>
      </c>
      <c r="C168" s="7">
        <f>SUM('Total Purchase Likelihood'!C$2:C168)</f>
        <v>131.74999999999991</v>
      </c>
      <c r="E168" s="7">
        <f t="shared" si="6"/>
        <v>8.5999999999999659</v>
      </c>
      <c r="F168" s="7">
        <f t="shared" si="7"/>
        <v>3.6000000000000227</v>
      </c>
      <c r="G168" s="4">
        <f t="shared" si="8"/>
        <v>2.0132013201320114E-2</v>
      </c>
      <c r="J168" s="8">
        <v>449</v>
      </c>
      <c r="K168" s="4">
        <v>2.0132013201320114E-2</v>
      </c>
    </row>
    <row r="169" spans="1:11" x14ac:dyDescent="0.3">
      <c r="A169" s="8">
        <v>450</v>
      </c>
      <c r="B169" s="7">
        <f>SUM('Total Purchase Likelihood'!D$2:'Total Purchase Likelihood'!D169)</f>
        <v>155.80000000000004</v>
      </c>
      <c r="C169" s="7">
        <f>SUM('Total Purchase Likelihood'!C$2:C169)</f>
        <v>134.6999999999999</v>
      </c>
      <c r="E169" s="7">
        <f t="shared" si="6"/>
        <v>5.6499999999999773</v>
      </c>
      <c r="F169" s="7">
        <f t="shared" si="7"/>
        <v>2.9500000000000171</v>
      </c>
      <c r="G169" s="4">
        <f t="shared" si="8"/>
        <v>1.4191419141914182E-2</v>
      </c>
      <c r="J169" s="8">
        <v>450</v>
      </c>
      <c r="K169" s="4">
        <v>1.4191419141914182E-2</v>
      </c>
    </row>
    <row r="170" spans="1:11" x14ac:dyDescent="0.3">
      <c r="A170" s="8">
        <v>458</v>
      </c>
      <c r="B170" s="7">
        <f>SUM('Total Purchase Likelihood'!D$2:'Total Purchase Likelihood'!D170)</f>
        <v>155.80000000000004</v>
      </c>
      <c r="C170" s="7">
        <f>SUM('Total Purchase Likelihood'!C$2:C170)</f>
        <v>134.6999999999999</v>
      </c>
      <c r="E170" s="7">
        <f t="shared" si="6"/>
        <v>5.6499999999999773</v>
      </c>
      <c r="F170" s="7">
        <f t="shared" si="7"/>
        <v>2.9500000000000171</v>
      </c>
      <c r="G170" s="4">
        <f t="shared" si="8"/>
        <v>1.4191419141914182E-2</v>
      </c>
      <c r="J170" s="8">
        <v>458</v>
      </c>
      <c r="K170" s="4">
        <v>1.4191419141914182E-2</v>
      </c>
    </row>
    <row r="171" spans="1:11" x14ac:dyDescent="0.3">
      <c r="A171" s="8">
        <v>460</v>
      </c>
      <c r="B171" s="7">
        <f>SUM('Total Purchase Likelihood'!D$2:'Total Purchase Likelihood'!D171)</f>
        <v>155.80000000000004</v>
      </c>
      <c r="C171" s="7">
        <f>SUM('Total Purchase Likelihood'!C$2:C171)</f>
        <v>134.6999999999999</v>
      </c>
      <c r="E171" s="7">
        <f t="shared" si="6"/>
        <v>5.6499999999999773</v>
      </c>
      <c r="F171" s="7">
        <f t="shared" si="7"/>
        <v>2.9500000000000171</v>
      </c>
      <c r="G171" s="4">
        <f t="shared" si="8"/>
        <v>1.4191419141914182E-2</v>
      </c>
      <c r="J171" s="8">
        <v>460</v>
      </c>
      <c r="K171" s="4">
        <v>1.4191419141914182E-2</v>
      </c>
    </row>
    <row r="172" spans="1:11" x14ac:dyDescent="0.3">
      <c r="A172" s="8">
        <v>470</v>
      </c>
      <c r="B172" s="7">
        <f>SUM('Total Purchase Likelihood'!D$2:'Total Purchase Likelihood'!D172)</f>
        <v>155.80000000000004</v>
      </c>
      <c r="C172" s="7">
        <f>SUM('Total Purchase Likelihood'!C$2:C172)</f>
        <v>134.7999999999999</v>
      </c>
      <c r="E172" s="7">
        <f t="shared" si="6"/>
        <v>5.5499999999999829</v>
      </c>
      <c r="F172" s="7">
        <f t="shared" si="7"/>
        <v>2.9500000000000171</v>
      </c>
      <c r="G172" s="4">
        <f t="shared" si="8"/>
        <v>1.4026402640264026E-2</v>
      </c>
      <c r="J172" s="8">
        <v>470</v>
      </c>
      <c r="K172" s="4">
        <v>1.4026402640264026E-2</v>
      </c>
    </row>
    <row r="173" spans="1:11" x14ac:dyDescent="0.3">
      <c r="A173" s="8">
        <v>480</v>
      </c>
      <c r="B173" s="7">
        <f>SUM('Total Purchase Likelihood'!D$2:'Total Purchase Likelihood'!D173)</f>
        <v>155.80000000000004</v>
      </c>
      <c r="C173" s="7">
        <f>SUM('Total Purchase Likelihood'!C$2:C173)</f>
        <v>134.7999999999999</v>
      </c>
      <c r="E173" s="7">
        <f t="shared" si="6"/>
        <v>5.5499999999999829</v>
      </c>
      <c r="F173" s="7">
        <f t="shared" si="7"/>
        <v>2.9500000000000171</v>
      </c>
      <c r="G173" s="4">
        <f t="shared" si="8"/>
        <v>1.4026402640264026E-2</v>
      </c>
      <c r="J173" s="8">
        <v>480</v>
      </c>
      <c r="K173" s="4">
        <v>1.4026402640264026E-2</v>
      </c>
    </row>
    <row r="174" spans="1:11" x14ac:dyDescent="0.3">
      <c r="A174" s="8">
        <v>499</v>
      </c>
      <c r="B174" s="7">
        <f>SUM('Total Purchase Likelihood'!D$2:'Total Purchase Likelihood'!D174)</f>
        <v>155.80000000000004</v>
      </c>
      <c r="C174" s="7">
        <f>SUM('Total Purchase Likelihood'!C$2:C174)</f>
        <v>134.89999999999989</v>
      </c>
      <c r="E174" s="7">
        <f t="shared" si="6"/>
        <v>5.4499999999999886</v>
      </c>
      <c r="F174" s="7">
        <f t="shared" si="7"/>
        <v>2.9500000000000171</v>
      </c>
      <c r="G174" s="4">
        <f t="shared" si="8"/>
        <v>1.386138613861387E-2</v>
      </c>
      <c r="J174" s="8">
        <v>499</v>
      </c>
      <c r="K174" s="4">
        <v>1.386138613861387E-2</v>
      </c>
    </row>
    <row r="175" spans="1:11" x14ac:dyDescent="0.3">
      <c r="A175" s="8">
        <v>500</v>
      </c>
      <c r="B175" s="7">
        <f>SUM('Total Purchase Likelihood'!D$2:'Total Purchase Likelihood'!D175)</f>
        <v>157.10000000000005</v>
      </c>
      <c r="C175" s="7">
        <f>SUM('Total Purchase Likelihood'!C$2:C175)</f>
        <v>137.0499999999999</v>
      </c>
      <c r="E175" s="7">
        <f t="shared" si="6"/>
        <v>3.2999999999999829</v>
      </c>
      <c r="F175" s="7">
        <f t="shared" si="7"/>
        <v>1.6500000000000057</v>
      </c>
      <c r="G175" s="4">
        <f t="shared" si="8"/>
        <v>8.1683168316831496E-3</v>
      </c>
      <c r="J175" s="8">
        <v>500</v>
      </c>
      <c r="K175" s="4">
        <v>8.1683168316831496E-3</v>
      </c>
    </row>
    <row r="176" spans="1:11" x14ac:dyDescent="0.3">
      <c r="A176" s="8">
        <v>550</v>
      </c>
      <c r="B176" s="7">
        <f>SUM('Total Purchase Likelihood'!D$2:'Total Purchase Likelihood'!D176)</f>
        <v>157.75000000000006</v>
      </c>
      <c r="C176" s="7">
        <f>SUM('Total Purchase Likelihood'!C$2:C176)</f>
        <v>137.64999999999989</v>
      </c>
      <c r="E176" s="7">
        <f t="shared" si="6"/>
        <v>2.6999999999999886</v>
      </c>
      <c r="F176" s="7">
        <f t="shared" si="7"/>
        <v>1</v>
      </c>
      <c r="G176" s="4">
        <f t="shared" si="8"/>
        <v>6.105610561056087E-3</v>
      </c>
      <c r="J176" s="8">
        <v>550</v>
      </c>
      <c r="K176" s="4">
        <v>6.105610561056087E-3</v>
      </c>
    </row>
    <row r="177" spans="1:11" x14ac:dyDescent="0.3">
      <c r="A177" s="8">
        <v>570</v>
      </c>
      <c r="B177" s="7">
        <f>SUM('Total Purchase Likelihood'!D$2:'Total Purchase Likelihood'!D177)</f>
        <v>157.75000000000006</v>
      </c>
      <c r="C177" s="7">
        <f>SUM('Total Purchase Likelihood'!C$2:C177)</f>
        <v>137.74999999999989</v>
      </c>
      <c r="E177" s="7">
        <f t="shared" si="6"/>
        <v>2.5999999999999943</v>
      </c>
      <c r="F177" s="7">
        <f t="shared" si="7"/>
        <v>1</v>
      </c>
      <c r="G177" s="4">
        <f t="shared" si="8"/>
        <v>5.9405940594059311E-3</v>
      </c>
      <c r="J177" s="8">
        <v>570</v>
      </c>
      <c r="K177" s="4">
        <v>5.9405940594059311E-3</v>
      </c>
    </row>
    <row r="178" spans="1:11" x14ac:dyDescent="0.3">
      <c r="A178" s="8">
        <v>575</v>
      </c>
      <c r="B178" s="7">
        <f>SUM('Total Purchase Likelihood'!D$2:'Total Purchase Likelihood'!D178)</f>
        <v>157.75000000000006</v>
      </c>
      <c r="C178" s="7">
        <f>SUM('Total Purchase Likelihood'!C$2:C178)</f>
        <v>137.84999999999988</v>
      </c>
      <c r="E178" s="7">
        <f t="shared" si="6"/>
        <v>2.5</v>
      </c>
      <c r="F178" s="7">
        <f t="shared" si="7"/>
        <v>1</v>
      </c>
      <c r="G178" s="4">
        <f t="shared" si="8"/>
        <v>5.7755775577557752E-3</v>
      </c>
      <c r="J178" s="8">
        <v>575</v>
      </c>
      <c r="K178" s="4">
        <v>5.7755775577557752E-3</v>
      </c>
    </row>
    <row r="179" spans="1:11" x14ac:dyDescent="0.3">
      <c r="A179" s="8">
        <v>579</v>
      </c>
      <c r="B179" s="7">
        <f>SUM('Total Purchase Likelihood'!D$2:'Total Purchase Likelihood'!D179)</f>
        <v>157.75000000000006</v>
      </c>
      <c r="C179" s="7">
        <f>SUM('Total Purchase Likelihood'!C$2:C179)</f>
        <v>137.84999999999988</v>
      </c>
      <c r="E179" s="7">
        <f t="shared" si="6"/>
        <v>2.5</v>
      </c>
      <c r="F179" s="7">
        <f t="shared" si="7"/>
        <v>1</v>
      </c>
      <c r="G179" s="4">
        <f t="shared" si="8"/>
        <v>5.7755775577557752E-3</v>
      </c>
      <c r="J179" s="8">
        <v>579</v>
      </c>
      <c r="K179" s="4">
        <v>5.7755775577557752E-3</v>
      </c>
    </row>
    <row r="180" spans="1:11" x14ac:dyDescent="0.3">
      <c r="A180" s="8">
        <v>600</v>
      </c>
      <c r="B180" s="7">
        <f>SUM('Total Purchase Likelihood'!D$2:'Total Purchase Likelihood'!D180)</f>
        <v>158.75000000000006</v>
      </c>
      <c r="C180" s="7">
        <f>SUM('Total Purchase Likelihood'!C$2:C180)</f>
        <v>139.74999999999989</v>
      </c>
      <c r="E180" s="7">
        <f t="shared" si="6"/>
        <v>0.59999999999999432</v>
      </c>
      <c r="F180" s="7">
        <f t="shared" si="7"/>
        <v>0</v>
      </c>
      <c r="G180" s="4">
        <f t="shared" si="8"/>
        <v>9.9009900990098079E-4</v>
      </c>
      <c r="J180" s="8">
        <v>600</v>
      </c>
      <c r="K180" s="4">
        <v>9.9009900990098079E-4</v>
      </c>
    </row>
    <row r="181" spans="1:11" x14ac:dyDescent="0.3">
      <c r="A181" s="8">
        <v>630</v>
      </c>
      <c r="B181" s="7">
        <f>SUM('Total Purchase Likelihood'!D$2:'Total Purchase Likelihood'!D181)</f>
        <v>158.75000000000006</v>
      </c>
      <c r="C181" s="7">
        <f>SUM('Total Purchase Likelihood'!C$2:C181)</f>
        <v>139.74999999999989</v>
      </c>
      <c r="E181" s="7">
        <f t="shared" si="6"/>
        <v>0.59999999999999432</v>
      </c>
      <c r="F181" s="7">
        <f t="shared" si="7"/>
        <v>0</v>
      </c>
      <c r="G181" s="4">
        <f t="shared" si="8"/>
        <v>9.9009900990098079E-4</v>
      </c>
      <c r="J181" s="8">
        <v>630</v>
      </c>
      <c r="K181" s="4">
        <v>9.9009900990098079E-4</v>
      </c>
    </row>
    <row r="182" spans="1:11" x14ac:dyDescent="0.3">
      <c r="A182" s="8">
        <v>650</v>
      </c>
      <c r="B182" s="7">
        <f>SUM('Total Purchase Likelihood'!D$2:'Total Purchase Likelihood'!D182)</f>
        <v>158.75000000000006</v>
      </c>
      <c r="C182" s="7">
        <f>SUM('Total Purchase Likelihood'!C$2:C182)</f>
        <v>139.84999999999988</v>
      </c>
      <c r="E182" s="7">
        <f t="shared" si="6"/>
        <v>0.5</v>
      </c>
      <c r="F182" s="7">
        <f t="shared" si="7"/>
        <v>0</v>
      </c>
      <c r="G182" s="4">
        <f t="shared" si="8"/>
        <v>8.2508250825082509E-4</v>
      </c>
      <c r="J182" s="8">
        <v>650</v>
      </c>
      <c r="K182" s="4">
        <v>8.2508250825082509E-4</v>
      </c>
    </row>
    <row r="183" spans="1:11" x14ac:dyDescent="0.3">
      <c r="A183" s="8">
        <v>670</v>
      </c>
      <c r="B183" s="7">
        <f>SUM('Total Purchase Likelihood'!D$2:'Total Purchase Likelihood'!D183)</f>
        <v>158.75000000000006</v>
      </c>
      <c r="C183" s="7">
        <f>SUM('Total Purchase Likelihood'!C$2:C183)</f>
        <v>139.84999999999988</v>
      </c>
      <c r="E183" s="7">
        <f t="shared" si="6"/>
        <v>0.5</v>
      </c>
      <c r="F183" s="7">
        <f t="shared" si="7"/>
        <v>0</v>
      </c>
      <c r="G183" s="4">
        <f t="shared" si="8"/>
        <v>8.2508250825082509E-4</v>
      </c>
      <c r="J183" s="8">
        <v>670</v>
      </c>
      <c r="K183" s="4">
        <v>8.2508250825082509E-4</v>
      </c>
    </row>
    <row r="184" spans="1:11" x14ac:dyDescent="0.3">
      <c r="A184" s="8">
        <v>679</v>
      </c>
      <c r="B184" s="7">
        <f>SUM('Total Purchase Likelihood'!D$2:'Total Purchase Likelihood'!D184)</f>
        <v>158.75000000000006</v>
      </c>
      <c r="C184" s="7">
        <f>SUM('Total Purchase Likelihood'!C$2:C184)</f>
        <v>139.84999999999988</v>
      </c>
      <c r="E184" s="7">
        <f t="shared" si="6"/>
        <v>0.5</v>
      </c>
      <c r="F184" s="7">
        <f t="shared" si="7"/>
        <v>0</v>
      </c>
      <c r="G184" s="4">
        <f t="shared" si="8"/>
        <v>8.2508250825082509E-4</v>
      </c>
      <c r="J184" s="8">
        <v>679</v>
      </c>
      <c r="K184" s="4">
        <v>8.2508250825082509E-4</v>
      </c>
    </row>
    <row r="185" spans="1:11" x14ac:dyDescent="0.3">
      <c r="A185" s="8">
        <v>699</v>
      </c>
      <c r="B185" s="7">
        <f>SUM('Total Purchase Likelihood'!D$2:'Total Purchase Likelihood'!D185)</f>
        <v>158.75000000000006</v>
      </c>
      <c r="C185" s="7">
        <f>SUM('Total Purchase Likelihood'!C$2:C185)</f>
        <v>139.84999999999988</v>
      </c>
      <c r="E185" s="7">
        <f t="shared" si="6"/>
        <v>0.5</v>
      </c>
      <c r="F185" s="7">
        <f t="shared" si="7"/>
        <v>0</v>
      </c>
      <c r="G185" s="4">
        <f t="shared" si="8"/>
        <v>8.2508250825082509E-4</v>
      </c>
      <c r="J185" s="8">
        <v>699</v>
      </c>
      <c r="K185" s="4">
        <v>8.2508250825082509E-4</v>
      </c>
    </row>
    <row r="186" spans="1:11" x14ac:dyDescent="0.3">
      <c r="A186" s="8">
        <v>700</v>
      </c>
      <c r="B186" s="7">
        <f>SUM('Total Purchase Likelihood'!D$2:'Total Purchase Likelihood'!D186)</f>
        <v>158.75000000000006</v>
      </c>
      <c r="C186" s="7">
        <f>SUM('Total Purchase Likelihood'!C$2:C186)</f>
        <v>140.34999999999988</v>
      </c>
      <c r="E186" s="7">
        <f t="shared" si="6"/>
        <v>0</v>
      </c>
      <c r="F186" s="7">
        <f t="shared" si="7"/>
        <v>0</v>
      </c>
      <c r="G186" s="4">
        <f t="shared" si="8"/>
        <v>0</v>
      </c>
      <c r="J186" s="8">
        <v>700</v>
      </c>
      <c r="K186" s="4">
        <v>0</v>
      </c>
    </row>
    <row r="187" spans="1:11" x14ac:dyDescent="0.3">
      <c r="A187" s="8">
        <v>750</v>
      </c>
      <c r="B187" s="7">
        <f>SUM('Total Purchase Likelihood'!D$2:'Total Purchase Likelihood'!D187)</f>
        <v>158.75000000000006</v>
      </c>
      <c r="C187" s="7">
        <f>SUM('Total Purchase Likelihood'!C$2:C187)</f>
        <v>140.34999999999988</v>
      </c>
      <c r="E187" s="7">
        <f t="shared" si="6"/>
        <v>0</v>
      </c>
      <c r="F187" s="7">
        <f t="shared" si="7"/>
        <v>0</v>
      </c>
      <c r="G187" s="4">
        <f t="shared" si="8"/>
        <v>0</v>
      </c>
      <c r="J187" s="8">
        <v>750</v>
      </c>
      <c r="K187" s="4">
        <v>0</v>
      </c>
    </row>
    <row r="188" spans="1:11" x14ac:dyDescent="0.3">
      <c r="A188" s="8">
        <v>800</v>
      </c>
      <c r="B188" s="7">
        <f>SUM('Total Purchase Likelihood'!D$2:'Total Purchase Likelihood'!D188)</f>
        <v>158.75000000000006</v>
      </c>
      <c r="C188" s="7">
        <f>SUM('Total Purchase Likelihood'!C$2:C188)</f>
        <v>140.34999999999988</v>
      </c>
      <c r="E188" s="7">
        <f t="shared" si="6"/>
        <v>0</v>
      </c>
      <c r="F188" s="7">
        <f t="shared" si="7"/>
        <v>0</v>
      </c>
      <c r="G188" s="4">
        <f t="shared" si="8"/>
        <v>0</v>
      </c>
      <c r="J188" s="8">
        <v>800</v>
      </c>
      <c r="K188" s="4">
        <v>0</v>
      </c>
    </row>
    <row r="189" spans="1:11" x14ac:dyDescent="0.3">
      <c r="A189" s="8">
        <v>900</v>
      </c>
      <c r="B189" s="7">
        <f>SUM('Total Purchase Likelihood'!D$2:'Total Purchase Likelihood'!D189)</f>
        <v>158.75000000000006</v>
      </c>
      <c r="C189" s="7">
        <f>SUM('Total Purchase Likelihood'!C$2:C189)</f>
        <v>140.34999999999988</v>
      </c>
      <c r="E189" s="7">
        <f t="shared" si="6"/>
        <v>0</v>
      </c>
      <c r="F189" s="7">
        <f t="shared" si="7"/>
        <v>0</v>
      </c>
      <c r="G189" s="4">
        <f t="shared" si="8"/>
        <v>0</v>
      </c>
      <c r="J189" s="8">
        <v>900</v>
      </c>
      <c r="K189" s="4">
        <v>0</v>
      </c>
    </row>
    <row r="190" spans="1:11" x14ac:dyDescent="0.3">
      <c r="A190" s="8">
        <v>1000</v>
      </c>
      <c r="B190" s="7">
        <f>SUM('Total Purchase Likelihood'!D$2:'Total Purchase Likelihood'!D190)</f>
        <v>158.75000000000006</v>
      </c>
      <c r="C190" s="7">
        <f>SUM('Total Purchase Likelihood'!C$2:C190)</f>
        <v>140.34999999999988</v>
      </c>
      <c r="E190" s="7">
        <f t="shared" si="6"/>
        <v>0</v>
      </c>
      <c r="F190" s="7">
        <f t="shared" si="7"/>
        <v>0</v>
      </c>
      <c r="G190" s="4">
        <f t="shared" si="8"/>
        <v>0</v>
      </c>
      <c r="J190" s="8">
        <v>1000</v>
      </c>
      <c r="K190" s="4">
        <v>0</v>
      </c>
    </row>
    <row r="191" spans="1:11" x14ac:dyDescent="0.3">
      <c r="A191" s="8">
        <v>3000</v>
      </c>
      <c r="B191" s="7">
        <f>SUM('Total Purchase Likelihood'!D$2:'Total Purchase Likelihood'!D191)</f>
        <v>158.75000000000006</v>
      </c>
      <c r="C191" s="7">
        <f>SUM('Total Purchase Likelihood'!C$2:C191)</f>
        <v>140.34999999999988</v>
      </c>
      <c r="E191" s="7">
        <f t="shared" si="6"/>
        <v>0</v>
      </c>
      <c r="F191" s="7">
        <f t="shared" si="7"/>
        <v>0</v>
      </c>
      <c r="G191" s="4">
        <f t="shared" si="8"/>
        <v>0</v>
      </c>
      <c r="J191" s="8">
        <v>3000</v>
      </c>
      <c r="K191" s="4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08A8A-714F-2D4A-91C7-EB9701BF323A}">
  <dimension ref="A1:B191"/>
  <sheetViews>
    <sheetView workbookViewId="0"/>
  </sheetViews>
  <sheetFormatPr defaultColWidth="11.19921875" defaultRowHeight="15.6" x14ac:dyDescent="0.3"/>
  <cols>
    <col min="2" max="2" width="34.19921875" bestFit="1" customWidth="1"/>
  </cols>
  <sheetData>
    <row r="1" spans="1:2" x14ac:dyDescent="0.3">
      <c r="A1" s="1" t="s">
        <v>23</v>
      </c>
      <c r="B1" s="1" t="s">
        <v>22</v>
      </c>
    </row>
    <row r="2" spans="1:2" x14ac:dyDescent="0.3">
      <c r="A2" s="8">
        <v>10</v>
      </c>
      <c r="B2" s="6">
        <f>'Cumulative Purchase Likelihood'!G2*'Cumulative Purchase Likelihood'!A2*1000</f>
        <v>4935.6435643564346</v>
      </c>
    </row>
    <row r="3" spans="1:2" x14ac:dyDescent="0.3">
      <c r="A3" s="8">
        <v>13</v>
      </c>
      <c r="B3" s="6">
        <f>'Cumulative Purchase Likelihood'!G3*'Cumulative Purchase Likelihood'!A3*1000</f>
        <v>6416.3366336633635</v>
      </c>
    </row>
    <row r="4" spans="1:2" x14ac:dyDescent="0.3">
      <c r="A4" s="8">
        <v>14</v>
      </c>
      <c r="B4" s="6">
        <f>'Cumulative Purchase Likelihood'!G4*'Cumulative Purchase Likelihood'!A4*1000</f>
        <v>6909.9009900990077</v>
      </c>
    </row>
    <row r="5" spans="1:2" x14ac:dyDescent="0.3">
      <c r="A5" s="8">
        <v>15</v>
      </c>
      <c r="B5" s="6">
        <f>'Cumulative Purchase Likelihood'!G5*'Cumulative Purchase Likelihood'!A5*1000</f>
        <v>7403.4653465346501</v>
      </c>
    </row>
    <row r="6" spans="1:2" x14ac:dyDescent="0.3">
      <c r="A6" s="8">
        <v>18</v>
      </c>
      <c r="B6" s="6">
        <f>'Cumulative Purchase Likelihood'!G6*'Cumulative Purchase Likelihood'!A6*1000</f>
        <v>8884.1584158415808</v>
      </c>
    </row>
    <row r="7" spans="1:2" x14ac:dyDescent="0.3">
      <c r="A7" s="8">
        <v>19</v>
      </c>
      <c r="B7" s="6">
        <f>'Cumulative Purchase Likelihood'!G7*'Cumulative Purchase Likelihood'!A7*1000</f>
        <v>9377.7227722772241</v>
      </c>
    </row>
    <row r="8" spans="1:2" x14ac:dyDescent="0.3">
      <c r="A8" s="8">
        <v>20</v>
      </c>
      <c r="B8" s="6">
        <f>'Cumulative Purchase Likelihood'!G8*'Cumulative Purchase Likelihood'!A8*1000</f>
        <v>9866.3366336633644</v>
      </c>
    </row>
    <row r="9" spans="1:2" x14ac:dyDescent="0.3">
      <c r="A9" s="8">
        <v>21</v>
      </c>
      <c r="B9" s="6">
        <f>'Cumulative Purchase Likelihood'!G9*'Cumulative Purchase Likelihood'!A9*1000</f>
        <v>10359.653465346533</v>
      </c>
    </row>
    <row r="10" spans="1:2" x14ac:dyDescent="0.3">
      <c r="A10" s="8">
        <v>22</v>
      </c>
      <c r="B10" s="6">
        <f>'Cumulative Purchase Likelihood'!G10*'Cumulative Purchase Likelihood'!A10*1000</f>
        <v>10849.339933993397</v>
      </c>
    </row>
    <row r="11" spans="1:2" x14ac:dyDescent="0.3">
      <c r="A11" s="8">
        <v>23</v>
      </c>
      <c r="B11" s="6">
        <f>'Cumulative Purchase Likelihood'!G11*'Cumulative Purchase Likelihood'!A11*1000</f>
        <v>11338.696369636962</v>
      </c>
    </row>
    <row r="12" spans="1:2" x14ac:dyDescent="0.3">
      <c r="A12" s="8">
        <v>24</v>
      </c>
      <c r="B12" s="6">
        <f>'Cumulative Purchase Likelihood'!G12*'Cumulative Purchase Likelihood'!A12*1000</f>
        <v>11831.683168316829</v>
      </c>
    </row>
    <row r="13" spans="1:2" x14ac:dyDescent="0.3">
      <c r="A13" s="8">
        <v>25</v>
      </c>
      <c r="B13" s="6">
        <f>'Cumulative Purchase Likelihood'!G13*'Cumulative Purchase Likelihood'!A13*1000</f>
        <v>12324.669966996698</v>
      </c>
    </row>
    <row r="14" spans="1:2" x14ac:dyDescent="0.3">
      <c r="A14" s="8">
        <v>26</v>
      </c>
      <c r="B14" s="6">
        <f>'Cumulative Purchase Likelihood'!G14*'Cumulative Purchase Likelihood'!A14*1000</f>
        <v>12817.656765676566</v>
      </c>
    </row>
    <row r="15" spans="1:2" x14ac:dyDescent="0.3">
      <c r="A15" s="8">
        <v>27</v>
      </c>
      <c r="B15" s="6">
        <f>'Cumulative Purchase Likelihood'!G15*'Cumulative Purchase Likelihood'!A15*1000</f>
        <v>13310.643564356433</v>
      </c>
    </row>
    <row r="16" spans="1:2" x14ac:dyDescent="0.3">
      <c r="A16" s="8">
        <v>28</v>
      </c>
      <c r="B16" s="6">
        <f>'Cumulative Purchase Likelihood'!G16*'Cumulative Purchase Likelihood'!A16*1000</f>
        <v>13768.976897689767</v>
      </c>
    </row>
    <row r="17" spans="1:2" x14ac:dyDescent="0.3">
      <c r="A17" s="8">
        <v>29</v>
      </c>
      <c r="B17" s="6">
        <f>'Cumulative Purchase Likelihood'!G17*'Cumulative Purchase Likelihood'!A17*1000</f>
        <v>14260.726072607256</v>
      </c>
    </row>
    <row r="18" spans="1:2" x14ac:dyDescent="0.3">
      <c r="A18" s="8">
        <v>30</v>
      </c>
      <c r="B18" s="6">
        <f>'Cumulative Purchase Likelihood'!G18*'Cumulative Purchase Likelihood'!A18*1000</f>
        <v>14650.990099009898</v>
      </c>
    </row>
    <row r="19" spans="1:2" x14ac:dyDescent="0.3">
      <c r="A19" s="8">
        <v>33</v>
      </c>
      <c r="B19" s="6">
        <f>'Cumulative Purchase Likelihood'!G19*'Cumulative Purchase Likelihood'!A19*1000</f>
        <v>16116.089108910888</v>
      </c>
    </row>
    <row r="20" spans="1:2" x14ac:dyDescent="0.3">
      <c r="A20" s="8">
        <v>35</v>
      </c>
      <c r="B20" s="6">
        <f>'Cumulative Purchase Likelihood'!G20*'Cumulative Purchase Likelihood'!A20*1000</f>
        <v>17035.066006600657</v>
      </c>
    </row>
    <row r="21" spans="1:2" x14ac:dyDescent="0.3">
      <c r="A21" s="8">
        <v>40</v>
      </c>
      <c r="B21" s="6">
        <f>'Cumulative Purchase Likelihood'!G21*'Cumulative Purchase Likelihood'!A21*1000</f>
        <v>19409.240924092406</v>
      </c>
    </row>
    <row r="22" spans="1:2" x14ac:dyDescent="0.3">
      <c r="A22" s="8">
        <v>45</v>
      </c>
      <c r="B22" s="6">
        <f>'Cumulative Purchase Likelihood'!G22*'Cumulative Purchase Likelihood'!A22*1000</f>
        <v>21827.970297029697</v>
      </c>
    </row>
    <row r="23" spans="1:2" x14ac:dyDescent="0.3">
      <c r="A23" s="8">
        <v>48</v>
      </c>
      <c r="B23" s="6">
        <f>'Cumulative Purchase Likelihood'!G23*'Cumulative Purchase Likelihood'!A23*1000</f>
        <v>23283.168316831678</v>
      </c>
    </row>
    <row r="24" spans="1:2" x14ac:dyDescent="0.3">
      <c r="A24" s="8">
        <v>49</v>
      </c>
      <c r="B24" s="6">
        <f>'Cumulative Purchase Likelihood'!G24*'Cumulative Purchase Likelihood'!A24*1000</f>
        <v>23760.14851485148</v>
      </c>
    </row>
    <row r="25" spans="1:2" x14ac:dyDescent="0.3">
      <c r="A25" s="8">
        <v>50</v>
      </c>
      <c r="B25" s="6">
        <f>'Cumulative Purchase Likelihood'!G25*'Cumulative Purchase Likelihood'!A25*1000</f>
        <v>23964.521452145211</v>
      </c>
    </row>
    <row r="26" spans="1:2" x14ac:dyDescent="0.3">
      <c r="A26" s="8">
        <v>53</v>
      </c>
      <c r="B26" s="6">
        <f>'Cumulative Purchase Likelihood'!G26*'Cumulative Purchase Likelihood'!A26*1000</f>
        <v>25402.392739273921</v>
      </c>
    </row>
    <row r="27" spans="1:2" x14ac:dyDescent="0.3">
      <c r="A27" s="8">
        <v>54</v>
      </c>
      <c r="B27" s="6">
        <f>'Cumulative Purchase Likelihood'!G27*'Cumulative Purchase Likelihood'!A27*1000</f>
        <v>25881.683168316828</v>
      </c>
    </row>
    <row r="28" spans="1:2" x14ac:dyDescent="0.3">
      <c r="A28" s="8">
        <v>55</v>
      </c>
      <c r="B28" s="6">
        <f>'Cumulative Purchase Likelihood'!G28*'Cumulative Purchase Likelihood'!A28*1000</f>
        <v>26360.973597359731</v>
      </c>
    </row>
    <row r="29" spans="1:2" x14ac:dyDescent="0.3">
      <c r="A29" s="8">
        <v>56</v>
      </c>
      <c r="B29" s="6">
        <f>'Cumulative Purchase Likelihood'!G29*'Cumulative Purchase Likelihood'!A29*1000</f>
        <v>26840.264026402638</v>
      </c>
    </row>
    <row r="30" spans="1:2" x14ac:dyDescent="0.3">
      <c r="A30" s="8">
        <v>58</v>
      </c>
      <c r="B30" s="6">
        <f>'Cumulative Purchase Likelihood'!G30*'Cumulative Purchase Likelihood'!A30*1000</f>
        <v>27798.844884488441</v>
      </c>
    </row>
    <row r="31" spans="1:2" x14ac:dyDescent="0.3">
      <c r="A31" s="8">
        <v>60</v>
      </c>
      <c r="B31" s="6">
        <f>'Cumulative Purchase Likelihood'!G31*'Cumulative Purchase Likelihood'!A31*1000</f>
        <v>28584.158415841579</v>
      </c>
    </row>
    <row r="32" spans="1:2" x14ac:dyDescent="0.3">
      <c r="A32" s="8">
        <v>65</v>
      </c>
      <c r="B32" s="6">
        <f>'Cumulative Purchase Likelihood'!G32*'Cumulative Purchase Likelihood'!A32*1000</f>
        <v>30966.171617161708</v>
      </c>
    </row>
    <row r="33" spans="1:2" x14ac:dyDescent="0.3">
      <c r="A33" s="8">
        <v>66</v>
      </c>
      <c r="B33" s="6">
        <f>'Cumulative Purchase Likelihood'!G33*'Cumulative Purchase Likelihood'!A33*1000</f>
        <v>31442.574257425735</v>
      </c>
    </row>
    <row r="34" spans="1:2" x14ac:dyDescent="0.3">
      <c r="A34" s="8">
        <v>67</v>
      </c>
      <c r="B34" s="6">
        <f>'Cumulative Purchase Likelihood'!G34*'Cumulative Purchase Likelihood'!A34*1000</f>
        <v>31918.976897689761</v>
      </c>
    </row>
    <row r="35" spans="1:2" x14ac:dyDescent="0.3">
      <c r="A35" s="8">
        <v>69</v>
      </c>
      <c r="B35" s="6">
        <f>'Cumulative Purchase Likelihood'!G35*'Cumulative Purchase Likelihood'!A35*1000</f>
        <v>32831.930693069298</v>
      </c>
    </row>
    <row r="36" spans="1:2" x14ac:dyDescent="0.3">
      <c r="A36" s="8">
        <v>70</v>
      </c>
      <c r="B36" s="6">
        <f>'Cumulative Purchase Likelihood'!G36*'Cumulative Purchase Likelihood'!A36*1000</f>
        <v>33088.283828382831</v>
      </c>
    </row>
    <row r="37" spans="1:2" x14ac:dyDescent="0.3">
      <c r="A37" s="8">
        <v>71</v>
      </c>
      <c r="B37" s="6">
        <f>'Cumulative Purchase Likelihood'!G37*'Cumulative Purchase Likelihood'!A37*1000</f>
        <v>33560.973597359727</v>
      </c>
    </row>
    <row r="38" spans="1:2" x14ac:dyDescent="0.3">
      <c r="A38" s="8">
        <v>72</v>
      </c>
      <c r="B38" s="6">
        <f>'Cumulative Purchase Likelihood'!G38*'Cumulative Purchase Likelihood'!A38*1000</f>
        <v>34033.663366336623</v>
      </c>
    </row>
    <row r="39" spans="1:2" x14ac:dyDescent="0.3">
      <c r="A39" s="8">
        <v>73</v>
      </c>
      <c r="B39" s="6">
        <f>'Cumulative Purchase Likelihood'!G39*'Cumulative Purchase Likelihood'!A39*1000</f>
        <v>34416.006600660054</v>
      </c>
    </row>
    <row r="40" spans="1:2" x14ac:dyDescent="0.3">
      <c r="A40" s="8">
        <v>74</v>
      </c>
      <c r="B40" s="6">
        <f>'Cumulative Purchase Likelihood'!G40*'Cumulative Purchase Likelihood'!A40*1000</f>
        <v>34887.458745874581</v>
      </c>
    </row>
    <row r="41" spans="1:2" x14ac:dyDescent="0.3">
      <c r="A41" s="8">
        <v>75</v>
      </c>
      <c r="B41" s="6">
        <f>'Cumulative Purchase Likelihood'!G41*'Cumulative Purchase Likelihood'!A41*1000</f>
        <v>35358.910891089101</v>
      </c>
    </row>
    <row r="42" spans="1:2" x14ac:dyDescent="0.3">
      <c r="A42" s="8">
        <v>77</v>
      </c>
      <c r="B42" s="6">
        <f>'Cumulative Purchase Likelihood'!G42*'Cumulative Purchase Likelihood'!A42*1000</f>
        <v>36301.815181518141</v>
      </c>
    </row>
    <row r="43" spans="1:2" x14ac:dyDescent="0.3">
      <c r="A43" s="8">
        <v>78</v>
      </c>
      <c r="B43" s="6">
        <f>'Cumulative Purchase Likelihood'!G43*'Cumulative Purchase Likelihood'!A43*1000</f>
        <v>36773.267326732668</v>
      </c>
    </row>
    <row r="44" spans="1:2" x14ac:dyDescent="0.3">
      <c r="A44" s="8">
        <v>79</v>
      </c>
      <c r="B44" s="6">
        <f>'Cumulative Purchase Likelihood'!G44*'Cumulative Purchase Likelihood'!A44*1000</f>
        <v>37049.174917491742</v>
      </c>
    </row>
    <row r="45" spans="1:2" x14ac:dyDescent="0.3">
      <c r="A45" s="8">
        <v>80</v>
      </c>
      <c r="B45" s="6">
        <f>'Cumulative Purchase Likelihood'!G45*'Cumulative Purchase Likelihood'!A45*1000</f>
        <v>37168.316831683165</v>
      </c>
    </row>
    <row r="46" spans="1:2" x14ac:dyDescent="0.3">
      <c r="A46" s="8">
        <v>86</v>
      </c>
      <c r="B46" s="6">
        <f>'Cumulative Purchase Likelihood'!G46*'Cumulative Purchase Likelihood'!A46*1000</f>
        <v>39955.940594059401</v>
      </c>
    </row>
    <row r="47" spans="1:2" x14ac:dyDescent="0.3">
      <c r="A47" s="8">
        <v>87</v>
      </c>
      <c r="B47" s="6">
        <f>'Cumulative Purchase Likelihood'!G47*'Cumulative Purchase Likelihood'!A47*1000</f>
        <v>40420.544554455439</v>
      </c>
    </row>
    <row r="48" spans="1:2" x14ac:dyDescent="0.3">
      <c r="A48" s="8">
        <v>89</v>
      </c>
      <c r="B48" s="6">
        <f>'Cumulative Purchase Likelihood'!G48*'Cumulative Purchase Likelihood'!A48*1000</f>
        <v>41349.752475247522</v>
      </c>
    </row>
    <row r="49" spans="1:2" x14ac:dyDescent="0.3">
      <c r="A49" s="8">
        <v>90</v>
      </c>
      <c r="B49" s="6">
        <f>'Cumulative Purchase Likelihood'!G49*'Cumulative Purchase Likelihood'!A49*1000</f>
        <v>41383.663366336637</v>
      </c>
    </row>
    <row r="50" spans="1:2" x14ac:dyDescent="0.3">
      <c r="A50" s="8">
        <v>95</v>
      </c>
      <c r="B50" s="6">
        <f>'Cumulative Purchase Likelihood'!G50*'Cumulative Purchase Likelihood'!A50*1000</f>
        <v>43667.079207920782</v>
      </c>
    </row>
    <row r="51" spans="1:2" x14ac:dyDescent="0.3">
      <c r="A51" s="8">
        <v>97</v>
      </c>
      <c r="B51" s="6">
        <f>'Cumulative Purchase Likelihood'!G51*'Cumulative Purchase Likelihood'!A51*1000</f>
        <v>44586.386138613852</v>
      </c>
    </row>
    <row r="52" spans="1:2" x14ac:dyDescent="0.3">
      <c r="A52" s="8">
        <v>98</v>
      </c>
      <c r="B52" s="6">
        <f>'Cumulative Purchase Likelihood'!G52*'Cumulative Purchase Likelihood'!A52*1000</f>
        <v>44803.465346534642</v>
      </c>
    </row>
    <row r="53" spans="1:2" x14ac:dyDescent="0.3">
      <c r="A53" s="8">
        <v>99</v>
      </c>
      <c r="B53" s="6">
        <f>'Cumulative Purchase Likelihood'!G53*'Cumulative Purchase Likelihood'!A53*1000</f>
        <v>44909.405940594057</v>
      </c>
    </row>
    <row r="54" spans="1:2" x14ac:dyDescent="0.3">
      <c r="A54" s="8">
        <v>100</v>
      </c>
      <c r="B54" s="6">
        <f>'Cumulative Purchase Likelihood'!G54*'Cumulative Purchase Likelihood'!A54*1000</f>
        <v>42557.755775577549</v>
      </c>
    </row>
    <row r="55" spans="1:2" x14ac:dyDescent="0.3">
      <c r="A55" s="8">
        <v>101</v>
      </c>
      <c r="B55" s="6">
        <f>'Cumulative Purchase Likelihood'!G55*'Cumulative Purchase Likelihood'!A55*1000</f>
        <v>42983.333333333321</v>
      </c>
    </row>
    <row r="56" spans="1:2" x14ac:dyDescent="0.3">
      <c r="A56" s="8">
        <v>102</v>
      </c>
      <c r="B56" s="6">
        <f>'Cumulative Purchase Likelihood'!G56*'Cumulative Purchase Likelihood'!A56*1000</f>
        <v>43408.910891089094</v>
      </c>
    </row>
    <row r="57" spans="1:2" x14ac:dyDescent="0.3">
      <c r="A57" s="8">
        <v>105</v>
      </c>
      <c r="B57" s="6">
        <f>'Cumulative Purchase Likelihood'!G57*'Cumulative Purchase Likelihood'!A57*1000</f>
        <v>44642.326732673246</v>
      </c>
    </row>
    <row r="58" spans="1:2" x14ac:dyDescent="0.3">
      <c r="A58" s="8">
        <v>106</v>
      </c>
      <c r="B58" s="6">
        <f>'Cumulative Purchase Likelihood'!G58*'Cumulative Purchase Likelihood'!A58*1000</f>
        <v>45067.4917491749</v>
      </c>
    </row>
    <row r="59" spans="1:2" x14ac:dyDescent="0.3">
      <c r="A59" s="8">
        <v>110</v>
      </c>
      <c r="B59" s="6">
        <f>'Cumulative Purchase Likelihood'!G59*'Cumulative Purchase Likelihood'!A59*1000</f>
        <v>46523.102310231021</v>
      </c>
    </row>
    <row r="60" spans="1:2" x14ac:dyDescent="0.3">
      <c r="A60" s="8">
        <v>115</v>
      </c>
      <c r="B60" s="6">
        <f>'Cumulative Purchase Likelihood'!G60*'Cumulative Purchase Likelihood'!A60*1000</f>
        <v>48542.904290429033</v>
      </c>
    </row>
    <row r="61" spans="1:2" x14ac:dyDescent="0.3">
      <c r="A61" s="8">
        <v>119</v>
      </c>
      <c r="B61" s="6">
        <f>'Cumulative Purchase Likelihood'!G61*'Cumulative Purchase Likelihood'!A61*1000</f>
        <v>50231.353135313519</v>
      </c>
    </row>
    <row r="62" spans="1:2" x14ac:dyDescent="0.3">
      <c r="A62" s="8">
        <v>120</v>
      </c>
      <c r="B62" s="6">
        <f>'Cumulative Purchase Likelihood'!G62*'Cumulative Purchase Likelihood'!A62*1000</f>
        <v>49207.920792079196</v>
      </c>
    </row>
    <row r="63" spans="1:2" x14ac:dyDescent="0.3">
      <c r="A63" s="8">
        <v>125</v>
      </c>
      <c r="B63" s="6">
        <f>'Cumulative Purchase Likelihood'!G63*'Cumulative Purchase Likelihood'!A63*1000</f>
        <v>50948.844884488441</v>
      </c>
    </row>
    <row r="64" spans="1:2" x14ac:dyDescent="0.3">
      <c r="A64" s="8">
        <v>126</v>
      </c>
      <c r="B64" s="6">
        <f>'Cumulative Purchase Likelihood'!G64*'Cumulative Purchase Likelihood'!A64*1000</f>
        <v>51356.435643564342</v>
      </c>
    </row>
    <row r="65" spans="1:2" x14ac:dyDescent="0.3">
      <c r="A65" s="8">
        <v>127</v>
      </c>
      <c r="B65" s="6">
        <f>'Cumulative Purchase Likelihood'!G65*'Cumulative Purchase Likelihood'!A65*1000</f>
        <v>51606.848184818467</v>
      </c>
    </row>
    <row r="66" spans="1:2" x14ac:dyDescent="0.3">
      <c r="A66" s="8">
        <v>128</v>
      </c>
      <c r="B66" s="6">
        <f>'Cumulative Purchase Likelihood'!G66*'Cumulative Purchase Likelihood'!A66*1000</f>
        <v>52013.201320132001</v>
      </c>
    </row>
    <row r="67" spans="1:2" x14ac:dyDescent="0.3">
      <c r="A67" s="8">
        <v>129</v>
      </c>
      <c r="B67" s="6">
        <f>'Cumulative Purchase Likelihood'!G67*'Cumulative Purchase Likelihood'!A67*1000</f>
        <v>52398.267326732668</v>
      </c>
    </row>
    <row r="68" spans="1:2" x14ac:dyDescent="0.3">
      <c r="A68" s="8">
        <v>130</v>
      </c>
      <c r="B68" s="6">
        <f>'Cumulative Purchase Likelihood'!G68*'Cumulative Purchase Likelihood'!A68*1000</f>
        <v>52160.891089108896</v>
      </c>
    </row>
    <row r="69" spans="1:2" x14ac:dyDescent="0.3">
      <c r="A69" s="8">
        <v>133</v>
      </c>
      <c r="B69" s="6">
        <f>'Cumulative Purchase Likelihood'!G69*'Cumulative Purchase Likelihood'!A69*1000</f>
        <v>53364.603960396016</v>
      </c>
    </row>
    <row r="70" spans="1:2" x14ac:dyDescent="0.3">
      <c r="A70" s="8">
        <v>135</v>
      </c>
      <c r="B70" s="6">
        <f>'Cumulative Purchase Likelihood'!G70*'Cumulative Purchase Likelihood'!A70*1000</f>
        <v>54167.079207920775</v>
      </c>
    </row>
    <row r="71" spans="1:2" x14ac:dyDescent="0.3">
      <c r="A71" s="8">
        <v>138</v>
      </c>
      <c r="B71" s="6">
        <f>'Cumulative Purchase Likelihood'!G71*'Cumulative Purchase Likelihood'!A71*1000</f>
        <v>55348.01980198019</v>
      </c>
    </row>
    <row r="72" spans="1:2" x14ac:dyDescent="0.3">
      <c r="A72" s="8">
        <v>139</v>
      </c>
      <c r="B72" s="6">
        <f>'Cumulative Purchase Likelihood'!G72*'Cumulative Purchase Likelihood'!A72*1000</f>
        <v>55749.092409240919</v>
      </c>
    </row>
    <row r="73" spans="1:2" x14ac:dyDescent="0.3">
      <c r="A73" s="8">
        <v>140</v>
      </c>
      <c r="B73" s="6">
        <f>'Cumulative Purchase Likelihood'!G73*'Cumulative Purchase Likelihood'!A73*1000</f>
        <v>55468.646864686445</v>
      </c>
    </row>
    <row r="74" spans="1:2" x14ac:dyDescent="0.3">
      <c r="A74" s="8">
        <v>142</v>
      </c>
      <c r="B74" s="6">
        <f>'Cumulative Purchase Likelihood'!G74*'Cumulative Purchase Likelihood'!A74*1000</f>
        <v>56261.056105610543</v>
      </c>
    </row>
    <row r="75" spans="1:2" x14ac:dyDescent="0.3">
      <c r="A75" s="8">
        <v>145</v>
      </c>
      <c r="B75" s="6">
        <f>'Cumulative Purchase Likelihood'!G75*'Cumulative Purchase Likelihood'!A75*1000</f>
        <v>57449.669966996677</v>
      </c>
    </row>
    <row r="76" spans="1:2" x14ac:dyDescent="0.3">
      <c r="A76" s="8">
        <v>146</v>
      </c>
      <c r="B76" s="6">
        <f>'Cumulative Purchase Likelihood'!G76*'Cumulative Purchase Likelihood'!A76*1000</f>
        <v>57665.181518151796</v>
      </c>
    </row>
    <row r="77" spans="1:2" x14ac:dyDescent="0.3">
      <c r="A77" s="8">
        <v>148</v>
      </c>
      <c r="B77" s="6">
        <f>'Cumulative Purchase Likelihood'!G77*'Cumulative Purchase Likelihood'!A77*1000</f>
        <v>58430.693069306923</v>
      </c>
    </row>
    <row r="78" spans="1:2" x14ac:dyDescent="0.3">
      <c r="A78" s="8">
        <v>149</v>
      </c>
      <c r="B78" s="6">
        <f>'Cumulative Purchase Likelihood'!G78*'Cumulative Purchase Likelihood'!A78*1000</f>
        <v>58776.320132013192</v>
      </c>
    </row>
    <row r="79" spans="1:2" x14ac:dyDescent="0.3">
      <c r="A79" s="8">
        <v>150</v>
      </c>
      <c r="B79" s="6">
        <f>'Cumulative Purchase Likelihood'!G79*'Cumulative Purchase Likelihood'!A79*1000</f>
        <v>51930.693069306923</v>
      </c>
    </row>
    <row r="80" spans="1:2" x14ac:dyDescent="0.3">
      <c r="A80" s="8">
        <v>154</v>
      </c>
      <c r="B80" s="6">
        <f>'Cumulative Purchase Likelihood'!G80*'Cumulative Purchase Likelihood'!A80*1000</f>
        <v>53277.392739273906</v>
      </c>
    </row>
    <row r="81" spans="1:2" x14ac:dyDescent="0.3">
      <c r="A81" s="8">
        <v>155</v>
      </c>
      <c r="B81" s="6">
        <f>'Cumulative Purchase Likelihood'!G81*'Cumulative Purchase Likelihood'!A81*1000</f>
        <v>53546.61716171616</v>
      </c>
    </row>
    <row r="82" spans="1:2" x14ac:dyDescent="0.3">
      <c r="A82" s="8">
        <v>159</v>
      </c>
      <c r="B82" s="6">
        <f>'Cumulative Purchase Likelihood'!G82*'Cumulative Purchase Likelihood'!A82*1000</f>
        <v>54862.871287128699</v>
      </c>
    </row>
    <row r="83" spans="1:2" x14ac:dyDescent="0.3">
      <c r="A83" s="8">
        <v>160</v>
      </c>
      <c r="B83" s="6">
        <f>'Cumulative Purchase Likelihood'!G83*'Cumulative Purchase Likelihood'!A83*1000</f>
        <v>54125.412541254111</v>
      </c>
    </row>
    <row r="84" spans="1:2" x14ac:dyDescent="0.3">
      <c r="A84" s="8">
        <v>165</v>
      </c>
      <c r="B84" s="6">
        <f>'Cumulative Purchase Likelihood'!G84*'Cumulative Purchase Likelihood'!A84*1000</f>
        <v>55748.76237623761</v>
      </c>
    </row>
    <row r="85" spans="1:2" x14ac:dyDescent="0.3">
      <c r="A85" s="8">
        <v>170</v>
      </c>
      <c r="B85" s="6">
        <f>'Cumulative Purchase Likelihood'!G85*'Cumulative Purchase Likelihood'!A85*1000</f>
        <v>56975.247524752471</v>
      </c>
    </row>
    <row r="86" spans="1:2" x14ac:dyDescent="0.3">
      <c r="A86" s="8">
        <v>171</v>
      </c>
      <c r="B86" s="6">
        <f>'Cumulative Purchase Likelihood'!G86*'Cumulative Purchase Likelihood'!A86*1000</f>
        <v>57126.980198019781</v>
      </c>
    </row>
    <row r="87" spans="1:2" x14ac:dyDescent="0.3">
      <c r="A87" s="8">
        <v>174</v>
      </c>
      <c r="B87" s="6">
        <f>'Cumulative Purchase Likelihood'!G87*'Cumulative Purchase Likelihood'!A87*1000</f>
        <v>58057.42574257424</v>
      </c>
    </row>
    <row r="88" spans="1:2" x14ac:dyDescent="0.3">
      <c r="A88" s="8">
        <v>175</v>
      </c>
      <c r="B88" s="6">
        <f>'Cumulative Purchase Likelihood'!G88*'Cumulative Purchase Likelihood'!A88*1000</f>
        <v>58362.211221122096</v>
      </c>
    </row>
    <row r="89" spans="1:2" x14ac:dyDescent="0.3">
      <c r="A89" s="8">
        <v>180</v>
      </c>
      <c r="B89" s="6">
        <f>'Cumulative Purchase Likelihood'!G89*'Cumulative Purchase Likelihood'!A89*1000</f>
        <v>57846.534653465336</v>
      </c>
    </row>
    <row r="90" spans="1:2" x14ac:dyDescent="0.3">
      <c r="A90" s="8">
        <v>185</v>
      </c>
      <c r="B90" s="6">
        <f>'Cumulative Purchase Likelihood'!G90*'Cumulative Purchase Likelihood'!A90*1000</f>
        <v>59453.382838283818</v>
      </c>
    </row>
    <row r="91" spans="1:2" x14ac:dyDescent="0.3">
      <c r="A91" s="8">
        <v>188</v>
      </c>
      <c r="B91" s="6">
        <f>'Cumulative Purchase Likelihood'!G91*'Cumulative Purchase Likelihood'!A91*1000</f>
        <v>60386.468646864669</v>
      </c>
    </row>
    <row r="92" spans="1:2" x14ac:dyDescent="0.3">
      <c r="A92" s="8">
        <v>189</v>
      </c>
      <c r="B92" s="6">
        <f>'Cumulative Purchase Likelihood'!G92*'Cumulative Purchase Likelihood'!A92*1000</f>
        <v>60707.673267326718</v>
      </c>
    </row>
    <row r="93" spans="1:2" x14ac:dyDescent="0.3">
      <c r="A93" s="8">
        <v>190</v>
      </c>
      <c r="B93" s="6">
        <f>'Cumulative Purchase Likelihood'!G93*'Cumulative Purchase Likelihood'!A93*1000</f>
        <v>59821.782178217807</v>
      </c>
    </row>
    <row r="94" spans="1:2" x14ac:dyDescent="0.3">
      <c r="A94" s="8">
        <v>194</v>
      </c>
      <c r="B94" s="6">
        <f>'Cumulative Purchase Likelihood'!G94*'Cumulative Purchase Likelihood'!A94*1000</f>
        <v>61081.188118811871</v>
      </c>
    </row>
    <row r="95" spans="1:2" x14ac:dyDescent="0.3">
      <c r="A95" s="8">
        <v>195</v>
      </c>
      <c r="B95" s="6">
        <f>'Cumulative Purchase Likelihood'!G95*'Cumulative Purchase Likelihood'!A95*1000</f>
        <v>61396.03960396038</v>
      </c>
    </row>
    <row r="96" spans="1:2" x14ac:dyDescent="0.3">
      <c r="A96" s="8">
        <v>197</v>
      </c>
      <c r="B96" s="6">
        <f>'Cumulative Purchase Likelihood'!G96*'Cumulative Purchase Likelihood'!A96*1000</f>
        <v>62025.742574257412</v>
      </c>
    </row>
    <row r="97" spans="1:2" x14ac:dyDescent="0.3">
      <c r="A97" s="8">
        <v>198</v>
      </c>
      <c r="B97" s="6">
        <f>'Cumulative Purchase Likelihood'!G97*'Cumulative Purchase Likelihood'!A97*1000</f>
        <v>62177.227722772259</v>
      </c>
    </row>
    <row r="98" spans="1:2" x14ac:dyDescent="0.3">
      <c r="A98" s="8">
        <v>199</v>
      </c>
      <c r="B98" s="6">
        <f>'Cumulative Purchase Likelihood'!G98*'Cumulative Purchase Likelihood'!A98*1000</f>
        <v>61309.075907590741</v>
      </c>
    </row>
    <row r="99" spans="1:2" x14ac:dyDescent="0.3">
      <c r="A99" s="8">
        <v>200</v>
      </c>
      <c r="B99" s="6">
        <f>'Cumulative Purchase Likelihood'!G99*'Cumulative Purchase Likelihood'!A99*1000</f>
        <v>48415.841584158399</v>
      </c>
    </row>
    <row r="100" spans="1:2" x14ac:dyDescent="0.3">
      <c r="A100" s="8">
        <v>205</v>
      </c>
      <c r="B100" s="6">
        <f>'Cumulative Purchase Likelihood'!G100*'Cumulative Purchase Likelihood'!A100*1000</f>
        <v>49626.237623762361</v>
      </c>
    </row>
    <row r="101" spans="1:2" x14ac:dyDescent="0.3">
      <c r="A101" s="8">
        <v>209</v>
      </c>
      <c r="B101" s="6">
        <f>'Cumulative Purchase Likelihood'!G101*'Cumulative Purchase Likelihood'!A101*1000</f>
        <v>50594.554455445534</v>
      </c>
    </row>
    <row r="102" spans="1:2" x14ac:dyDescent="0.3">
      <c r="A102" s="8">
        <v>210</v>
      </c>
      <c r="B102" s="6">
        <f>'Cumulative Purchase Likelihood'!G102*'Cumulative Purchase Likelihood'!A102*1000</f>
        <v>50282.178217821776</v>
      </c>
    </row>
    <row r="103" spans="1:2" x14ac:dyDescent="0.3">
      <c r="A103" s="8">
        <v>215</v>
      </c>
      <c r="B103" s="6">
        <f>'Cumulative Purchase Likelihood'!G103*'Cumulative Purchase Likelihood'!A103*1000</f>
        <v>51426.155115511545</v>
      </c>
    </row>
    <row r="104" spans="1:2" x14ac:dyDescent="0.3">
      <c r="A104" s="8">
        <v>219</v>
      </c>
      <c r="B104" s="6">
        <f>'Cumulative Purchase Likelihood'!G104*'Cumulative Purchase Likelihood'!A104*1000</f>
        <v>52148.019801980183</v>
      </c>
    </row>
    <row r="105" spans="1:2" x14ac:dyDescent="0.3">
      <c r="A105" s="8">
        <v>220</v>
      </c>
      <c r="B105" s="6">
        <f>'Cumulative Purchase Likelihood'!G105*'Cumulative Purchase Likelihood'!A105*1000</f>
        <v>51224.422442244198</v>
      </c>
    </row>
    <row r="106" spans="1:2" x14ac:dyDescent="0.3">
      <c r="A106" s="8">
        <v>221</v>
      </c>
      <c r="B106" s="6">
        <f>'Cumulative Purchase Likelihood'!G106*'Cumulative Purchase Likelihood'!A106*1000</f>
        <v>51366.08910891087</v>
      </c>
    </row>
    <row r="107" spans="1:2" x14ac:dyDescent="0.3">
      <c r="A107" s="8">
        <v>225</v>
      </c>
      <c r="B107" s="6">
        <f>'Cumulative Purchase Likelihood'!G107*'Cumulative Purchase Likelihood'!A107*1000</f>
        <v>52295.792079207902</v>
      </c>
    </row>
    <row r="108" spans="1:2" x14ac:dyDescent="0.3">
      <c r="A108" s="8">
        <v>229</v>
      </c>
      <c r="B108" s="6">
        <f>'Cumulative Purchase Likelihood'!G108*'Cumulative Purchase Likelihood'!A108*1000</f>
        <v>53187.706270627037</v>
      </c>
    </row>
    <row r="109" spans="1:2" x14ac:dyDescent="0.3">
      <c r="A109" s="8">
        <v>230</v>
      </c>
      <c r="B109" s="6">
        <f>'Cumulative Purchase Likelihood'!G109*'Cumulative Purchase Likelihood'!A109*1000</f>
        <v>52528.052805280495</v>
      </c>
    </row>
    <row r="110" spans="1:2" x14ac:dyDescent="0.3">
      <c r="A110" s="8">
        <v>237</v>
      </c>
      <c r="B110" s="6">
        <f>'Cumulative Purchase Likelihood'!G110*'Cumulative Purchase Likelihood'!A110*1000</f>
        <v>54126.732673267288</v>
      </c>
    </row>
    <row r="111" spans="1:2" x14ac:dyDescent="0.3">
      <c r="A111" s="8">
        <v>238</v>
      </c>
      <c r="B111" s="6">
        <f>'Cumulative Purchase Likelihood'!G111*'Cumulative Purchase Likelihood'!A111*1000</f>
        <v>54355.115511551121</v>
      </c>
    </row>
    <row r="112" spans="1:2" x14ac:dyDescent="0.3">
      <c r="A112" s="8">
        <v>239</v>
      </c>
      <c r="B112" s="6">
        <f>'Cumulative Purchase Likelihood'!G112*'Cumulative Purchase Likelihood'!A112*1000</f>
        <v>54484.900990098977</v>
      </c>
    </row>
    <row r="113" spans="1:2" x14ac:dyDescent="0.3">
      <c r="A113" s="8">
        <v>240</v>
      </c>
      <c r="B113" s="6">
        <f>'Cumulative Purchase Likelihood'!G113*'Cumulative Purchase Likelihood'!A113*1000</f>
        <v>53762.376237623736</v>
      </c>
    </row>
    <row r="114" spans="1:2" x14ac:dyDescent="0.3">
      <c r="A114" s="8">
        <v>244</v>
      </c>
      <c r="B114" s="6">
        <f>'Cumulative Purchase Likelihood'!G114*'Cumulative Purchase Likelihood'!A114*1000</f>
        <v>54658.41584158413</v>
      </c>
    </row>
    <row r="115" spans="1:2" x14ac:dyDescent="0.3">
      <c r="A115" s="8">
        <v>245</v>
      </c>
      <c r="B115" s="6">
        <f>'Cumulative Purchase Likelihood'!G115*'Cumulative Purchase Likelihood'!A115*1000</f>
        <v>54882.425742574233</v>
      </c>
    </row>
    <row r="116" spans="1:2" x14ac:dyDescent="0.3">
      <c r="A116" s="8">
        <v>246</v>
      </c>
      <c r="B116" s="6">
        <f>'Cumulative Purchase Likelihood'!G116*'Cumulative Purchase Likelihood'!A116*1000</f>
        <v>55004.950495049481</v>
      </c>
    </row>
    <row r="117" spans="1:2" x14ac:dyDescent="0.3">
      <c r="A117" s="8">
        <v>247</v>
      </c>
      <c r="B117" s="6">
        <f>'Cumulative Purchase Likelihood'!G117*'Cumulative Purchase Likelihood'!A117*1000</f>
        <v>55228.547854785451</v>
      </c>
    </row>
    <row r="118" spans="1:2" x14ac:dyDescent="0.3">
      <c r="A118" s="8">
        <v>249</v>
      </c>
      <c r="B118" s="6">
        <f>'Cumulative Purchase Likelihood'!G118*'Cumulative Purchase Likelihood'!A118*1000</f>
        <v>54463.613861386111</v>
      </c>
    </row>
    <row r="119" spans="1:2" x14ac:dyDescent="0.3">
      <c r="A119" s="8">
        <v>250</v>
      </c>
      <c r="B119" s="6">
        <f>'Cumulative Purchase Likelihood'!G119*'Cumulative Purchase Likelihood'!A119*1000</f>
        <v>42120.462046204593</v>
      </c>
    </row>
    <row r="120" spans="1:2" x14ac:dyDescent="0.3">
      <c r="A120" s="8">
        <v>255</v>
      </c>
      <c r="B120" s="6">
        <f>'Cumulative Purchase Likelihood'!G120*'Cumulative Purchase Likelihood'!A120*1000</f>
        <v>42710.39603960394</v>
      </c>
    </row>
    <row r="121" spans="1:2" x14ac:dyDescent="0.3">
      <c r="A121" s="8">
        <v>259</v>
      </c>
      <c r="B121" s="6">
        <f>'Cumulative Purchase Likelihood'!G121*'Cumulative Purchase Likelihood'!A121*1000</f>
        <v>43380.363036303606</v>
      </c>
    </row>
    <row r="122" spans="1:2" x14ac:dyDescent="0.3">
      <c r="A122" s="8">
        <v>260</v>
      </c>
      <c r="B122" s="6">
        <f>'Cumulative Purchase Likelihood'!G122*'Cumulative Purchase Likelihood'!A122*1000</f>
        <v>42496.699669966969</v>
      </c>
    </row>
    <row r="123" spans="1:2" x14ac:dyDescent="0.3">
      <c r="A123" s="8">
        <v>265</v>
      </c>
      <c r="B123" s="6">
        <f>'Cumulative Purchase Likelihood'!G123*'Cumulative Purchase Likelihood'!A123*1000</f>
        <v>43029.702970297003</v>
      </c>
    </row>
    <row r="124" spans="1:2" x14ac:dyDescent="0.3">
      <c r="A124" s="8">
        <v>269</v>
      </c>
      <c r="B124" s="6">
        <f>'Cumulative Purchase Likelihood'!G124*'Cumulative Purchase Likelihood'!A124*1000</f>
        <v>43634.81848184816</v>
      </c>
    </row>
    <row r="125" spans="1:2" x14ac:dyDescent="0.3">
      <c r="A125" s="8">
        <v>270</v>
      </c>
      <c r="B125" s="6">
        <f>'Cumulative Purchase Likelihood'!G125*'Cumulative Purchase Likelihood'!A125*1000</f>
        <v>43418.316831683136</v>
      </c>
    </row>
    <row r="126" spans="1:2" x14ac:dyDescent="0.3">
      <c r="A126" s="8">
        <v>273</v>
      </c>
      <c r="B126" s="6">
        <f>'Cumulative Purchase Likelihood'!G126*'Cumulative Purchase Likelihood'!A126*1000</f>
        <v>43562.871287128677</v>
      </c>
    </row>
    <row r="127" spans="1:2" x14ac:dyDescent="0.3">
      <c r="A127" s="8">
        <v>275</v>
      </c>
      <c r="B127" s="6">
        <f>'Cumulative Purchase Likelihood'!G127*'Cumulative Purchase Likelihood'!A127*1000</f>
        <v>43836.633663366309</v>
      </c>
    </row>
    <row r="128" spans="1:2" x14ac:dyDescent="0.3">
      <c r="A128" s="8">
        <v>279</v>
      </c>
      <c r="B128" s="6">
        <f>'Cumulative Purchase Likelihood'!G128*'Cumulative Purchase Likelihood'!A128*1000</f>
        <v>44244.05940594057</v>
      </c>
    </row>
    <row r="129" spans="1:2" x14ac:dyDescent="0.3">
      <c r="A129" s="8">
        <v>280</v>
      </c>
      <c r="B129" s="6">
        <f>'Cumulative Purchase Likelihood'!G129*'Cumulative Purchase Likelihood'!A129*1000</f>
        <v>41376.237623762347</v>
      </c>
    </row>
    <row r="130" spans="1:2" x14ac:dyDescent="0.3">
      <c r="A130" s="8">
        <v>288</v>
      </c>
      <c r="B130" s="6">
        <f>'Cumulative Purchase Likelihood'!G130*'Cumulative Purchase Likelihood'!A130*1000</f>
        <v>42558.415841584138</v>
      </c>
    </row>
    <row r="131" spans="1:2" x14ac:dyDescent="0.3">
      <c r="A131" s="8">
        <v>289</v>
      </c>
      <c r="B131" s="6">
        <f>'Cumulative Purchase Likelihood'!G131*'Cumulative Purchase Likelihood'!A131*1000</f>
        <v>42706.18811881185</v>
      </c>
    </row>
    <row r="132" spans="1:2" x14ac:dyDescent="0.3">
      <c r="A132" s="8">
        <v>290</v>
      </c>
      <c r="B132" s="6">
        <f>'Cumulative Purchase Likelihood'!G132*'Cumulative Purchase Likelihood'!A132*1000</f>
        <v>41920.792079207895</v>
      </c>
    </row>
    <row r="133" spans="1:2" x14ac:dyDescent="0.3">
      <c r="A133" s="8">
        <v>296</v>
      </c>
      <c r="B133" s="6">
        <f>'Cumulative Purchase Likelihood'!G133*'Cumulative Purchase Likelihood'!A133*1000</f>
        <v>42788.118811881162</v>
      </c>
    </row>
    <row r="134" spans="1:2" x14ac:dyDescent="0.3">
      <c r="A134" s="8">
        <v>298</v>
      </c>
      <c r="B134" s="6">
        <f>'Cumulative Purchase Likelihood'!G134*'Cumulative Purchase Likelihood'!A134*1000</f>
        <v>43077.227722772252</v>
      </c>
    </row>
    <row r="135" spans="1:2" x14ac:dyDescent="0.3">
      <c r="A135" s="8">
        <v>299</v>
      </c>
      <c r="B135" s="6">
        <f>'Cumulative Purchase Likelihood'!G135*'Cumulative Purchase Likelihood'!A135*1000</f>
        <v>42259.653465346506</v>
      </c>
    </row>
    <row r="136" spans="1:2" x14ac:dyDescent="0.3">
      <c r="A136" s="8">
        <v>300</v>
      </c>
      <c r="B136" s="6">
        <f>'Cumulative Purchase Likelihood'!G136*'Cumulative Purchase Likelihood'!A136*1000</f>
        <v>26633.663366336594</v>
      </c>
    </row>
    <row r="137" spans="1:2" x14ac:dyDescent="0.3">
      <c r="A137" s="8">
        <v>301</v>
      </c>
      <c r="B137" s="6">
        <f>'Cumulative Purchase Likelihood'!G137*'Cumulative Purchase Likelihood'!A137*1000</f>
        <v>26672.772277227687</v>
      </c>
    </row>
    <row r="138" spans="1:2" x14ac:dyDescent="0.3">
      <c r="A138" s="8">
        <v>305</v>
      </c>
      <c r="B138" s="6">
        <f>'Cumulative Purchase Likelihood'!G138*'Cumulative Purchase Likelihood'!A138*1000</f>
        <v>27027.227722772241</v>
      </c>
    </row>
    <row r="139" spans="1:2" x14ac:dyDescent="0.3">
      <c r="A139" s="8">
        <v>306</v>
      </c>
      <c r="B139" s="6">
        <f>'Cumulative Purchase Likelihood'!G139*'Cumulative Purchase Likelihood'!A139*1000</f>
        <v>27065.346534653432</v>
      </c>
    </row>
    <row r="140" spans="1:2" x14ac:dyDescent="0.3">
      <c r="A140" s="8">
        <v>309</v>
      </c>
      <c r="B140" s="6">
        <f>'Cumulative Purchase Likelihood'!G140*'Cumulative Purchase Likelihood'!A140*1000</f>
        <v>27279.702970296999</v>
      </c>
    </row>
    <row r="141" spans="1:2" x14ac:dyDescent="0.3">
      <c r="A141" s="8">
        <v>310</v>
      </c>
      <c r="B141" s="6">
        <f>'Cumulative Purchase Likelihood'!G141*'Cumulative Purchase Likelihood'!A141*1000</f>
        <v>27367.986798679838</v>
      </c>
    </row>
    <row r="142" spans="1:2" x14ac:dyDescent="0.3">
      <c r="A142" s="8">
        <v>312</v>
      </c>
      <c r="B142" s="6">
        <f>'Cumulative Purchase Likelihood'!G142*'Cumulative Purchase Likelihood'!A142*1000</f>
        <v>27287.128712871257</v>
      </c>
    </row>
    <row r="143" spans="1:2" x14ac:dyDescent="0.3">
      <c r="A143" s="8">
        <v>316</v>
      </c>
      <c r="B143" s="6">
        <f>'Cumulative Purchase Likelihood'!G143*'Cumulative Purchase Likelihood'!A143*1000</f>
        <v>27636.96369636961</v>
      </c>
    </row>
    <row r="144" spans="1:2" x14ac:dyDescent="0.3">
      <c r="A144" s="8">
        <v>320</v>
      </c>
      <c r="B144" s="6">
        <f>'Cumulative Purchase Likelihood'!G144*'Cumulative Purchase Likelihood'!A144*1000</f>
        <v>26693.069306930662</v>
      </c>
    </row>
    <row r="145" spans="1:2" x14ac:dyDescent="0.3">
      <c r="A145" s="8">
        <v>325</v>
      </c>
      <c r="B145" s="6">
        <f>'Cumulative Purchase Likelihood'!G145*'Cumulative Purchase Likelihood'!A145*1000</f>
        <v>26976.072607260692</v>
      </c>
    </row>
    <row r="146" spans="1:2" x14ac:dyDescent="0.3">
      <c r="A146" s="8">
        <v>330</v>
      </c>
      <c r="B146" s="6">
        <f>'Cumulative Purchase Likelihood'!G146*'Cumulative Purchase Likelihood'!A146*1000</f>
        <v>27118.811881188089</v>
      </c>
    </row>
    <row r="147" spans="1:2" x14ac:dyDescent="0.3">
      <c r="A147" s="8">
        <v>340</v>
      </c>
      <c r="B147" s="6">
        <f>'Cumulative Purchase Likelihood'!G147*'Cumulative Purchase Likelihood'!A147*1000</f>
        <v>27744.224422442214</v>
      </c>
    </row>
    <row r="148" spans="1:2" x14ac:dyDescent="0.3">
      <c r="A148" s="8">
        <v>349</v>
      </c>
      <c r="B148" s="6">
        <f>'Cumulative Purchase Likelihood'!G148*'Cumulative Purchase Likelihood'!A148*1000</f>
        <v>28478.630363036275</v>
      </c>
    </row>
    <row r="149" spans="1:2" x14ac:dyDescent="0.3">
      <c r="A149" s="8">
        <v>350</v>
      </c>
      <c r="B149" s="6">
        <f>'Cumulative Purchase Likelihood'!G149*'Cumulative Purchase Likelihood'!A149*1000</f>
        <v>17297.854785478528</v>
      </c>
    </row>
    <row r="150" spans="1:2" x14ac:dyDescent="0.3">
      <c r="A150" s="8">
        <v>351</v>
      </c>
      <c r="B150" s="6">
        <f>'Cumulative Purchase Likelihood'!G150*'Cumulative Purchase Likelihood'!A150*1000</f>
        <v>17347.277227722749</v>
      </c>
    </row>
    <row r="151" spans="1:2" x14ac:dyDescent="0.3">
      <c r="A151" s="8">
        <v>355</v>
      </c>
      <c r="B151" s="6">
        <f>'Cumulative Purchase Likelihood'!G151*'Cumulative Purchase Likelihood'!A151*1000</f>
        <v>17544.966996699648</v>
      </c>
    </row>
    <row r="152" spans="1:2" x14ac:dyDescent="0.3">
      <c r="A152" s="8">
        <v>360</v>
      </c>
      <c r="B152" s="6">
        <f>'Cumulative Purchase Likelihood'!G152*'Cumulative Purchase Likelihood'!A152*1000</f>
        <v>16900.990099009879</v>
      </c>
    </row>
    <row r="153" spans="1:2" x14ac:dyDescent="0.3">
      <c r="A153" s="8">
        <v>365</v>
      </c>
      <c r="B153" s="6">
        <f>'Cumulative Purchase Likelihood'!G153*'Cumulative Purchase Likelihood'!A153*1000</f>
        <v>17075.495049504931</v>
      </c>
    </row>
    <row r="154" spans="1:2" x14ac:dyDescent="0.3">
      <c r="A154" s="8">
        <v>369</v>
      </c>
      <c r="B154" s="6">
        <f>'Cumulative Purchase Likelihood'!G154*'Cumulative Purchase Likelihood'!A154*1000</f>
        <v>17110.39603960394</v>
      </c>
    </row>
    <row r="155" spans="1:2" x14ac:dyDescent="0.3">
      <c r="A155" s="8">
        <v>370</v>
      </c>
      <c r="B155" s="6">
        <f>'Cumulative Purchase Likelihood'!G155*'Cumulative Purchase Likelihood'!A155*1000</f>
        <v>16698.84488448843</v>
      </c>
    </row>
    <row r="156" spans="1:2" x14ac:dyDescent="0.3">
      <c r="A156" s="8">
        <v>375</v>
      </c>
      <c r="B156" s="6">
        <f>'Cumulative Purchase Likelihood'!G156*'Cumulative Purchase Likelihood'!A156*1000</f>
        <v>16769.801980197997</v>
      </c>
    </row>
    <row r="157" spans="1:2" x14ac:dyDescent="0.3">
      <c r="A157" s="8">
        <v>380</v>
      </c>
      <c r="B157" s="6">
        <f>'Cumulative Purchase Likelihood'!G157*'Cumulative Purchase Likelihood'!A157*1000</f>
        <v>14892.739273927376</v>
      </c>
    </row>
    <row r="158" spans="1:2" x14ac:dyDescent="0.3">
      <c r="A158" s="8">
        <v>390</v>
      </c>
      <c r="B158" s="6">
        <f>'Cumulative Purchase Likelihood'!G158*'Cumulative Purchase Likelihood'!A158*1000</f>
        <v>14801.980198019784</v>
      </c>
    </row>
    <row r="159" spans="1:2" x14ac:dyDescent="0.3">
      <c r="A159" s="8">
        <v>398</v>
      </c>
      <c r="B159" s="6">
        <f>'Cumulative Purchase Likelihood'!G159*'Cumulative Purchase Likelihood'!A159*1000</f>
        <v>14613.036303630342</v>
      </c>
    </row>
    <row r="160" spans="1:2" x14ac:dyDescent="0.3">
      <c r="A160" s="8">
        <v>399</v>
      </c>
      <c r="B160" s="6">
        <f>'Cumulative Purchase Likelihood'!G160*'Cumulative Purchase Likelihood'!A160*1000</f>
        <v>14188.861386138604</v>
      </c>
    </row>
    <row r="161" spans="1:2" x14ac:dyDescent="0.3">
      <c r="A161" s="8">
        <v>400</v>
      </c>
      <c r="B161" s="6">
        <f>'Cumulative Purchase Likelihood'!G161*'Cumulative Purchase Likelihood'!A161*1000</f>
        <v>9174.91749174916</v>
      </c>
    </row>
    <row r="162" spans="1:2" x14ac:dyDescent="0.3">
      <c r="A162" s="8">
        <v>410</v>
      </c>
      <c r="B162" s="6">
        <f>'Cumulative Purchase Likelihood'!G162*'Cumulative Purchase Likelihood'!A162*1000</f>
        <v>9404.2904290428905</v>
      </c>
    </row>
    <row r="163" spans="1:2" x14ac:dyDescent="0.3">
      <c r="A163" s="8">
        <v>415</v>
      </c>
      <c r="B163" s="6">
        <f>'Cumulative Purchase Likelihood'!G163*'Cumulative Purchase Likelihood'!A163*1000</f>
        <v>9450.4950495049397</v>
      </c>
    </row>
    <row r="164" spans="1:2" x14ac:dyDescent="0.3">
      <c r="A164" s="8">
        <v>420</v>
      </c>
      <c r="B164" s="6">
        <f>'Cumulative Purchase Likelihood'!G164*'Cumulative Purchase Likelihood'!A164*1000</f>
        <v>9391.0891089108773</v>
      </c>
    </row>
    <row r="165" spans="1:2" x14ac:dyDescent="0.3">
      <c r="A165" s="8">
        <v>425</v>
      </c>
      <c r="B165" s="6">
        <f>'Cumulative Purchase Likelihood'!G165*'Cumulative Purchase Likelihood'!A165*1000</f>
        <v>9502.8877887788658</v>
      </c>
    </row>
    <row r="166" spans="1:2" x14ac:dyDescent="0.3">
      <c r="A166" s="8">
        <v>430</v>
      </c>
      <c r="B166" s="6">
        <f>'Cumulative Purchase Likelihood'!G166*'Cumulative Purchase Likelihood'!A166*1000</f>
        <v>9011.5511551155032</v>
      </c>
    </row>
    <row r="167" spans="1:2" x14ac:dyDescent="0.3">
      <c r="A167" s="8">
        <v>440</v>
      </c>
      <c r="B167" s="6">
        <f>'Cumulative Purchase Likelihood'!G167*'Cumulative Purchase Likelihood'!A167*1000</f>
        <v>8858.0858085808486</v>
      </c>
    </row>
    <row r="168" spans="1:2" x14ac:dyDescent="0.3">
      <c r="A168" s="8">
        <v>449</v>
      </c>
      <c r="B168" s="6">
        <f>'Cumulative Purchase Likelihood'!G168*'Cumulative Purchase Likelihood'!A168*1000</f>
        <v>9039.2739273927309</v>
      </c>
    </row>
    <row r="169" spans="1:2" x14ac:dyDescent="0.3">
      <c r="A169" s="8">
        <v>450</v>
      </c>
      <c r="B169" s="6">
        <f>'Cumulative Purchase Likelihood'!G169*'Cumulative Purchase Likelihood'!A169*1000</f>
        <v>6386.1386138613816</v>
      </c>
    </row>
    <row r="170" spans="1:2" x14ac:dyDescent="0.3">
      <c r="A170" s="8">
        <v>458</v>
      </c>
      <c r="B170" s="6">
        <f>'Cumulative Purchase Likelihood'!G170*'Cumulative Purchase Likelihood'!A170*1000</f>
        <v>6499.6699669966947</v>
      </c>
    </row>
    <row r="171" spans="1:2" x14ac:dyDescent="0.3">
      <c r="A171" s="8">
        <v>460</v>
      </c>
      <c r="B171" s="6">
        <f>'Cumulative Purchase Likelihood'!G171*'Cumulative Purchase Likelihood'!A171*1000</f>
        <v>6528.0528052805239</v>
      </c>
    </row>
    <row r="172" spans="1:2" x14ac:dyDescent="0.3">
      <c r="A172" s="8">
        <v>470</v>
      </c>
      <c r="B172" s="6">
        <f>'Cumulative Purchase Likelihood'!G172*'Cumulative Purchase Likelihood'!A172*1000</f>
        <v>6592.409240924092</v>
      </c>
    </row>
    <row r="173" spans="1:2" x14ac:dyDescent="0.3">
      <c r="A173" s="8">
        <v>480</v>
      </c>
      <c r="B173" s="6">
        <f>'Cumulative Purchase Likelihood'!G173*'Cumulative Purchase Likelihood'!A173*1000</f>
        <v>6732.6732673267325</v>
      </c>
    </row>
    <row r="174" spans="1:2" x14ac:dyDescent="0.3">
      <c r="A174" s="8">
        <v>499</v>
      </c>
      <c r="B174" s="6">
        <f>'Cumulative Purchase Likelihood'!G174*'Cumulative Purchase Likelihood'!A174*1000</f>
        <v>6916.8316831683214</v>
      </c>
    </row>
    <row r="175" spans="1:2" x14ac:dyDescent="0.3">
      <c r="A175" s="8">
        <v>500</v>
      </c>
      <c r="B175" s="6">
        <f>'Cumulative Purchase Likelihood'!G175*'Cumulative Purchase Likelihood'!A175*1000</f>
        <v>4084.1584158415749</v>
      </c>
    </row>
    <row r="176" spans="1:2" x14ac:dyDescent="0.3">
      <c r="A176" s="8">
        <v>550</v>
      </c>
      <c r="B176" s="6">
        <f>'Cumulative Purchase Likelihood'!G176*'Cumulative Purchase Likelihood'!A176*1000</f>
        <v>3358.0858085808482</v>
      </c>
    </row>
    <row r="177" spans="1:2" x14ac:dyDescent="0.3">
      <c r="A177" s="8">
        <v>570</v>
      </c>
      <c r="B177" s="6">
        <f>'Cumulative Purchase Likelihood'!G177*'Cumulative Purchase Likelihood'!A177*1000</f>
        <v>3386.1386138613807</v>
      </c>
    </row>
    <row r="178" spans="1:2" x14ac:dyDescent="0.3">
      <c r="A178" s="8">
        <v>575</v>
      </c>
      <c r="B178" s="6">
        <f>'Cumulative Purchase Likelihood'!G178*'Cumulative Purchase Likelihood'!A178*1000</f>
        <v>3320.9570957095707</v>
      </c>
    </row>
    <row r="179" spans="1:2" x14ac:dyDescent="0.3">
      <c r="A179" s="8">
        <v>579</v>
      </c>
      <c r="B179" s="6">
        <f>'Cumulative Purchase Likelihood'!G179*'Cumulative Purchase Likelihood'!A179*1000</f>
        <v>3344.0594059405935</v>
      </c>
    </row>
    <row r="180" spans="1:2" x14ac:dyDescent="0.3">
      <c r="A180" s="8">
        <v>600</v>
      </c>
      <c r="B180" s="6">
        <f>'Cumulative Purchase Likelihood'!G180*'Cumulative Purchase Likelihood'!A180*1000</f>
        <v>594.05940594058848</v>
      </c>
    </row>
    <row r="181" spans="1:2" x14ac:dyDescent="0.3">
      <c r="A181" s="8">
        <v>630</v>
      </c>
      <c r="B181" s="6">
        <f>'Cumulative Purchase Likelihood'!G181*'Cumulative Purchase Likelihood'!A181*1000</f>
        <v>623.7623762376179</v>
      </c>
    </row>
    <row r="182" spans="1:2" x14ac:dyDescent="0.3">
      <c r="A182" s="8">
        <v>650</v>
      </c>
      <c r="B182" s="6">
        <f>'Cumulative Purchase Likelihood'!G182*'Cumulative Purchase Likelihood'!A182*1000</f>
        <v>536.30363036303629</v>
      </c>
    </row>
    <row r="183" spans="1:2" x14ac:dyDescent="0.3">
      <c r="A183" s="8">
        <v>670</v>
      </c>
      <c r="B183" s="6">
        <f>'Cumulative Purchase Likelihood'!G183*'Cumulative Purchase Likelihood'!A183*1000</f>
        <v>552.80528052805278</v>
      </c>
    </row>
    <row r="184" spans="1:2" x14ac:dyDescent="0.3">
      <c r="A184" s="8">
        <v>679</v>
      </c>
      <c r="B184" s="6">
        <f>'Cumulative Purchase Likelihood'!G184*'Cumulative Purchase Likelihood'!A184*1000</f>
        <v>560.23102310231025</v>
      </c>
    </row>
    <row r="185" spans="1:2" x14ac:dyDescent="0.3">
      <c r="A185" s="8">
        <v>699</v>
      </c>
      <c r="B185" s="6">
        <f>'Cumulative Purchase Likelihood'!G185*'Cumulative Purchase Likelihood'!A185*1000</f>
        <v>576.73267326732673</v>
      </c>
    </row>
    <row r="186" spans="1:2" x14ac:dyDescent="0.3">
      <c r="A186" s="8">
        <v>700</v>
      </c>
      <c r="B186" s="6">
        <f>'Cumulative Purchase Likelihood'!G186*'Cumulative Purchase Likelihood'!A186*1000</f>
        <v>0</v>
      </c>
    </row>
    <row r="187" spans="1:2" x14ac:dyDescent="0.3">
      <c r="A187" s="8">
        <v>750</v>
      </c>
      <c r="B187" s="6">
        <f>'Cumulative Purchase Likelihood'!G187*'Cumulative Purchase Likelihood'!A187*1000</f>
        <v>0</v>
      </c>
    </row>
    <row r="188" spans="1:2" x14ac:dyDescent="0.3">
      <c r="A188" s="8">
        <v>800</v>
      </c>
      <c r="B188" s="6">
        <f>'Cumulative Purchase Likelihood'!G188*'Cumulative Purchase Likelihood'!A188*1000</f>
        <v>0</v>
      </c>
    </row>
    <row r="189" spans="1:2" x14ac:dyDescent="0.3">
      <c r="A189" s="8">
        <v>900</v>
      </c>
      <c r="B189" s="6">
        <f>'Cumulative Purchase Likelihood'!G189*'Cumulative Purchase Likelihood'!A189*1000</f>
        <v>0</v>
      </c>
    </row>
    <row r="190" spans="1:2" x14ac:dyDescent="0.3">
      <c r="A190" s="8">
        <v>1000</v>
      </c>
      <c r="B190" s="6">
        <f>'Cumulative Purchase Likelihood'!G190*'Cumulative Purchase Likelihood'!A190*1000</f>
        <v>0</v>
      </c>
    </row>
    <row r="191" spans="1:2" x14ac:dyDescent="0.3">
      <c r="A191" s="8">
        <v>3000</v>
      </c>
      <c r="B191" s="6">
        <f>'Cumulative Purchase Likelihood'!G191*'Cumulative Purchase Likelihood'!A191*1000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8</vt:i4>
      </vt:variant>
      <vt:variant>
        <vt:lpstr>Диаграммы</vt:lpstr>
      </vt:variant>
      <vt:variant>
        <vt:i4>3</vt:i4>
      </vt:variant>
    </vt:vector>
  </HeadingPairs>
  <TitlesOfParts>
    <vt:vector size="11" baseType="lpstr">
      <vt:lpstr>%</vt:lpstr>
      <vt:lpstr>Cumulative, %</vt:lpstr>
      <vt:lpstr>Cumulative Reverse, %</vt:lpstr>
      <vt:lpstr>Newton-Miller_RAW</vt:lpstr>
      <vt:lpstr>Newton-Miller_Convert</vt:lpstr>
      <vt:lpstr>Total Purchase Likelihood</vt:lpstr>
      <vt:lpstr>Cumulative Purchase Likelihood</vt:lpstr>
      <vt:lpstr>Revenue</vt:lpstr>
      <vt:lpstr>График</vt:lpstr>
      <vt:lpstr>Price Elasticity</vt:lpstr>
      <vt:lpstr>Revenue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Vadim Saprykin</cp:lastModifiedBy>
  <dcterms:created xsi:type="dcterms:W3CDTF">2024-11-14T11:40:36Z</dcterms:created>
  <dcterms:modified xsi:type="dcterms:W3CDTF">2025-11-05T18:26:15Z</dcterms:modified>
</cp:coreProperties>
</file>