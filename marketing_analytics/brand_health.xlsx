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OC\ДЗ4. Воронка продаж и пирамида здоровья бренда. Конверсия\"/>
    </mc:Choice>
  </mc:AlternateContent>
  <xr:revisionPtr revIDLastSave="0" documentId="13_ncr:1_{DCA929EF-B3CE-4396-BDB4-216D24D64444}" xr6:coauthVersionLast="47" xr6:coauthVersionMax="47" xr10:uidLastSave="{00000000-0000-0000-0000-000000000000}"/>
  <bookViews>
    <workbookView xWindow="-108" yWindow="-108" windowWidth="23256" windowHeight="13896" xr2:uid="{CA8D5FBC-77CA-F54B-AAC5-61978908EEA7}"/>
  </bookViews>
  <sheets>
    <sheet name="Пирамида здоровья бренд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  <c r="E24" i="1" l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D24" i="1"/>
  <c r="D25" i="1"/>
  <c r="D26" i="1"/>
  <c r="D27" i="1"/>
  <c r="D28" i="1"/>
  <c r="D29" i="1"/>
  <c r="D30" i="1"/>
  <c r="D31" i="1"/>
  <c r="D32" i="1"/>
  <c r="D33" i="1"/>
  <c r="D48" i="1" s="1"/>
  <c r="D47" i="1" s="1"/>
  <c r="D35" i="1"/>
  <c r="D36" i="1"/>
  <c r="D37" i="1"/>
  <c r="D38" i="1"/>
  <c r="D39" i="1"/>
  <c r="D40" i="1"/>
  <c r="D41" i="1"/>
  <c r="D42" i="1"/>
  <c r="C24" i="1"/>
  <c r="C25" i="1"/>
  <c r="C26" i="1"/>
  <c r="C27" i="1"/>
  <c r="C28" i="1"/>
  <c r="C29" i="1"/>
  <c r="C30" i="1"/>
  <c r="C48" i="1" s="1"/>
  <c r="C47" i="1" s="1"/>
  <c r="C31" i="1"/>
  <c r="C32" i="1"/>
  <c r="C33" i="1"/>
  <c r="C34" i="1"/>
  <c r="C35" i="1"/>
  <c r="C36" i="1"/>
  <c r="C37" i="1"/>
  <c r="C38" i="1"/>
  <c r="C39" i="1"/>
  <c r="C40" i="1"/>
  <c r="C41" i="1"/>
  <c r="E42" i="1" l="1"/>
  <c r="C42" i="1"/>
  <c r="D45" i="1"/>
  <c r="D46" i="1"/>
  <c r="C45" i="1" l="1"/>
  <c r="C46" i="1"/>
</calcChain>
</file>

<file path=xl/sharedStrings.xml><?xml version="1.0" encoding="utf-8"?>
<sst xmlns="http://schemas.openxmlformats.org/spreadsheetml/2006/main" count="55" uniqueCount="17">
  <si>
    <t>Пирамида здоровья бренда</t>
  </si>
  <si>
    <t>Бренд</t>
  </si>
  <si>
    <t>Подсказанное знание</t>
  </si>
  <si>
    <t>Пользование когда-либо</t>
  </si>
  <si>
    <t>Покупавшие за последний месяц</t>
  </si>
  <si>
    <t>Покупают чаще всего</t>
  </si>
  <si>
    <t>Конверсии</t>
  </si>
  <si>
    <t>Conversion</t>
  </si>
  <si>
    <t>Retention</t>
  </si>
  <si>
    <t>AVG</t>
  </si>
  <si>
    <t>Main</t>
  </si>
  <si>
    <t>Нижняя граница ДИ (95%)</t>
  </si>
  <si>
    <t>Верхняя граница ДИ (95%)</t>
  </si>
  <si>
    <t>ДИ</t>
  </si>
  <si>
    <t>Стандартное отклонение</t>
  </si>
  <si>
    <t>Доверительный интервал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</si>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</sst>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irce-Regular"/>
      <charset val="204"/>
    </font>
    <font>
      <b/>
      <sz val="12"/>
      <color theme="1"/>
      <name val="Circe-Regula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164" fontId="2" fillId="0" borderId="0" xfId="1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7E0EC-A6E4-4E4C-9267-1E32F279042E}" name="Таблица1" displayName="Таблица1" ref="A2:E20" totalsRowShown="0" headerRowDxfId="19" dataDxfId="18">
  <autoFilter ref="A2:E20" xr:uid="{D8F9CBC8-0062-274E-9B40-55485D1329B3}"/>
  <tableColumns count="5">
    <tableColumn id="1" xr3:uid="{86747B0C-58B6-8046-8936-2655D4D944A5}" name="Бренд" dataDxfId="17"/>
    <tableColumn id="2" xr3:uid="{26DF9C7F-9BC8-2B48-959E-00D7358C6175}" name="Подсказанное знание" dataDxfId="16"/>
    <tableColumn id="3" xr3:uid="{A9F6BDA3-8590-C449-80A8-1D40276E3A29}" name="Пользование когда-либо" dataDxfId="15"/>
    <tableColumn id="4" xr3:uid="{6E0163A9-FC7C-B64B-B27F-640270090DA3}" name="Покупавшие за последний месяц" dataDxfId="14"/>
    <tableColumn id="5" xr3:uid="{21814F12-4884-954C-A766-4FE116A43588}" name="Покупают чаще всего" dataDxfId="1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07EF22-99AB-8B4B-A0D7-5F5C055D8D0A}" name="Таблица2" displayName="Таблица2" ref="B23:E42" totalsRowShown="0" headerRowDxfId="12" dataDxfId="11">
  <autoFilter ref="B23:E42" xr:uid="{E6A7089E-3BF6-8B4B-9AAF-AF9B00C3FFB0}"/>
  <tableColumns count="4">
    <tableColumn id="1" xr3:uid="{50629349-482F-5D45-B977-EE51C996978E}" name="Бренд" dataDxfId="10"/>
    <tableColumn id="2" xr3:uid="{4C1CF517-E8BA-9042-8DE9-AEA0385FA054}" name="Conversion" dataDxfId="9" dataCellStyle="Процентный">
      <calculatedColumnFormula>C3/B3</calculatedColumnFormula>
    </tableColumn>
    <tableColumn id="3" xr3:uid="{290199B5-28E9-AA4A-A9A7-5428113CCBB1}" name="Retention" dataDxfId="8" dataCellStyle="Процентный">
      <calculatedColumnFormula>D3/C3</calculatedColumnFormula>
    </tableColumn>
    <tableColumn id="4" xr3:uid="{FB1819BF-0623-BE4E-8A03-C6842BAC6381}" name="Main" dataDxfId="7" dataCellStyle="Процентный">
      <calculatedColumnFormula>E3/D3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03D874-A27B-F046-A6FB-EA35645DDA20}" name="Таблица3" displayName="Таблица3" ref="B44:D48" totalsRowShown="0">
  <autoFilter ref="B44:D48" xr:uid="{E5CDC783-E325-9B41-ACD0-BB49F96974E9}"/>
  <tableColumns count="3">
    <tableColumn id="1" xr3:uid="{1EC20694-DEB7-8B4E-A3DB-1B395CD20F0E}" name="ДИ" dataDxfId="6"/>
    <tableColumn id="2" xr3:uid="{7D7D9D94-58F3-1347-91EA-1221755AD791}" name="Conversion"/>
    <tableColumn id="3" xr3:uid="{5DF82750-8500-5744-AB52-BF135A285AE7}" name="Retention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13D1-DD8C-5844-A789-67BD35644735}">
  <dimension ref="A1:E48"/>
  <sheetViews>
    <sheetView tabSelected="1" workbookViewId="0">
      <selection sqref="A1:E1"/>
    </sheetView>
  </sheetViews>
  <sheetFormatPr defaultColWidth="11.19921875" defaultRowHeight="15.6"/>
  <cols>
    <col min="1" max="1" width="17.296875" bestFit="1" customWidth="1"/>
    <col min="2" max="2" width="25.5" bestFit="1" customWidth="1"/>
    <col min="3" max="3" width="26.19921875" style="1" customWidth="1"/>
    <col min="4" max="4" width="31.19921875" bestFit="1" customWidth="1"/>
    <col min="5" max="5" width="23" customWidth="1"/>
  </cols>
  <sheetData>
    <row r="1" spans="1:5">
      <c r="A1" s="7" t="s">
        <v>0</v>
      </c>
      <c r="B1" s="7"/>
      <c r="C1" s="7"/>
      <c r="D1" s="7"/>
      <c r="E1" s="7"/>
    </row>
    <row r="2" spans="1:5">
      <c r="A2" s="3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4" t="s">
        <v>16</v>
      </c>
      <c r="B3" s="3">
        <v>66.600000000000009</v>
      </c>
      <c r="C3" s="3">
        <v>42.5</v>
      </c>
      <c r="D3" s="3">
        <v>19.600000000000001</v>
      </c>
      <c r="E3" s="3">
        <v>9.3000000000000007</v>
      </c>
    </row>
    <row r="4" spans="1:5">
      <c r="A4" s="4" t="s">
        <v>16</v>
      </c>
      <c r="B4" s="3">
        <v>65.900000000000006</v>
      </c>
      <c r="C4" s="3">
        <v>34.599999999999994</v>
      </c>
      <c r="D4" s="3">
        <v>17.8</v>
      </c>
      <c r="E4" s="3">
        <v>9.7000000000000011</v>
      </c>
    </row>
    <row r="5" spans="1:5">
      <c r="A5" s="4" t="s">
        <v>16</v>
      </c>
      <c r="B5" s="3">
        <v>47.9</v>
      </c>
      <c r="C5" s="3">
        <v>11.899999999999999</v>
      </c>
      <c r="D5" s="3">
        <v>3.1</v>
      </c>
      <c r="E5" s="3">
        <v>1</v>
      </c>
    </row>
    <row r="6" spans="1:5">
      <c r="A6" s="4" t="s">
        <v>16</v>
      </c>
      <c r="B6" s="3">
        <v>30.099999999999998</v>
      </c>
      <c r="C6" s="3">
        <v>12.1</v>
      </c>
      <c r="D6" s="3">
        <v>4.2</v>
      </c>
      <c r="E6" s="3">
        <v>1.7000000000000002</v>
      </c>
    </row>
    <row r="7" spans="1:5">
      <c r="A7" s="4" t="s">
        <v>16</v>
      </c>
      <c r="B7" s="3">
        <v>35.699999999999996</v>
      </c>
      <c r="C7" s="3">
        <v>20.599999999999998</v>
      </c>
      <c r="D7" s="3">
        <v>10.9</v>
      </c>
      <c r="E7" s="3">
        <v>6.5</v>
      </c>
    </row>
    <row r="8" spans="1:5">
      <c r="A8" s="4" t="s">
        <v>16</v>
      </c>
      <c r="B8" s="3">
        <v>78.600000000000009</v>
      </c>
      <c r="C8" s="3">
        <v>39.6</v>
      </c>
      <c r="D8" s="3">
        <v>23.5</v>
      </c>
      <c r="E8" s="3">
        <v>14.000000000000002</v>
      </c>
    </row>
    <row r="9" spans="1:5">
      <c r="A9" s="4" t="s">
        <v>16</v>
      </c>
      <c r="B9" s="3">
        <v>15.6</v>
      </c>
      <c r="C9" s="3">
        <v>3.4000000000000004</v>
      </c>
      <c r="D9" s="3">
        <v>1</v>
      </c>
      <c r="E9" s="3">
        <v>0.3</v>
      </c>
    </row>
    <row r="10" spans="1:5">
      <c r="A10" s="4" t="s">
        <v>16</v>
      </c>
      <c r="B10" s="3">
        <v>53.300000000000004</v>
      </c>
      <c r="C10" s="3">
        <v>20.100000000000001</v>
      </c>
      <c r="D10" s="3">
        <v>7.3999999999999995</v>
      </c>
      <c r="E10" s="3">
        <v>2.1</v>
      </c>
    </row>
    <row r="11" spans="1:5">
      <c r="A11" s="4" t="s">
        <v>16</v>
      </c>
      <c r="B11" s="3">
        <v>11.1</v>
      </c>
      <c r="C11" s="3">
        <v>2.2999999999999998</v>
      </c>
      <c r="D11" s="3">
        <v>0.5</v>
      </c>
      <c r="E11" s="3">
        <v>0.2</v>
      </c>
    </row>
    <row r="12" spans="1:5">
      <c r="A12" s="4" t="s">
        <v>16</v>
      </c>
      <c r="B12" s="3">
        <v>13.600000000000001</v>
      </c>
      <c r="C12" s="3">
        <v>6.7</v>
      </c>
      <c r="D12" s="3">
        <v>2.2000000000000002</v>
      </c>
      <c r="E12" s="3">
        <v>1</v>
      </c>
    </row>
    <row r="13" spans="1:5">
      <c r="A13" s="4" t="s">
        <v>16</v>
      </c>
      <c r="B13" s="3">
        <v>45.300000000000004</v>
      </c>
      <c r="C13" s="3">
        <v>19.5</v>
      </c>
      <c r="D13" s="3">
        <v>3.9</v>
      </c>
      <c r="E13" s="3">
        <v>0.70000000000000007</v>
      </c>
    </row>
    <row r="14" spans="1:5">
      <c r="A14" s="4" t="s">
        <v>16</v>
      </c>
      <c r="B14" s="3">
        <v>7.7</v>
      </c>
      <c r="C14" s="3">
        <v>2.9000000000000004</v>
      </c>
      <c r="D14" s="3">
        <v>0.5</v>
      </c>
      <c r="E14" s="3">
        <v>0.1</v>
      </c>
    </row>
    <row r="15" spans="1:5">
      <c r="A15" s="4" t="s">
        <v>16</v>
      </c>
      <c r="B15" s="3">
        <v>13.700000000000001</v>
      </c>
      <c r="C15" s="3">
        <v>5.8000000000000007</v>
      </c>
      <c r="D15" s="3">
        <v>1</v>
      </c>
      <c r="E15" s="3">
        <v>0.3</v>
      </c>
    </row>
    <row r="16" spans="1:5">
      <c r="A16" s="4" t="s">
        <v>16</v>
      </c>
      <c r="B16" s="3">
        <v>77.900000000000006</v>
      </c>
      <c r="C16" s="3">
        <v>41</v>
      </c>
      <c r="D16" s="3">
        <v>18</v>
      </c>
      <c r="E16" s="3">
        <v>9.8000000000000007</v>
      </c>
    </row>
    <row r="17" spans="1:5">
      <c r="A17" s="4" t="s">
        <v>16</v>
      </c>
      <c r="B17" s="3">
        <v>77.8</v>
      </c>
      <c r="C17" s="3">
        <v>59.4</v>
      </c>
      <c r="D17" s="3">
        <v>35.699999999999996</v>
      </c>
      <c r="E17" s="3">
        <v>16.8</v>
      </c>
    </row>
    <row r="18" spans="1:5">
      <c r="A18" s="4" t="s">
        <v>16</v>
      </c>
      <c r="B18" s="3">
        <v>79.400000000000006</v>
      </c>
      <c r="C18" s="3">
        <v>62.6</v>
      </c>
      <c r="D18" s="3">
        <v>32.200000000000003</v>
      </c>
      <c r="E18" s="3">
        <v>16.600000000000001</v>
      </c>
    </row>
    <row r="19" spans="1:5">
      <c r="A19" s="4" t="s">
        <v>16</v>
      </c>
      <c r="B19" s="3">
        <v>10.100000000000001</v>
      </c>
      <c r="C19" s="3">
        <v>2.1999999999999997</v>
      </c>
      <c r="D19" s="3">
        <v>0.5</v>
      </c>
      <c r="E19" s="3">
        <v>0.1</v>
      </c>
    </row>
    <row r="20" spans="1:5">
      <c r="A20" s="4" t="s">
        <v>16</v>
      </c>
      <c r="B20" s="3">
        <v>75</v>
      </c>
      <c r="C20" s="3">
        <v>42.1</v>
      </c>
      <c r="D20" s="3">
        <v>16.600000000000001</v>
      </c>
      <c r="E20" s="3">
        <v>9.9</v>
      </c>
    </row>
    <row r="22" spans="1:5">
      <c r="B22" s="7" t="s">
        <v>6</v>
      </c>
      <c r="C22" s="7"/>
      <c r="D22" s="7"/>
      <c r="E22" s="7"/>
    </row>
    <row r="23" spans="1:5">
      <c r="B23" s="3" t="s">
        <v>1</v>
      </c>
      <c r="C23" s="2" t="s">
        <v>7</v>
      </c>
      <c r="D23" s="2" t="s">
        <v>8</v>
      </c>
      <c r="E23" s="2" t="s">
        <v>10</v>
      </c>
    </row>
    <row r="24" spans="1:5">
      <c r="B24" s="4" t="s">
        <v>16</v>
      </c>
      <c r="C24" s="5">
        <f>C3/B3</f>
        <v>0.63813813813813802</v>
      </c>
      <c r="D24" s="5">
        <f t="shared" ref="D24:E24" si="0">D3/C3</f>
        <v>0.46117647058823535</v>
      </c>
      <c r="E24" s="5">
        <f t="shared" si="0"/>
        <v>0.47448979591836737</v>
      </c>
    </row>
    <row r="25" spans="1:5">
      <c r="B25" s="4" t="s">
        <v>16</v>
      </c>
      <c r="C25" s="5">
        <f t="shared" ref="C25:E25" si="1">C4/B4</f>
        <v>0.52503793626707118</v>
      </c>
      <c r="D25" s="5">
        <f t="shared" si="1"/>
        <v>0.51445086705202325</v>
      </c>
      <c r="E25" s="5">
        <f t="shared" si="1"/>
        <v>0.5449438202247191</v>
      </c>
    </row>
    <row r="26" spans="1:5">
      <c r="B26" s="4" t="s">
        <v>16</v>
      </c>
      <c r="C26" s="5">
        <f>C5/B5</f>
        <v>0.24843423799582462</v>
      </c>
      <c r="D26" s="5">
        <f>D5/C5</f>
        <v>0.26050420168067229</v>
      </c>
      <c r="E26" s="5">
        <f>E5/D5</f>
        <v>0.32258064516129031</v>
      </c>
    </row>
    <row r="27" spans="1:5">
      <c r="B27" s="4" t="s">
        <v>16</v>
      </c>
      <c r="C27" s="5">
        <f t="shared" ref="C27:E27" si="2">C6/B6</f>
        <v>0.4019933554817276</v>
      </c>
      <c r="D27" s="5">
        <f t="shared" si="2"/>
        <v>0.34710743801652894</v>
      </c>
      <c r="E27" s="5">
        <f t="shared" si="2"/>
        <v>0.40476190476190477</v>
      </c>
    </row>
    <row r="28" spans="1:5">
      <c r="B28" s="4" t="s">
        <v>16</v>
      </c>
      <c r="C28" s="5">
        <f t="shared" ref="C28:E28" si="3">C7/B7</f>
        <v>0.57703081232493003</v>
      </c>
      <c r="D28" s="5">
        <f t="shared" si="3"/>
        <v>0.52912621359223311</v>
      </c>
      <c r="E28" s="5">
        <f t="shared" si="3"/>
        <v>0.59633027522935778</v>
      </c>
    </row>
    <row r="29" spans="1:5">
      <c r="B29" s="4" t="s">
        <v>16</v>
      </c>
      <c r="C29" s="5">
        <f t="shared" ref="C29:E29" si="4">C8/B8</f>
        <v>0.50381679389312972</v>
      </c>
      <c r="D29" s="5">
        <f t="shared" si="4"/>
        <v>0.59343434343434343</v>
      </c>
      <c r="E29" s="5">
        <f t="shared" si="4"/>
        <v>0.59574468085106391</v>
      </c>
    </row>
    <row r="30" spans="1:5">
      <c r="B30" s="4" t="s">
        <v>16</v>
      </c>
      <c r="C30" s="5">
        <f t="shared" ref="C30:E30" si="5">C9/B9</f>
        <v>0.21794871794871798</v>
      </c>
      <c r="D30" s="5">
        <f t="shared" si="5"/>
        <v>0.29411764705882348</v>
      </c>
      <c r="E30" s="5">
        <f t="shared" si="5"/>
        <v>0.3</v>
      </c>
    </row>
    <row r="31" spans="1:5">
      <c r="B31" s="4" t="s">
        <v>16</v>
      </c>
      <c r="C31" s="5">
        <f t="shared" ref="C31:E31" si="6">C10/B10</f>
        <v>0.37711069418386489</v>
      </c>
      <c r="D31" s="5">
        <f t="shared" si="6"/>
        <v>0.36815920398009944</v>
      </c>
      <c r="E31" s="5">
        <f t="shared" si="6"/>
        <v>0.28378378378378383</v>
      </c>
    </row>
    <row r="32" spans="1:5">
      <c r="B32" s="4" t="s">
        <v>16</v>
      </c>
      <c r="C32" s="5">
        <f t="shared" ref="C32:E32" si="7">C11/B11</f>
        <v>0.2072072072072072</v>
      </c>
      <c r="D32" s="5">
        <f t="shared" si="7"/>
        <v>0.21739130434782611</v>
      </c>
      <c r="E32" s="5">
        <f t="shared" si="7"/>
        <v>0.4</v>
      </c>
    </row>
    <row r="33" spans="2:5">
      <c r="B33" s="4" t="s">
        <v>16</v>
      </c>
      <c r="C33" s="5">
        <f t="shared" ref="C33:E33" si="8">C12/B12</f>
        <v>0.49264705882352938</v>
      </c>
      <c r="D33" s="5">
        <f t="shared" si="8"/>
        <v>0.32835820895522388</v>
      </c>
      <c r="E33" s="5">
        <f t="shared" si="8"/>
        <v>0.45454545454545453</v>
      </c>
    </row>
    <row r="34" spans="2:5">
      <c r="B34" s="4" t="s">
        <v>16</v>
      </c>
      <c r="C34" s="5">
        <f t="shared" ref="C34:E34" si="9">C13/B13</f>
        <v>0.43046357615894038</v>
      </c>
      <c r="D34" s="5">
        <f>D13/C13</f>
        <v>0.19999999999999998</v>
      </c>
      <c r="E34" s="5">
        <f t="shared" si="9"/>
        <v>0.17948717948717952</v>
      </c>
    </row>
    <row r="35" spans="2:5">
      <c r="B35" s="4" t="s">
        <v>16</v>
      </c>
      <c r="C35" s="5">
        <f>C14/B14</f>
        <v>0.37662337662337664</v>
      </c>
      <c r="D35" s="5">
        <f t="shared" ref="D35:E35" si="10">D14/C14</f>
        <v>0.17241379310344826</v>
      </c>
      <c r="E35" s="5">
        <f t="shared" si="10"/>
        <v>0.2</v>
      </c>
    </row>
    <row r="36" spans="2:5">
      <c r="B36" s="4" t="s">
        <v>16</v>
      </c>
      <c r="C36" s="5">
        <f t="shared" ref="C36:E36" si="11">C15/B15</f>
        <v>0.42335766423357668</v>
      </c>
      <c r="D36" s="5">
        <f t="shared" si="11"/>
        <v>0.17241379310344826</v>
      </c>
      <c r="E36" s="5">
        <f t="shared" si="11"/>
        <v>0.3</v>
      </c>
    </row>
    <row r="37" spans="2:5">
      <c r="B37" s="4" t="s">
        <v>16</v>
      </c>
      <c r="C37" s="5">
        <f t="shared" ref="C37:E37" si="12">C16/B16</f>
        <v>0.52631578947368418</v>
      </c>
      <c r="D37" s="5">
        <f t="shared" si="12"/>
        <v>0.43902439024390244</v>
      </c>
      <c r="E37" s="5">
        <f t="shared" si="12"/>
        <v>0.54444444444444451</v>
      </c>
    </row>
    <row r="38" spans="2:5">
      <c r="B38" s="4" t="s">
        <v>16</v>
      </c>
      <c r="C38" s="5">
        <f t="shared" ref="C38:E38" si="13">C17/B17</f>
        <v>0.76349614395886889</v>
      </c>
      <c r="D38" s="5">
        <f t="shared" si="13"/>
        <v>0.60101010101010099</v>
      </c>
      <c r="E38" s="5">
        <f t="shared" si="13"/>
        <v>0.4705882352941177</v>
      </c>
    </row>
    <row r="39" spans="2:5">
      <c r="B39" s="4" t="s">
        <v>16</v>
      </c>
      <c r="C39" s="5">
        <f t="shared" ref="C39:E39" si="14">C18/B18</f>
        <v>0.78841309823677574</v>
      </c>
      <c r="D39" s="5">
        <f t="shared" si="14"/>
        <v>0.51437699680511184</v>
      </c>
      <c r="E39" s="5">
        <f t="shared" si="14"/>
        <v>0.51552795031055898</v>
      </c>
    </row>
    <row r="40" spans="2:5">
      <c r="B40" s="4" t="s">
        <v>16</v>
      </c>
      <c r="C40" s="5">
        <f>C19/B19</f>
        <v>0.21782178217821777</v>
      </c>
      <c r="D40" s="5">
        <f t="shared" ref="D40:E40" si="15">D19/C19</f>
        <v>0.22727272727272729</v>
      </c>
      <c r="E40" s="5">
        <f t="shared" si="15"/>
        <v>0.2</v>
      </c>
    </row>
    <row r="41" spans="2:5">
      <c r="B41" s="4" t="s">
        <v>16</v>
      </c>
      <c r="C41" s="5">
        <f t="shared" ref="C41:E41" si="16">C20/B20</f>
        <v>0.56133333333333335</v>
      </c>
      <c r="D41" s="5">
        <f t="shared" si="16"/>
        <v>0.3942992874109264</v>
      </c>
      <c r="E41" s="5">
        <f t="shared" si="16"/>
        <v>0.59638554216867468</v>
      </c>
    </row>
    <row r="42" spans="2:5">
      <c r="B42" s="4" t="s">
        <v>9</v>
      </c>
      <c r="C42" s="5">
        <f>AVERAGE(C24:C41)</f>
        <v>0.45984387313671743</v>
      </c>
      <c r="D42" s="5">
        <f>AVERAGE(D24:D41)</f>
        <v>0.36859094375864865</v>
      </c>
      <c r="E42" s="5">
        <f>AVERAGE(E24:E41)</f>
        <v>0.41020076178782872</v>
      </c>
    </row>
    <row r="43" spans="2:5">
      <c r="D43" s="1"/>
      <c r="E43" s="1"/>
    </row>
    <row r="44" spans="2:5">
      <c r="B44" s="3" t="s">
        <v>13</v>
      </c>
      <c r="C44" s="2" t="s">
        <v>7</v>
      </c>
      <c r="D44" s="2" t="s">
        <v>8</v>
      </c>
      <c r="E44" s="1"/>
    </row>
    <row r="45" spans="2:5">
      <c r="B45" s="3" t="s">
        <v>11</v>
      </c>
      <c r="C45" s="6">
        <f>C42-C47</f>
        <v>0.43223834337989109</v>
      </c>
      <c r="D45" s="6">
        <f>D42-D47</f>
        <v>0.3456302124443783</v>
      </c>
      <c r="E45" s="1"/>
    </row>
    <row r="46" spans="2:5">
      <c r="B46" s="3" t="s">
        <v>12</v>
      </c>
      <c r="C46" s="6">
        <f>C42+C47</f>
        <v>0.48744940289354377</v>
      </c>
      <c r="D46" s="6">
        <f>D42+D47</f>
        <v>0.39155167507291899</v>
      </c>
      <c r="E46" s="1"/>
    </row>
    <row r="47" spans="2:5">
      <c r="B47" s="3" t="s">
        <v>15</v>
      </c>
      <c r="C47" s="2">
        <f>_xlfn.CONFIDENCE.NORM(0.5,C48,18)</f>
        <v>2.7605529756826317E-2</v>
      </c>
      <c r="D47" s="2">
        <f>_xlfn.CONFIDENCE.NORM(0.5,D48,18)</f>
        <v>2.296073131427032E-2</v>
      </c>
      <c r="E47" s="1"/>
    </row>
    <row r="48" spans="2:5">
      <c r="B48" s="3" t="s">
        <v>14</v>
      </c>
      <c r="C48" s="2">
        <f>STDEVA(C24:C41)</f>
        <v>0.17364288145482601</v>
      </c>
      <c r="D48" s="2">
        <f>STDEVA(D24:D41)</f>
        <v>0.14442640952159422</v>
      </c>
      <c r="E48" s="1"/>
    </row>
  </sheetData>
  <mergeCells count="2">
    <mergeCell ref="A1:E1"/>
    <mergeCell ref="B22:E22"/>
  </mergeCells>
  <conditionalFormatting sqref="C24:C41">
    <cfRule type="aboveAverage" dxfId="5" priority="3" aboveAverage="0"/>
    <cfRule type="aboveAverage" dxfId="4" priority="4"/>
  </conditionalFormatting>
  <conditionalFormatting sqref="D24:D41">
    <cfRule type="aboveAverage" dxfId="3" priority="5"/>
    <cfRule type="aboveAverage" dxfId="2" priority="6" aboveAverage="0"/>
  </conditionalFormatting>
  <conditionalFormatting sqref="E24:E41">
    <cfRule type="aboveAverage" dxfId="1" priority="1" aboveAverage="0"/>
    <cfRule type="aboveAverage" dxfId="0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Пирамида здоровья бренда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2024-09-17T07:56:07Z</dcterms:created>
  <dcterms:modified xsi:type="dcterms:W3CDTF">2025-11-05T18:00:31Z</dcterms:modified>
</cp:coreProperties>
</file>